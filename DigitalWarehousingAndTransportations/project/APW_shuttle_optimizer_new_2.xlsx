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mattp\Desktop\Università\ManagementEngineering\Digital Warehousing and Transportations\project\"/>
    </mc:Choice>
  </mc:AlternateContent>
  <xr:revisionPtr revIDLastSave="0" documentId="13_ncr:1_{014BA233-0EF7-4978-A6EA-1531BE9732D8}" xr6:coauthVersionLast="47" xr6:coauthVersionMax="47" xr10:uidLastSave="{00000000-0000-0000-0000-000000000000}"/>
  <bookViews>
    <workbookView xWindow="-120" yWindow="-120" windowWidth="29040" windowHeight="16440" tabRatio="657" xr2:uid="{00000000-000D-0000-FFFF-FFFF00000000}"/>
  </bookViews>
  <sheets>
    <sheet name="Dashboard" sheetId="1" r:id="rId1"/>
    <sheet name="Equipment" sheetId="2" r:id="rId2"/>
    <sheet name="README" sheetId="3" r:id="rId3"/>
    <sheet name="Optimizer" sheetId="4" r:id="rId4"/>
    <sheet name="Tier_calc" sheetId="5" r:id="rId5"/>
    <sheet name="Chart_data" sheetId="6" r:id="rId6"/>
    <sheet name="Bay_position" sheetId="7" r:id="rId7"/>
    <sheet name="Lift_location_study" sheetId="8" r:id="rId8"/>
    <sheet name="DES_validation" sheetId="9" r:id="rId9"/>
  </sheets>
  <definedNames>
    <definedName name="a_lift">Equipment!$B$9</definedName>
    <definedName name="a_sh">Equipment!$B$5</definedName>
    <definedName name="aisle_w">Dashboard!$B$30</definedName>
    <definedName name="bay_dy">Dashboard!$B$56</definedName>
    <definedName name="bay_in_x">Dashboard!$B$54</definedName>
    <definedName name="bay_out_x">Dashboard!$B$55</definedName>
    <definedName name="best_i">Optimizer!$D$4</definedName>
    <definedName name="best_NT">Chart_data!$B$3</definedName>
    <definedName name="best_T">Chart_data!$B$4</definedName>
    <definedName name="c_conv">Dashboard!$B$58</definedName>
    <definedName name="c_lift">Dashboard!$B$43</definedName>
    <definedName name="c_m2">Dashboard!$B$46</definedName>
    <definedName name="c_m3">Dashboard!$B$47</definedName>
    <definedName name="c_pos">Dashboard!$B$45</definedName>
    <definedName name="c_shut">Dashboard!$B$44</definedName>
    <definedName name="cap_req">Dashboard!$B$6</definedName>
    <definedName name="D_b">Bay_position!$B$7</definedName>
    <definedName name="dist_mode">Dashboard!$B$20</definedName>
    <definedName name="dy_b">Bay_position!$B$9</definedName>
    <definedName name="env_use">Dashboard!$B$15</definedName>
    <definedName name="f_hc">Dashboard!$B$33</definedName>
    <definedName name="fill">Dashboard!$B$35</definedName>
    <definedName name="H_max">Dashboard!$B$14</definedName>
    <definedName name="headroom">Dashboard!$B$32</definedName>
    <definedName name="hours_in">Dashboard!$B$10</definedName>
    <definedName name="hours_out">Dashboard!$B$11</definedName>
    <definedName name="L_b">Bay_position!$B$6</definedName>
    <definedName name="L_bldg">Dashboard!$B$16</definedName>
    <definedName name="lam_in">Dashboard!$B$8</definedName>
    <definedName name="lam_out">Dashboard!$B$9</definedName>
    <definedName name="lam_total">Equipment!$B$19</definedName>
    <definedName name="lane_off">Dashboard!$B$31</definedName>
    <definedName name="lane_policy">Dashboard!$B$19</definedName>
    <definedName name="lift_iface">Equipment!$B$13</definedName>
    <definedName name="lift_layout">Dashboard!$B$60</definedName>
    <definedName name="lift_x1">Dashboard!$B$61</definedName>
    <definedName name="lift_x2">Dashboard!$B$62</definedName>
    <definedName name="lift_x3">Dashboard!$B$63</definedName>
    <definedName name="lift_x4">Dashboard!$B$64</definedName>
    <definedName name="lift_x5">Dashboard!$B$65</definedName>
    <definedName name="lift_x6">Dashboard!$B$66</definedName>
    <definedName name="lpl">Dashboard!$B$34</definedName>
    <definedName name="m_pallet">Dashboard!$B$50</definedName>
    <definedName name="min_sh">Dashboard!$B$40</definedName>
    <definedName name="moves_day">Equipment!$B$20</definedName>
    <definedName name="n_b">Bay_position!$B$5</definedName>
    <definedName name="n_feas">Optimizer!$F$4</definedName>
    <definedName name="nA">Dashboard!$B$21</definedName>
    <definedName name="nB">Dashboard!$B$22</definedName>
    <definedName name="NC_man">Dashboard!$B$51</definedName>
    <definedName name="NL_b">Bay_position!$B$4</definedName>
    <definedName name="NT_man">Dashboard!$B$52</definedName>
    <definedName name="obj_mode">Dashboard!$B$49</definedName>
    <definedName name="P_req">Equipment!$B$21</definedName>
    <definedName name="peak_factor">Dashboard!$B$12</definedName>
    <definedName name="pos_rng">Bay_position!$B$12:$B$17</definedName>
    <definedName name="redund">Dashboard!$B$39</definedName>
    <definedName name="rho_fail">Dashboard!$B$38</definedName>
    <definedName name="rho_max">Dashboard!$B$37</definedName>
    <definedName name="shareA">Dashboard!$B$23</definedName>
    <definedName name="shareB">Dashboard!$B$24</definedName>
    <definedName name="shareC">Dashboard!$B$25</definedName>
    <definedName name="sku_pal">Dashboard!$B$7</definedName>
    <definedName name="spares">Dashboard!$B$41</definedName>
    <definedName name="sum_cc">Bay_position!$J$10</definedName>
    <definedName name="sum_ct">Bay_position!$J$8</definedName>
    <definedName name="sum_cv">Bay_position!$J$7</definedName>
    <definedName name="sum_cyc">Bay_position!$J$11</definedName>
    <definedName name="sum_cyc0">Bay_position!$J$12</definedName>
    <definedName name="sum_J">Bay_position!$J$5</definedName>
    <definedName name="sum_ta">Bay_position!$J$6</definedName>
    <definedName name="sum_trunk">Bay_position!$J$9</definedName>
    <definedName name="t_ch">Equipment!$B$11</definedName>
    <definedName name="t_I">Equipment!$B$14</definedName>
    <definedName name="t_lift_sh">Equipment!$B$12</definedName>
    <definedName name="t_pos">Equipment!$B$10</definedName>
    <definedName name="t_sh">Equipment!$B$7</definedName>
    <definedName name="t_turn">Equipment!$B$6</definedName>
    <definedName name="Tc_idx">Tier_calc!$C$4:$V$4</definedName>
    <definedName name="Tc_mh">Tier_calc!$AB$10:$AB$29</definedName>
    <definedName name="Tc_P">Tier_calc!$C$33:$V$52</definedName>
    <definedName name="Tc_pl">Tier_calc!$Z$10:$Z$29</definedName>
    <definedName name="Tc_S">Tier_calc!$AA$10:$AA$29</definedName>
    <definedName name="u_d">Dashboard!$B$28</definedName>
    <definedName name="u_h">Dashboard!$B$29</definedName>
    <definedName name="u_w">Dashboard!$B$27</definedName>
    <definedName name="v_conv">Dashboard!$B$57</definedName>
    <definedName name="v_lift">Equipment!$B$8</definedName>
    <definedName name="v_sh">Equipment!$B$4</definedName>
    <definedName name="W_bldg">Dashboard!$B$17</definedName>
    <definedName name="w_conv">Dashboard!$B$59</definedName>
    <definedName name="x_rng">Bay_position!$C$12:$C$17</definedName>
    <definedName name="x0_b">Bay_position!$B$8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0" i="7" l="1"/>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H76" i="6"/>
  <c r="G76" i="6"/>
  <c r="H75" i="6"/>
  <c r="G75" i="6"/>
  <c r="H74" i="6"/>
  <c r="G74" i="6"/>
  <c r="H73" i="6"/>
  <c r="G73" i="6"/>
  <c r="L72" i="6"/>
  <c r="K72" i="6"/>
  <c r="J72" i="6"/>
  <c r="I72" i="6"/>
  <c r="H72" i="6"/>
  <c r="G72" i="6"/>
  <c r="B70" i="6"/>
  <c r="F54" i="6"/>
  <c r="F53" i="6"/>
  <c r="F52" i="6"/>
  <c r="F51" i="6"/>
  <c r="F50" i="6"/>
  <c r="F49" i="6"/>
  <c r="F48" i="6"/>
  <c r="F47" i="6"/>
  <c r="F46" i="6"/>
  <c r="F45" i="6"/>
  <c r="F44" i="6"/>
  <c r="F43" i="6"/>
  <c r="F42" i="6"/>
  <c r="F41" i="6"/>
  <c r="F40" i="6"/>
  <c r="F39" i="6"/>
  <c r="F38" i="6"/>
  <c r="F37" i="6"/>
  <c r="F36" i="6"/>
  <c r="F35" i="6"/>
  <c r="E30" i="6"/>
  <c r="D30" i="6"/>
  <c r="E29" i="6"/>
  <c r="D29" i="6"/>
  <c r="E28" i="6"/>
  <c r="D28" i="6"/>
  <c r="E27" i="6"/>
  <c r="D27" i="6"/>
  <c r="E26" i="6"/>
  <c r="D26" i="6"/>
  <c r="E25" i="6"/>
  <c r="D25" i="6"/>
  <c r="C25" i="6"/>
  <c r="V29" i="5"/>
  <c r="U29" i="5"/>
  <c r="T29" i="5"/>
  <c r="S29" i="5"/>
  <c r="R29" i="5"/>
  <c r="Q29" i="5"/>
  <c r="P29" i="5"/>
  <c r="O29" i="5"/>
  <c r="N29" i="5"/>
  <c r="M29" i="5"/>
  <c r="L29" i="5"/>
  <c r="K29" i="5"/>
  <c r="J29" i="5"/>
  <c r="I29" i="5"/>
  <c r="H29" i="5"/>
  <c r="G29" i="5"/>
  <c r="F29" i="5"/>
  <c r="E29" i="5"/>
  <c r="D29" i="5"/>
  <c r="C29" i="5"/>
  <c r="V28" i="5"/>
  <c r="U28" i="5"/>
  <c r="T28" i="5"/>
  <c r="S28" i="5"/>
  <c r="R28" i="5"/>
  <c r="Q28" i="5"/>
  <c r="P28" i="5"/>
  <c r="O28" i="5"/>
  <c r="N28" i="5"/>
  <c r="M28" i="5"/>
  <c r="L28" i="5"/>
  <c r="K28" i="5"/>
  <c r="J28" i="5"/>
  <c r="I28" i="5"/>
  <c r="H28" i="5"/>
  <c r="G28" i="5"/>
  <c r="F28" i="5"/>
  <c r="E28" i="5"/>
  <c r="D28" i="5"/>
  <c r="C28" i="5"/>
  <c r="V27" i="5"/>
  <c r="U27" i="5"/>
  <c r="T27" i="5"/>
  <c r="S27" i="5"/>
  <c r="R27" i="5"/>
  <c r="Q27" i="5"/>
  <c r="P27" i="5"/>
  <c r="O27" i="5"/>
  <c r="N27" i="5"/>
  <c r="M27" i="5"/>
  <c r="L27" i="5"/>
  <c r="K27" i="5"/>
  <c r="J27" i="5"/>
  <c r="I27" i="5"/>
  <c r="H27" i="5"/>
  <c r="G27" i="5"/>
  <c r="F27" i="5"/>
  <c r="E27" i="5"/>
  <c r="D27" i="5"/>
  <c r="C27" i="5"/>
  <c r="V26" i="5"/>
  <c r="U26" i="5"/>
  <c r="T26" i="5"/>
  <c r="S26" i="5"/>
  <c r="R26" i="5"/>
  <c r="Q26" i="5"/>
  <c r="P26" i="5"/>
  <c r="O26" i="5"/>
  <c r="N26" i="5"/>
  <c r="M26" i="5"/>
  <c r="L26" i="5"/>
  <c r="K26" i="5"/>
  <c r="J26" i="5"/>
  <c r="I26" i="5"/>
  <c r="H26" i="5"/>
  <c r="G26" i="5"/>
  <c r="F26" i="5"/>
  <c r="E26" i="5"/>
  <c r="D26" i="5"/>
  <c r="C26" i="5"/>
  <c r="V25" i="5"/>
  <c r="U25" i="5"/>
  <c r="T25" i="5"/>
  <c r="S25" i="5"/>
  <c r="R25" i="5"/>
  <c r="Q25" i="5"/>
  <c r="P25" i="5"/>
  <c r="O25" i="5"/>
  <c r="N25" i="5"/>
  <c r="M25" i="5"/>
  <c r="L25" i="5"/>
  <c r="K25" i="5"/>
  <c r="J25" i="5"/>
  <c r="I25" i="5"/>
  <c r="H25" i="5"/>
  <c r="G25" i="5"/>
  <c r="F25" i="5"/>
  <c r="E25" i="5"/>
  <c r="D25" i="5"/>
  <c r="C25" i="5"/>
  <c r="V24" i="5"/>
  <c r="U24" i="5"/>
  <c r="T24" i="5"/>
  <c r="S24" i="5"/>
  <c r="R24" i="5"/>
  <c r="Q24" i="5"/>
  <c r="P24" i="5"/>
  <c r="O24" i="5"/>
  <c r="N24" i="5"/>
  <c r="M24" i="5"/>
  <c r="L24" i="5"/>
  <c r="K24" i="5"/>
  <c r="J24" i="5"/>
  <c r="I24" i="5"/>
  <c r="H24" i="5"/>
  <c r="G24" i="5"/>
  <c r="F24" i="5"/>
  <c r="E24" i="5"/>
  <c r="D24" i="5"/>
  <c r="C24" i="5"/>
  <c r="V23" i="5"/>
  <c r="U23" i="5"/>
  <c r="T23" i="5"/>
  <c r="S23" i="5"/>
  <c r="R23" i="5"/>
  <c r="Q23" i="5"/>
  <c r="P23" i="5"/>
  <c r="O23" i="5"/>
  <c r="N23" i="5"/>
  <c r="M23" i="5"/>
  <c r="L23" i="5"/>
  <c r="K23" i="5"/>
  <c r="J23" i="5"/>
  <c r="I23" i="5"/>
  <c r="H23" i="5"/>
  <c r="G23" i="5"/>
  <c r="F23" i="5"/>
  <c r="E23" i="5"/>
  <c r="D23" i="5"/>
  <c r="C23" i="5"/>
  <c r="V22" i="5"/>
  <c r="U22" i="5"/>
  <c r="T22" i="5"/>
  <c r="S22" i="5"/>
  <c r="R22" i="5"/>
  <c r="Q22" i="5"/>
  <c r="P22" i="5"/>
  <c r="O22" i="5"/>
  <c r="N22" i="5"/>
  <c r="M22" i="5"/>
  <c r="L22" i="5"/>
  <c r="K22" i="5"/>
  <c r="J22" i="5"/>
  <c r="I22" i="5"/>
  <c r="H22" i="5"/>
  <c r="G22" i="5"/>
  <c r="F22" i="5"/>
  <c r="E22" i="5"/>
  <c r="D22" i="5"/>
  <c r="C22" i="5"/>
  <c r="V21" i="5"/>
  <c r="U21" i="5"/>
  <c r="T21" i="5"/>
  <c r="S21" i="5"/>
  <c r="R21" i="5"/>
  <c r="Q21" i="5"/>
  <c r="P21" i="5"/>
  <c r="O21" i="5"/>
  <c r="N21" i="5"/>
  <c r="M21" i="5"/>
  <c r="L21" i="5"/>
  <c r="K21" i="5"/>
  <c r="J21" i="5"/>
  <c r="I21" i="5"/>
  <c r="H21" i="5"/>
  <c r="G21" i="5"/>
  <c r="F21" i="5"/>
  <c r="E21" i="5"/>
  <c r="D21" i="5"/>
  <c r="C21" i="5"/>
  <c r="V20" i="5"/>
  <c r="U20" i="5"/>
  <c r="T20" i="5"/>
  <c r="S20" i="5"/>
  <c r="R20" i="5"/>
  <c r="Q20" i="5"/>
  <c r="P20" i="5"/>
  <c r="O20" i="5"/>
  <c r="N20" i="5"/>
  <c r="M20" i="5"/>
  <c r="L20" i="5"/>
  <c r="K20" i="5"/>
  <c r="J20" i="5"/>
  <c r="I20" i="5"/>
  <c r="H20" i="5"/>
  <c r="G20" i="5"/>
  <c r="F20" i="5"/>
  <c r="E20" i="5"/>
  <c r="D20" i="5"/>
  <c r="C20" i="5"/>
  <c r="V19" i="5"/>
  <c r="U19" i="5"/>
  <c r="T19" i="5"/>
  <c r="S19" i="5"/>
  <c r="R19" i="5"/>
  <c r="Q19" i="5"/>
  <c r="P19" i="5"/>
  <c r="O19" i="5"/>
  <c r="N19" i="5"/>
  <c r="M19" i="5"/>
  <c r="L19" i="5"/>
  <c r="K19" i="5"/>
  <c r="J19" i="5"/>
  <c r="I19" i="5"/>
  <c r="H19" i="5"/>
  <c r="G19" i="5"/>
  <c r="F19" i="5"/>
  <c r="E19" i="5"/>
  <c r="D19" i="5"/>
  <c r="C19" i="5"/>
  <c r="V18" i="5"/>
  <c r="U18" i="5"/>
  <c r="T18" i="5"/>
  <c r="S18" i="5"/>
  <c r="R18" i="5"/>
  <c r="Q18" i="5"/>
  <c r="P18" i="5"/>
  <c r="O18" i="5"/>
  <c r="N18" i="5"/>
  <c r="M18" i="5"/>
  <c r="L18" i="5"/>
  <c r="K18" i="5"/>
  <c r="J18" i="5"/>
  <c r="I18" i="5"/>
  <c r="H18" i="5"/>
  <c r="G18" i="5"/>
  <c r="F18" i="5"/>
  <c r="E18" i="5"/>
  <c r="D18" i="5"/>
  <c r="C18" i="5"/>
  <c r="V17" i="5"/>
  <c r="U17" i="5"/>
  <c r="T17" i="5"/>
  <c r="S17" i="5"/>
  <c r="R17" i="5"/>
  <c r="Q17" i="5"/>
  <c r="P17" i="5"/>
  <c r="O17" i="5"/>
  <c r="N17" i="5"/>
  <c r="M17" i="5"/>
  <c r="L17" i="5"/>
  <c r="K17" i="5"/>
  <c r="J17" i="5"/>
  <c r="I17" i="5"/>
  <c r="H17" i="5"/>
  <c r="G17" i="5"/>
  <c r="F17" i="5"/>
  <c r="E17" i="5"/>
  <c r="D17" i="5"/>
  <c r="C17" i="5"/>
  <c r="V16" i="5"/>
  <c r="U16" i="5"/>
  <c r="T16" i="5"/>
  <c r="S16" i="5"/>
  <c r="R16" i="5"/>
  <c r="Q16" i="5"/>
  <c r="P16" i="5"/>
  <c r="O16" i="5"/>
  <c r="N16" i="5"/>
  <c r="M16" i="5"/>
  <c r="L16" i="5"/>
  <c r="K16" i="5"/>
  <c r="J16" i="5"/>
  <c r="I16" i="5"/>
  <c r="H16" i="5"/>
  <c r="G16" i="5"/>
  <c r="F16" i="5"/>
  <c r="E16" i="5"/>
  <c r="D16" i="5"/>
  <c r="C16" i="5"/>
  <c r="V15" i="5"/>
  <c r="U15" i="5"/>
  <c r="T15" i="5"/>
  <c r="S15" i="5"/>
  <c r="R15" i="5"/>
  <c r="Q15" i="5"/>
  <c r="P15" i="5"/>
  <c r="O15" i="5"/>
  <c r="N15" i="5"/>
  <c r="M15" i="5"/>
  <c r="L15" i="5"/>
  <c r="K15" i="5"/>
  <c r="J15" i="5"/>
  <c r="I15" i="5"/>
  <c r="H15" i="5"/>
  <c r="G15" i="5"/>
  <c r="F15" i="5"/>
  <c r="E15" i="5"/>
  <c r="D15" i="5"/>
  <c r="C15" i="5"/>
  <c r="V14" i="5"/>
  <c r="U14" i="5"/>
  <c r="T14" i="5"/>
  <c r="S14" i="5"/>
  <c r="R14" i="5"/>
  <c r="Q14" i="5"/>
  <c r="P14" i="5"/>
  <c r="O14" i="5"/>
  <c r="N14" i="5"/>
  <c r="M14" i="5"/>
  <c r="L14" i="5"/>
  <c r="K14" i="5"/>
  <c r="J14" i="5"/>
  <c r="I14" i="5"/>
  <c r="H14" i="5"/>
  <c r="G14" i="5"/>
  <c r="F14" i="5"/>
  <c r="E14" i="5"/>
  <c r="D14" i="5"/>
  <c r="C14" i="5"/>
  <c r="V13" i="5"/>
  <c r="U13" i="5"/>
  <c r="T13" i="5"/>
  <c r="S13" i="5"/>
  <c r="R13" i="5"/>
  <c r="Q13" i="5"/>
  <c r="P13" i="5"/>
  <c r="O13" i="5"/>
  <c r="N13" i="5"/>
  <c r="M13" i="5"/>
  <c r="L13" i="5"/>
  <c r="K13" i="5"/>
  <c r="J13" i="5"/>
  <c r="I13" i="5"/>
  <c r="H13" i="5"/>
  <c r="G13" i="5"/>
  <c r="F13" i="5"/>
  <c r="E13" i="5"/>
  <c r="D13" i="5"/>
  <c r="C13" i="5"/>
  <c r="V12" i="5"/>
  <c r="U12" i="5"/>
  <c r="T12" i="5"/>
  <c r="S12" i="5"/>
  <c r="R12" i="5"/>
  <c r="Q12" i="5"/>
  <c r="P12" i="5"/>
  <c r="O12" i="5"/>
  <c r="N12" i="5"/>
  <c r="M12" i="5"/>
  <c r="L12" i="5"/>
  <c r="K12" i="5"/>
  <c r="J12" i="5"/>
  <c r="I12" i="5"/>
  <c r="H12" i="5"/>
  <c r="G12" i="5"/>
  <c r="F12" i="5"/>
  <c r="E12" i="5"/>
  <c r="D12" i="5"/>
  <c r="C12" i="5"/>
  <c r="V11" i="5"/>
  <c r="U11" i="5"/>
  <c r="T11" i="5"/>
  <c r="S11" i="5"/>
  <c r="R11" i="5"/>
  <c r="Q11" i="5"/>
  <c r="P11" i="5"/>
  <c r="O11" i="5"/>
  <c r="N11" i="5"/>
  <c r="M11" i="5"/>
  <c r="L11" i="5"/>
  <c r="K11" i="5"/>
  <c r="J11" i="5"/>
  <c r="I11" i="5"/>
  <c r="H11" i="5"/>
  <c r="G11" i="5"/>
  <c r="F11" i="5"/>
  <c r="E11" i="5"/>
  <c r="D11" i="5"/>
  <c r="C11" i="5"/>
  <c r="V10" i="5"/>
  <c r="U10" i="5"/>
  <c r="T10" i="5"/>
  <c r="S10" i="5"/>
  <c r="R10" i="5"/>
  <c r="Q10" i="5"/>
  <c r="P10" i="5"/>
  <c r="O10" i="5"/>
  <c r="N10" i="5"/>
  <c r="M10" i="5"/>
  <c r="L10" i="5"/>
  <c r="K10" i="5"/>
  <c r="J10" i="5"/>
  <c r="I10" i="5"/>
  <c r="H10" i="5"/>
  <c r="G10" i="5"/>
  <c r="F10" i="5"/>
  <c r="E10" i="5"/>
  <c r="D10" i="5"/>
  <c r="C10" i="5"/>
  <c r="C7" i="5"/>
  <c r="V5" i="5"/>
  <c r="V6" i="5" s="1"/>
  <c r="V7" i="5" s="1"/>
  <c r="U5" i="5"/>
  <c r="U6" i="5" s="1"/>
  <c r="U7" i="5" s="1"/>
  <c r="T5" i="5"/>
  <c r="T6" i="5" s="1"/>
  <c r="T7" i="5" s="1"/>
  <c r="S5" i="5"/>
  <c r="S6" i="5" s="1"/>
  <c r="S7" i="5" s="1"/>
  <c r="R5" i="5"/>
  <c r="R6" i="5" s="1"/>
  <c r="R7" i="5" s="1"/>
  <c r="Q5" i="5"/>
  <c r="Q6" i="5" s="1"/>
  <c r="Q7" i="5" s="1"/>
  <c r="P5" i="5"/>
  <c r="P6" i="5" s="1"/>
  <c r="P7" i="5" s="1"/>
  <c r="O5" i="5"/>
  <c r="O6" i="5" s="1"/>
  <c r="O7" i="5" s="1"/>
  <c r="N5" i="5"/>
  <c r="N6" i="5" s="1"/>
  <c r="N7" i="5" s="1"/>
  <c r="M5" i="5"/>
  <c r="M6" i="5" s="1"/>
  <c r="M7" i="5" s="1"/>
  <c r="L5" i="5"/>
  <c r="L6" i="5" s="1"/>
  <c r="L7" i="5" s="1"/>
  <c r="K5" i="5"/>
  <c r="K6" i="5" s="1"/>
  <c r="K7" i="5" s="1"/>
  <c r="J5" i="5"/>
  <c r="J6" i="5" s="1"/>
  <c r="J7" i="5" s="1"/>
  <c r="I5" i="5"/>
  <c r="I6" i="5" s="1"/>
  <c r="I7" i="5" s="1"/>
  <c r="H5" i="5"/>
  <c r="H6" i="5" s="1"/>
  <c r="H7" i="5" s="1"/>
  <c r="G5" i="5"/>
  <c r="G6" i="5" s="1"/>
  <c r="G7" i="5" s="1"/>
  <c r="F5" i="5"/>
  <c r="F6" i="5" s="1"/>
  <c r="F7" i="5" s="1"/>
  <c r="E5" i="5"/>
  <c r="E6" i="5" s="1"/>
  <c r="E7" i="5" s="1"/>
  <c r="D5" i="5"/>
  <c r="D6" i="5" s="1"/>
  <c r="D7" i="5" s="1"/>
  <c r="C5" i="5"/>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C7" i="4"/>
  <c r="B7" i="4"/>
  <c r="L3" i="4"/>
  <c r="K3" i="4"/>
  <c r="J3" i="4"/>
  <c r="I3" i="4"/>
  <c r="H3" i="4"/>
  <c r="G3" i="4"/>
  <c r="F3" i="4"/>
  <c r="E3" i="4"/>
  <c r="D3" i="4"/>
  <c r="C3" i="4"/>
  <c r="B3" i="4"/>
  <c r="B21" i="2"/>
  <c r="B20" i="2"/>
  <c r="B19" i="2"/>
  <c r="B14" i="2"/>
  <c r="F35" i="1"/>
  <c r="G6" i="1"/>
  <c r="G5" i="1"/>
  <c r="B224" i="4" l="1"/>
  <c r="B226" i="4"/>
  <c r="B225" i="4"/>
  <c r="B216" i="4"/>
  <c r="B213" i="4"/>
  <c r="B210" i="4"/>
  <c r="B217" i="4"/>
  <c r="B214" i="4"/>
  <c r="B211" i="4"/>
  <c r="B218" i="4"/>
  <c r="B215" i="4"/>
  <c r="B212" i="4"/>
  <c r="B209" i="4"/>
  <c r="B219" i="4"/>
  <c r="B227" i="4"/>
  <c r="B208" i="4"/>
  <c r="B222" i="4"/>
  <c r="B221" i="4"/>
  <c r="B220" i="4"/>
  <c r="B223" i="4"/>
  <c r="B191" i="4"/>
  <c r="B188" i="4"/>
  <c r="B206" i="4"/>
  <c r="B194" i="4"/>
  <c r="B190" i="4"/>
  <c r="B192" i="4"/>
  <c r="B193" i="4"/>
  <c r="B189" i="4"/>
  <c r="B207" i="4"/>
  <c r="B171" i="4"/>
  <c r="B168" i="4"/>
  <c r="B180" i="4"/>
  <c r="B176" i="4"/>
  <c r="B173" i="4"/>
  <c r="B187" i="4"/>
  <c r="B186" i="4"/>
  <c r="B184" i="4"/>
  <c r="B182" i="4"/>
  <c r="B179" i="4"/>
  <c r="B183" i="4"/>
  <c r="B185" i="4"/>
  <c r="B170" i="4"/>
  <c r="B181" i="4"/>
  <c r="B169" i="4"/>
  <c r="B178" i="4"/>
  <c r="B175" i="4"/>
  <c r="B177" i="4"/>
  <c r="B174" i="4"/>
  <c r="B172" i="4"/>
  <c r="B163" i="4"/>
  <c r="B159" i="4"/>
  <c r="B164" i="4"/>
  <c r="B160" i="4"/>
  <c r="B155" i="4"/>
  <c r="B167" i="4"/>
  <c r="B162" i="4"/>
  <c r="B157" i="4"/>
  <c r="B165" i="4"/>
  <c r="B158" i="4"/>
  <c r="B154" i="4"/>
  <c r="B166" i="4"/>
  <c r="B161" i="4"/>
  <c r="B156" i="4"/>
  <c r="B123" i="4"/>
  <c r="B119" i="4"/>
  <c r="B115" i="4"/>
  <c r="B112" i="4"/>
  <c r="B120" i="4"/>
  <c r="B124" i="4"/>
  <c r="B110" i="4"/>
  <c r="B121" i="4"/>
  <c r="B116" i="4"/>
  <c r="B111" i="4"/>
  <c r="B122" i="4"/>
  <c r="B118" i="4"/>
  <c r="B114" i="4"/>
  <c r="B117" i="4"/>
  <c r="B108" i="4"/>
  <c r="B109" i="4"/>
  <c r="B113" i="4"/>
  <c r="B104" i="4"/>
  <c r="B107" i="4"/>
  <c r="B106" i="4"/>
  <c r="B101" i="4"/>
  <c r="B103" i="4"/>
  <c r="B105" i="4"/>
  <c r="B102" i="4"/>
  <c r="B85" i="4"/>
  <c r="B81" i="4"/>
  <c r="B80" i="4"/>
  <c r="B68" i="4"/>
  <c r="B83" i="4"/>
  <c r="B76" i="4"/>
  <c r="B69" i="4"/>
  <c r="B71" i="4"/>
  <c r="B77" i="4"/>
  <c r="B72" i="4"/>
  <c r="B84" i="4"/>
  <c r="B73" i="4"/>
  <c r="B78" i="4"/>
  <c r="B74" i="4"/>
  <c r="B82" i="4"/>
  <c r="B79" i="4"/>
  <c r="B75" i="4"/>
  <c r="B70" i="4"/>
  <c r="B54" i="4"/>
  <c r="B64" i="4"/>
  <c r="B65" i="4"/>
  <c r="B58" i="4"/>
  <c r="B56" i="4"/>
  <c r="B60" i="4"/>
  <c r="B55" i="4"/>
  <c r="B61" i="4"/>
  <c r="B67" i="4"/>
  <c r="B51" i="4"/>
  <c r="B49" i="4"/>
  <c r="B66" i="4"/>
  <c r="B63" i="4"/>
  <c r="B57" i="4"/>
  <c r="B53" i="4"/>
  <c r="B50" i="4"/>
  <c r="B62" i="4"/>
  <c r="B59" i="4"/>
  <c r="B52" i="4"/>
  <c r="B76" i="6"/>
  <c r="B73" i="6"/>
  <c r="B72" i="6"/>
  <c r="X29" i="5"/>
  <c r="AB29" i="5"/>
  <c r="Y29" i="5"/>
  <c r="Z29" i="5" s="1"/>
  <c r="C52" i="5"/>
  <c r="X28" i="5"/>
  <c r="Y28" i="5"/>
  <c r="Z28" i="5" s="1"/>
  <c r="X27" i="5"/>
  <c r="C50" i="5"/>
  <c r="X26" i="5"/>
  <c r="C49" i="5"/>
  <c r="X25" i="5"/>
  <c r="X24" i="5"/>
  <c r="AB24" i="5"/>
  <c r="AD22" i="4" s="1"/>
  <c r="X23" i="5"/>
  <c r="Y23" i="5" s="1"/>
  <c r="Z23" i="5" s="1"/>
  <c r="C46" i="5"/>
  <c r="AB23" i="5"/>
  <c r="X22" i="5"/>
  <c r="AB22" i="5" s="1"/>
  <c r="Y22" i="5"/>
  <c r="Z22" i="5" s="1"/>
  <c r="C45" i="5"/>
  <c r="X21" i="5"/>
  <c r="C44" i="5"/>
  <c r="X20" i="5"/>
  <c r="C43" i="5" s="1"/>
  <c r="Y20" i="5"/>
  <c r="Z20" i="5" s="1"/>
  <c r="X19" i="5"/>
  <c r="AB19" i="5"/>
  <c r="X18" i="5"/>
  <c r="AB18" i="5"/>
  <c r="AD196" i="4" s="1"/>
  <c r="Y18" i="5"/>
  <c r="Z18" i="5" s="1"/>
  <c r="C41" i="5"/>
  <c r="X17" i="5"/>
  <c r="Y17" i="5"/>
  <c r="Z17" i="5" s="1"/>
  <c r="C40" i="5"/>
  <c r="AB17" i="5"/>
  <c r="X16" i="5"/>
  <c r="C39" i="5" s="1"/>
  <c r="Y16" i="5"/>
  <c r="Z16" i="5" s="1"/>
  <c r="AB16" i="5"/>
  <c r="X15" i="5"/>
  <c r="AB15" i="5"/>
  <c r="X14" i="5"/>
  <c r="X13" i="5"/>
  <c r="X12" i="5"/>
  <c r="Y12" i="5"/>
  <c r="Z12" i="5" s="1"/>
  <c r="C35" i="5"/>
  <c r="AB12" i="5"/>
  <c r="X11" i="5"/>
  <c r="Y11" i="5"/>
  <c r="Z11" i="5" s="1"/>
  <c r="AB11" i="5"/>
  <c r="C34" i="5"/>
  <c r="X10" i="5"/>
  <c r="C6" i="5"/>
  <c r="AB20" i="5"/>
  <c r="J227" i="4"/>
  <c r="N227" i="4"/>
  <c r="J226" i="4"/>
  <c r="N226" i="4"/>
  <c r="N225" i="4"/>
  <c r="J225" i="4"/>
  <c r="N224" i="4"/>
  <c r="J224" i="4"/>
  <c r="N223" i="4"/>
  <c r="J223" i="4"/>
  <c r="J222" i="4"/>
  <c r="N222" i="4"/>
  <c r="J221" i="4"/>
  <c r="N221" i="4"/>
  <c r="J220" i="4"/>
  <c r="N220" i="4"/>
  <c r="N219" i="4"/>
  <c r="J219" i="4"/>
  <c r="N218" i="4"/>
  <c r="J218" i="4"/>
  <c r="J217" i="4"/>
  <c r="N217" i="4"/>
  <c r="J216" i="4"/>
  <c r="N216" i="4"/>
  <c r="J215" i="4"/>
  <c r="N215" i="4"/>
  <c r="N214" i="4"/>
  <c r="J214" i="4"/>
  <c r="J213" i="4"/>
  <c r="N213" i="4"/>
  <c r="N212" i="4"/>
  <c r="J212" i="4"/>
  <c r="J191" i="4"/>
  <c r="N191" i="4"/>
  <c r="J190" i="4"/>
  <c r="N190" i="4"/>
  <c r="N189" i="4"/>
  <c r="J189" i="4"/>
  <c r="N188" i="4"/>
  <c r="J188" i="4"/>
  <c r="N187" i="4"/>
  <c r="J187" i="4"/>
  <c r="N186" i="4"/>
  <c r="J186" i="4"/>
  <c r="N185" i="4"/>
  <c r="J185" i="4"/>
  <c r="N184" i="4"/>
  <c r="J184" i="4"/>
  <c r="J183" i="4"/>
  <c r="N183" i="4"/>
  <c r="J182" i="4"/>
  <c r="N182" i="4"/>
  <c r="J181" i="4"/>
  <c r="N181" i="4"/>
  <c r="J180" i="4"/>
  <c r="N180" i="4"/>
  <c r="J179" i="4"/>
  <c r="N179" i="4"/>
  <c r="N178" i="4"/>
  <c r="J178" i="4"/>
  <c r="N177" i="4"/>
  <c r="J177" i="4"/>
  <c r="N176" i="4"/>
  <c r="J176" i="4"/>
  <c r="N175" i="4"/>
  <c r="J175" i="4"/>
  <c r="J174" i="4"/>
  <c r="N174" i="4"/>
  <c r="J173" i="4"/>
  <c r="N173" i="4"/>
  <c r="J172" i="4"/>
  <c r="N172" i="4"/>
  <c r="N171" i="4"/>
  <c r="J171" i="4"/>
  <c r="J170" i="4"/>
  <c r="N170" i="4"/>
  <c r="J169" i="4"/>
  <c r="N169" i="4"/>
  <c r="N168" i="4"/>
  <c r="J168" i="4"/>
  <c r="N167" i="4"/>
  <c r="J167" i="4"/>
  <c r="N166" i="4"/>
  <c r="J166" i="4"/>
  <c r="N165" i="4"/>
  <c r="J165" i="4"/>
  <c r="J164" i="4"/>
  <c r="N164" i="4"/>
  <c r="J163" i="4"/>
  <c r="N163" i="4"/>
  <c r="N117" i="4"/>
  <c r="J117" i="4"/>
  <c r="N116" i="4"/>
  <c r="J116" i="4"/>
  <c r="J115" i="4"/>
  <c r="N115" i="4"/>
  <c r="N114" i="4"/>
  <c r="J114" i="4"/>
  <c r="J113" i="4"/>
  <c r="N113" i="4"/>
  <c r="J112" i="4"/>
  <c r="N112" i="4"/>
  <c r="J111" i="4"/>
  <c r="N111" i="4"/>
  <c r="N110" i="4"/>
  <c r="J110" i="4"/>
  <c r="J109" i="4"/>
  <c r="N109" i="4"/>
  <c r="J108" i="4"/>
  <c r="N108" i="4"/>
  <c r="J107" i="4"/>
  <c r="N107" i="4"/>
  <c r="J106" i="4"/>
  <c r="N106" i="4"/>
  <c r="N105" i="4"/>
  <c r="J105" i="4"/>
  <c r="N104" i="4"/>
  <c r="J104" i="4"/>
  <c r="N103" i="4"/>
  <c r="J103" i="4"/>
  <c r="N102" i="4"/>
  <c r="J102" i="4"/>
  <c r="N101" i="4"/>
  <c r="J101" i="4"/>
  <c r="N85" i="4"/>
  <c r="J85" i="4"/>
  <c r="J84" i="4"/>
  <c r="N84" i="4"/>
  <c r="J83" i="4"/>
  <c r="N83" i="4"/>
  <c r="N82" i="4"/>
  <c r="J82" i="4"/>
  <c r="N81" i="4"/>
  <c r="J81" i="4"/>
  <c r="K7" i="4"/>
  <c r="D7" i="4"/>
  <c r="J7" i="4"/>
  <c r="G10" i="1" s="1"/>
  <c r="N7" i="4"/>
  <c r="A18" i="6"/>
  <c r="AU6" i="4"/>
  <c r="B197" i="4"/>
  <c r="B198" i="4"/>
  <c r="A17" i="6"/>
  <c r="B205" i="4"/>
  <c r="B204" i="4"/>
  <c r="B203" i="4"/>
  <c r="B202" i="4"/>
  <c r="B201" i="4"/>
  <c r="B196" i="4"/>
  <c r="B200" i="4"/>
  <c r="B199" i="4"/>
  <c r="AT6" i="4"/>
  <c r="B195" i="4"/>
  <c r="A16" i="6"/>
  <c r="AS6" i="4"/>
  <c r="B150" i="4"/>
  <c r="B151" i="4"/>
  <c r="B152" i="4"/>
  <c r="B153" i="4"/>
  <c r="A15" i="6"/>
  <c r="AR6" i="4"/>
  <c r="B148" i="4"/>
  <c r="B149" i="4"/>
  <c r="B137" i="4"/>
  <c r="B136" i="4"/>
  <c r="B141" i="4"/>
  <c r="B142" i="4"/>
  <c r="B135" i="4"/>
  <c r="B134" i="4"/>
  <c r="B132" i="4"/>
  <c r="B131" i="4"/>
  <c r="B143" i="4"/>
  <c r="B130" i="4"/>
  <c r="B129" i="4"/>
  <c r="B128" i="4"/>
  <c r="B146" i="4"/>
  <c r="B144" i="4"/>
  <c r="A14" i="6"/>
  <c r="B133" i="4"/>
  <c r="B145" i="4"/>
  <c r="B147" i="4"/>
  <c r="B139" i="4"/>
  <c r="B138" i="4"/>
  <c r="B140" i="4"/>
  <c r="AQ6" i="4"/>
  <c r="AP6" i="4"/>
  <c r="B126" i="4"/>
  <c r="B125" i="4"/>
  <c r="A13" i="6"/>
  <c r="B127" i="4"/>
  <c r="B93" i="4"/>
  <c r="B94" i="4"/>
  <c r="B91" i="4"/>
  <c r="B92" i="4"/>
  <c r="B88" i="4"/>
  <c r="B99" i="4"/>
  <c r="AO6" i="4"/>
  <c r="B97" i="4"/>
  <c r="A12" i="6"/>
  <c r="B100" i="4"/>
  <c r="B96" i="4"/>
  <c r="B98" i="4"/>
  <c r="B95" i="4"/>
  <c r="B89" i="4"/>
  <c r="B90" i="4"/>
  <c r="B86" i="4"/>
  <c r="A11" i="6"/>
  <c r="AN6" i="4"/>
  <c r="B87" i="4"/>
  <c r="B48" i="4"/>
  <c r="AM6" i="4"/>
  <c r="A10" i="6"/>
  <c r="B38" i="4"/>
  <c r="B39" i="4"/>
  <c r="B43" i="4"/>
  <c r="B42" i="4"/>
  <c r="B41" i="4"/>
  <c r="B44" i="4"/>
  <c r="B35" i="4"/>
  <c r="B45" i="4"/>
  <c r="B46" i="4"/>
  <c r="B47" i="4"/>
  <c r="AL6" i="4"/>
  <c r="B32" i="4"/>
  <c r="B28" i="4"/>
  <c r="B29" i="4"/>
  <c r="B34" i="4"/>
  <c r="B30" i="4"/>
  <c r="B31" i="4"/>
  <c r="B33" i="4"/>
  <c r="A9" i="6"/>
  <c r="B40" i="4"/>
  <c r="B36" i="4"/>
  <c r="B37" i="4"/>
  <c r="B12" i="4"/>
  <c r="B21" i="4"/>
  <c r="B11" i="4"/>
  <c r="B20" i="4"/>
  <c r="B19" i="4"/>
  <c r="B24" i="4"/>
  <c r="B16" i="4"/>
  <c r="B18" i="4"/>
  <c r="B27" i="4"/>
  <c r="A8" i="6"/>
  <c r="B26" i="4"/>
  <c r="B25" i="4"/>
  <c r="B8" i="4"/>
  <c r="B10" i="4"/>
  <c r="B15" i="4"/>
  <c r="B22" i="4"/>
  <c r="B17" i="4"/>
  <c r="B9" i="4"/>
  <c r="AK6" i="4"/>
  <c r="B23" i="4"/>
  <c r="B13" i="4"/>
  <c r="B14" i="4"/>
  <c r="AD47" i="4"/>
  <c r="AD202" i="4"/>
  <c r="AD21" i="4"/>
  <c r="AD27" i="4"/>
  <c r="AD97" i="4"/>
  <c r="AD201" i="4"/>
  <c r="AD95" i="4"/>
  <c r="AD14" i="4"/>
  <c r="AD96" i="4"/>
  <c r="AD16" i="4"/>
  <c r="AD194" i="4"/>
  <c r="AD94" i="4"/>
  <c r="AD98" i="4"/>
  <c r="AD42" i="4"/>
  <c r="AD7" i="4"/>
  <c r="G20" i="1" s="1"/>
  <c r="AD41" i="4"/>
  <c r="AD87" i="4"/>
  <c r="AD136" i="4"/>
  <c r="AD137" i="4"/>
  <c r="AD135" i="4"/>
  <c r="AD150" i="4"/>
  <c r="AD38" i="4"/>
  <c r="AD134" i="4"/>
  <c r="AD141" i="4"/>
  <c r="AD133" i="4"/>
  <c r="AD138" i="4"/>
  <c r="AD37" i="4"/>
  <c r="AD142" i="4"/>
  <c r="AD130" i="4"/>
  <c r="AD36" i="4"/>
  <c r="AD129" i="4"/>
  <c r="AD127" i="4"/>
  <c r="AD35" i="4"/>
  <c r="AD89" i="4"/>
  <c r="AD34" i="4"/>
  <c r="AD147" i="4"/>
  <c r="AD33" i="4"/>
  <c r="AD149" i="4"/>
  <c r="AD90" i="4"/>
  <c r="N210" i="4" l="1"/>
  <c r="J210" i="4"/>
  <c r="N211" i="4"/>
  <c r="J211" i="4"/>
  <c r="N209" i="4"/>
  <c r="J209" i="4"/>
  <c r="N208" i="4"/>
  <c r="J208" i="4"/>
  <c r="N206" i="4"/>
  <c r="J206" i="4"/>
  <c r="J194" i="4"/>
  <c r="N194" i="4"/>
  <c r="N192" i="4"/>
  <c r="J192" i="4"/>
  <c r="J193" i="4"/>
  <c r="N193" i="4"/>
  <c r="J207" i="4"/>
  <c r="N207" i="4"/>
  <c r="J159" i="4"/>
  <c r="N159" i="4"/>
  <c r="J160" i="4"/>
  <c r="N160" i="4"/>
  <c r="J155" i="4"/>
  <c r="N155" i="4"/>
  <c r="N162" i="4"/>
  <c r="J162" i="4"/>
  <c r="J157" i="4"/>
  <c r="N157" i="4"/>
  <c r="J158" i="4"/>
  <c r="N158" i="4"/>
  <c r="J154" i="4"/>
  <c r="N154" i="4"/>
  <c r="J161" i="4"/>
  <c r="N161" i="4"/>
  <c r="J156" i="4"/>
  <c r="N156" i="4"/>
  <c r="J123" i="4"/>
  <c r="N123" i="4"/>
  <c r="J119" i="4"/>
  <c r="N119" i="4"/>
  <c r="J120" i="4"/>
  <c r="N120" i="4"/>
  <c r="N124" i="4"/>
  <c r="J124" i="4"/>
  <c r="N121" i="4"/>
  <c r="J121" i="4"/>
  <c r="N122" i="4"/>
  <c r="J122" i="4"/>
  <c r="J118" i="4"/>
  <c r="N118" i="4"/>
  <c r="N80" i="4"/>
  <c r="J80" i="4"/>
  <c r="J68" i="4"/>
  <c r="N68" i="4"/>
  <c r="J76" i="4"/>
  <c r="N76" i="4"/>
  <c r="N69" i="4"/>
  <c r="J69" i="4"/>
  <c r="N71" i="4"/>
  <c r="J71" i="4"/>
  <c r="N77" i="4"/>
  <c r="J77" i="4"/>
  <c r="N72" i="4"/>
  <c r="J72" i="4"/>
  <c r="J73" i="4"/>
  <c r="N73" i="4"/>
  <c r="N78" i="4"/>
  <c r="J78" i="4"/>
  <c r="J74" i="4"/>
  <c r="N74" i="4"/>
  <c r="N79" i="4"/>
  <c r="J79" i="4"/>
  <c r="N75" i="4"/>
  <c r="J75" i="4"/>
  <c r="J70" i="4"/>
  <c r="N70" i="4"/>
  <c r="N54" i="4"/>
  <c r="J54" i="4"/>
  <c r="J64" i="4"/>
  <c r="N64" i="4"/>
  <c r="N65" i="4"/>
  <c r="J65" i="4"/>
  <c r="N58" i="4"/>
  <c r="J58" i="4"/>
  <c r="N56" i="4"/>
  <c r="J56" i="4"/>
  <c r="N60" i="4"/>
  <c r="J60" i="4"/>
  <c r="J55" i="4"/>
  <c r="N55" i="4"/>
  <c r="J61" i="4"/>
  <c r="N61" i="4"/>
  <c r="N67" i="4"/>
  <c r="J67" i="4"/>
  <c r="N51" i="4"/>
  <c r="J51" i="4"/>
  <c r="J49" i="4"/>
  <c r="N49" i="4"/>
  <c r="J66" i="4"/>
  <c r="N66" i="4"/>
  <c r="N63" i="4"/>
  <c r="J63" i="4"/>
  <c r="J57" i="4"/>
  <c r="N57" i="4"/>
  <c r="N53" i="4"/>
  <c r="J53" i="4"/>
  <c r="N50" i="4"/>
  <c r="J50" i="4"/>
  <c r="J62" i="4"/>
  <c r="N62" i="4"/>
  <c r="N59" i="4"/>
  <c r="J59" i="4"/>
  <c r="J52" i="4"/>
  <c r="N52" i="4"/>
  <c r="D52" i="5"/>
  <c r="E52" i="5"/>
  <c r="F52" i="5"/>
  <c r="G52" i="5"/>
  <c r="H52" i="5"/>
  <c r="I52" i="5"/>
  <c r="J52" i="5"/>
  <c r="K52" i="5"/>
  <c r="L52" i="5"/>
  <c r="M52" i="5"/>
  <c r="N52" i="5"/>
  <c r="O52" i="5"/>
  <c r="P52" i="5"/>
  <c r="Q52" i="5"/>
  <c r="R52" i="5"/>
  <c r="S52" i="5"/>
  <c r="T52" i="5"/>
  <c r="U52" i="5"/>
  <c r="V52" i="5"/>
  <c r="AD167" i="4"/>
  <c r="AD187" i="4"/>
  <c r="AD207" i="4"/>
  <c r="AD227" i="4"/>
  <c r="AD67" i="4"/>
  <c r="AD107" i="4"/>
  <c r="AA29" i="5"/>
  <c r="D187" i="4"/>
  <c r="D207" i="4"/>
  <c r="D227" i="4"/>
  <c r="D27" i="4"/>
  <c r="D47" i="4"/>
  <c r="D67" i="4"/>
  <c r="D87" i="4"/>
  <c r="D107" i="4"/>
  <c r="D127" i="4"/>
  <c r="D147" i="4"/>
  <c r="D167" i="4"/>
  <c r="D51" i="5"/>
  <c r="F51" i="5"/>
  <c r="I51" i="5"/>
  <c r="K51" i="5"/>
  <c r="M51" i="5"/>
  <c r="U51" i="5"/>
  <c r="E51" i="5"/>
  <c r="G51" i="5"/>
  <c r="H51" i="5"/>
  <c r="J51" i="5"/>
  <c r="L51" i="5"/>
  <c r="N51" i="5"/>
  <c r="O51" i="5"/>
  <c r="P51" i="5"/>
  <c r="Q51" i="5"/>
  <c r="R51" i="5"/>
  <c r="S51" i="5"/>
  <c r="T51" i="5"/>
  <c r="V51" i="5"/>
  <c r="AA28" i="5"/>
  <c r="D206" i="4"/>
  <c r="D166" i="4"/>
  <c r="D26" i="4"/>
  <c r="D46" i="4"/>
  <c r="D66" i="4"/>
  <c r="D86" i="4"/>
  <c r="D106" i="4"/>
  <c r="D126" i="4"/>
  <c r="D146" i="4"/>
  <c r="D186" i="4"/>
  <c r="D226" i="4"/>
  <c r="D50" i="5"/>
  <c r="F50" i="5"/>
  <c r="H50" i="5"/>
  <c r="J50" i="5"/>
  <c r="L50" i="5"/>
  <c r="N50" i="5"/>
  <c r="P50" i="5"/>
  <c r="S50" i="5"/>
  <c r="U50" i="5"/>
  <c r="E50" i="5"/>
  <c r="G50" i="5"/>
  <c r="I50" i="5"/>
  <c r="K50" i="5"/>
  <c r="M50" i="5"/>
  <c r="O50" i="5"/>
  <c r="Q50" i="5"/>
  <c r="R50" i="5"/>
  <c r="T50" i="5"/>
  <c r="V50" i="5"/>
  <c r="D49" i="5"/>
  <c r="G49" i="5"/>
  <c r="H49" i="5"/>
  <c r="J49" i="5"/>
  <c r="M49" i="5"/>
  <c r="O49" i="5"/>
  <c r="Q49" i="5"/>
  <c r="S49" i="5"/>
  <c r="U49" i="5"/>
  <c r="E49" i="5"/>
  <c r="F49" i="5"/>
  <c r="I49" i="5"/>
  <c r="K49" i="5"/>
  <c r="L49" i="5"/>
  <c r="N49" i="5"/>
  <c r="P49" i="5"/>
  <c r="R49" i="5"/>
  <c r="T49" i="5"/>
  <c r="V49" i="5"/>
  <c r="E48" i="5"/>
  <c r="G48" i="5"/>
  <c r="I48" i="5"/>
  <c r="K48" i="5"/>
  <c r="M48" i="5"/>
  <c r="P48" i="5"/>
  <c r="R48" i="5"/>
  <c r="T48" i="5"/>
  <c r="U48" i="5"/>
  <c r="D48" i="5"/>
  <c r="F48" i="5"/>
  <c r="H48" i="5"/>
  <c r="J48" i="5"/>
  <c r="L48" i="5"/>
  <c r="N48" i="5"/>
  <c r="O48" i="5"/>
  <c r="Q48" i="5"/>
  <c r="S48" i="5"/>
  <c r="V48" i="5"/>
  <c r="D47" i="5"/>
  <c r="F47" i="5"/>
  <c r="H47" i="5"/>
  <c r="J47" i="5"/>
  <c r="L47" i="5"/>
  <c r="N47" i="5"/>
  <c r="P47" i="5"/>
  <c r="R47" i="5"/>
  <c r="T47" i="5"/>
  <c r="V47" i="5"/>
  <c r="E47" i="5"/>
  <c r="G47" i="5"/>
  <c r="I47" i="5"/>
  <c r="K47" i="5"/>
  <c r="M47" i="5"/>
  <c r="O47" i="5"/>
  <c r="Q47" i="5"/>
  <c r="S47" i="5"/>
  <c r="U47" i="5"/>
  <c r="AD182" i="4"/>
  <c r="AD62" i="4"/>
  <c r="AD82" i="4"/>
  <c r="AD102" i="4"/>
  <c r="AD122" i="4"/>
  <c r="AD162" i="4"/>
  <c r="AD222" i="4"/>
  <c r="AA23" i="5"/>
  <c r="D161" i="4"/>
  <c r="D181" i="4"/>
  <c r="D221" i="4"/>
  <c r="D21" i="4"/>
  <c r="D41" i="4"/>
  <c r="D61" i="4"/>
  <c r="D81" i="4"/>
  <c r="D101" i="4"/>
  <c r="D121" i="4"/>
  <c r="D141" i="4"/>
  <c r="D201" i="4"/>
  <c r="V46" i="5"/>
  <c r="E46" i="5"/>
  <c r="G46" i="5"/>
  <c r="I46" i="5"/>
  <c r="K46" i="5"/>
  <c r="M46" i="5"/>
  <c r="O46" i="5"/>
  <c r="Q46" i="5"/>
  <c r="S46" i="5"/>
  <c r="U46" i="5"/>
  <c r="D46" i="5"/>
  <c r="F46" i="5"/>
  <c r="H46" i="5"/>
  <c r="J46" i="5"/>
  <c r="L46" i="5"/>
  <c r="N46" i="5"/>
  <c r="P46" i="5"/>
  <c r="R46" i="5"/>
  <c r="T46" i="5"/>
  <c r="AD161" i="4"/>
  <c r="AD61" i="4"/>
  <c r="AD81" i="4"/>
  <c r="AD101" i="4"/>
  <c r="AD121" i="4"/>
  <c r="AD221" i="4"/>
  <c r="AD181" i="4"/>
  <c r="AD160" i="4"/>
  <c r="AD180" i="4"/>
  <c r="AD60" i="4"/>
  <c r="AD80" i="4"/>
  <c r="AD120" i="4"/>
  <c r="AD220" i="4"/>
  <c r="D45" i="5"/>
  <c r="J45" i="5"/>
  <c r="E45" i="5"/>
  <c r="H45" i="5"/>
  <c r="K45" i="5"/>
  <c r="M45" i="5"/>
  <c r="O45" i="5"/>
  <c r="Q45" i="5"/>
  <c r="S45" i="5"/>
  <c r="T45" i="5"/>
  <c r="V45" i="5"/>
  <c r="F45" i="5"/>
  <c r="G45" i="5"/>
  <c r="I45" i="5"/>
  <c r="L45" i="5"/>
  <c r="N45" i="5"/>
  <c r="P45" i="5"/>
  <c r="R45" i="5"/>
  <c r="U45" i="5"/>
  <c r="D160" i="4"/>
  <c r="D220" i="4"/>
  <c r="D180" i="4"/>
  <c r="AA22" i="5"/>
  <c r="D20" i="4"/>
  <c r="D40" i="4"/>
  <c r="D60" i="4"/>
  <c r="D80" i="4"/>
  <c r="D100" i="4"/>
  <c r="D120" i="4"/>
  <c r="D140" i="4"/>
  <c r="D200" i="4"/>
  <c r="E44" i="5"/>
  <c r="G44" i="5"/>
  <c r="J44" i="5"/>
  <c r="M44" i="5"/>
  <c r="P44" i="5"/>
  <c r="T44" i="5"/>
  <c r="D44" i="5"/>
  <c r="F44" i="5"/>
  <c r="I44" i="5"/>
  <c r="L44" i="5"/>
  <c r="O44" i="5"/>
  <c r="R44" i="5"/>
  <c r="U44" i="5"/>
  <c r="H44" i="5"/>
  <c r="K44" i="5"/>
  <c r="N44" i="5"/>
  <c r="Q44" i="5"/>
  <c r="S44" i="5"/>
  <c r="V44" i="5"/>
  <c r="H43" i="5"/>
  <c r="D43" i="5"/>
  <c r="G43" i="5"/>
  <c r="J43" i="5"/>
  <c r="L43" i="5"/>
  <c r="O43" i="5"/>
  <c r="R43" i="5"/>
  <c r="U43" i="5"/>
  <c r="F43" i="5"/>
  <c r="K43" i="5"/>
  <c r="N43" i="5"/>
  <c r="Q43" i="5"/>
  <c r="T43" i="5"/>
  <c r="E43" i="5"/>
  <c r="I43" i="5"/>
  <c r="M43" i="5"/>
  <c r="P43" i="5"/>
  <c r="S43" i="5"/>
  <c r="V43" i="5"/>
  <c r="AA20" i="5"/>
  <c r="D158" i="4"/>
  <c r="D218" i="4"/>
  <c r="D18" i="4"/>
  <c r="D38" i="4"/>
  <c r="D58" i="4"/>
  <c r="D78" i="4"/>
  <c r="D98" i="4"/>
  <c r="D118" i="4"/>
  <c r="D138" i="4"/>
  <c r="D198" i="4"/>
  <c r="D178" i="4"/>
  <c r="D42" i="5"/>
  <c r="G42" i="5"/>
  <c r="J42" i="5"/>
  <c r="M42" i="5"/>
  <c r="P42" i="5"/>
  <c r="T42" i="5"/>
  <c r="N42" i="5"/>
  <c r="R42" i="5"/>
  <c r="E42" i="5"/>
  <c r="H42" i="5"/>
  <c r="K42" i="5"/>
  <c r="O42" i="5"/>
  <c r="S42" i="5"/>
  <c r="V42" i="5"/>
  <c r="F42" i="5"/>
  <c r="I42" i="5"/>
  <c r="L42" i="5"/>
  <c r="Q42" i="5"/>
  <c r="U42" i="5"/>
  <c r="AD177" i="4"/>
  <c r="AD57" i="4"/>
  <c r="AD77" i="4"/>
  <c r="AD117" i="4"/>
  <c r="AD157" i="4"/>
  <c r="AD217" i="4"/>
  <c r="D41" i="5"/>
  <c r="E41" i="5"/>
  <c r="F41" i="5"/>
  <c r="G41" i="5"/>
  <c r="H41" i="5"/>
  <c r="I41" i="5"/>
  <c r="J41" i="5"/>
  <c r="K41" i="5"/>
  <c r="L41" i="5"/>
  <c r="M41" i="5"/>
  <c r="N41" i="5"/>
  <c r="O41" i="5"/>
  <c r="P41" i="5"/>
  <c r="Q41" i="5"/>
  <c r="R41" i="5"/>
  <c r="S41" i="5"/>
  <c r="T41" i="5"/>
  <c r="U41" i="5"/>
  <c r="V41" i="5"/>
  <c r="AD176" i="4"/>
  <c r="AD56" i="4"/>
  <c r="AD76" i="4"/>
  <c r="AD116" i="4"/>
  <c r="AD216" i="4"/>
  <c r="AD156" i="4"/>
  <c r="AA18" i="5"/>
  <c r="D156" i="4"/>
  <c r="D176" i="4"/>
  <c r="D16" i="4"/>
  <c r="D36" i="4"/>
  <c r="D56" i="4"/>
  <c r="D76" i="4"/>
  <c r="D96" i="4"/>
  <c r="D116" i="4"/>
  <c r="D136" i="4"/>
  <c r="D196" i="4"/>
  <c r="D216" i="4"/>
  <c r="D40" i="5"/>
  <c r="E40" i="5"/>
  <c r="F40" i="5"/>
  <c r="G40" i="5"/>
  <c r="H40" i="5"/>
  <c r="I40" i="5"/>
  <c r="J40" i="5"/>
  <c r="K40" i="5"/>
  <c r="L40" i="5"/>
  <c r="M40" i="5"/>
  <c r="N40" i="5"/>
  <c r="O40" i="5"/>
  <c r="P40" i="5"/>
  <c r="Q40" i="5"/>
  <c r="R40" i="5"/>
  <c r="S40" i="5"/>
  <c r="T40" i="5"/>
  <c r="U40" i="5"/>
  <c r="V40" i="5"/>
  <c r="AA17" i="5"/>
  <c r="D155" i="4"/>
  <c r="D215" i="4"/>
  <c r="D15" i="4"/>
  <c r="D35" i="4"/>
  <c r="D75" i="4"/>
  <c r="D95" i="4"/>
  <c r="D55" i="4"/>
  <c r="D115" i="4"/>
  <c r="D135" i="4"/>
  <c r="D195" i="4"/>
  <c r="D175" i="4"/>
  <c r="AD215" i="4"/>
  <c r="AD175" i="4"/>
  <c r="AD75" i="4"/>
  <c r="AD55" i="4"/>
  <c r="AD115" i="4"/>
  <c r="AD155" i="4"/>
  <c r="D39" i="5"/>
  <c r="E39" i="5"/>
  <c r="F39" i="5"/>
  <c r="G39" i="5"/>
  <c r="H39" i="5"/>
  <c r="I39" i="5"/>
  <c r="J39" i="5"/>
  <c r="K39" i="5"/>
  <c r="L39" i="5"/>
  <c r="M39" i="5"/>
  <c r="N39" i="5"/>
  <c r="O39" i="5"/>
  <c r="P39" i="5"/>
  <c r="Q39" i="5"/>
  <c r="R39" i="5"/>
  <c r="S39" i="5"/>
  <c r="T39" i="5"/>
  <c r="U39" i="5"/>
  <c r="V39" i="5"/>
  <c r="AA16" i="5"/>
  <c r="D54" i="4"/>
  <c r="D14" i="4"/>
  <c r="D34" i="4"/>
  <c r="D74" i="4"/>
  <c r="D94" i="4"/>
  <c r="D114" i="4"/>
  <c r="D134" i="4"/>
  <c r="D154" i="4"/>
  <c r="D194" i="4"/>
  <c r="D214" i="4"/>
  <c r="D174" i="4"/>
  <c r="AD154" i="4"/>
  <c r="AD54" i="4"/>
  <c r="AD214" i="4"/>
  <c r="AD174" i="4"/>
  <c r="AD74" i="4"/>
  <c r="AD114" i="4"/>
  <c r="D38" i="5"/>
  <c r="E38" i="5"/>
  <c r="F38" i="5"/>
  <c r="G38" i="5"/>
  <c r="H38" i="5"/>
  <c r="I38" i="5"/>
  <c r="J38" i="5"/>
  <c r="K38" i="5"/>
  <c r="L38" i="5"/>
  <c r="M38" i="5"/>
  <c r="N38" i="5"/>
  <c r="O38" i="5"/>
  <c r="P38" i="5"/>
  <c r="Q38" i="5"/>
  <c r="R38" i="5"/>
  <c r="S38" i="5"/>
  <c r="T38" i="5"/>
  <c r="U38" i="5"/>
  <c r="V38" i="5"/>
  <c r="AD153" i="4"/>
  <c r="AD213" i="4"/>
  <c r="AD53" i="4"/>
  <c r="AD173" i="4"/>
  <c r="AD193" i="4"/>
  <c r="AD73" i="4"/>
  <c r="AD113" i="4"/>
  <c r="D37" i="5"/>
  <c r="E37" i="5"/>
  <c r="F37" i="5"/>
  <c r="G37" i="5"/>
  <c r="H37" i="5"/>
  <c r="I37" i="5"/>
  <c r="J37" i="5"/>
  <c r="K37" i="5"/>
  <c r="L37" i="5"/>
  <c r="M37" i="5"/>
  <c r="N37" i="5"/>
  <c r="O37" i="5"/>
  <c r="P37" i="5"/>
  <c r="Q37" i="5"/>
  <c r="R37" i="5"/>
  <c r="S37" i="5"/>
  <c r="T37" i="5"/>
  <c r="U37" i="5"/>
  <c r="V37" i="5"/>
  <c r="D36" i="5"/>
  <c r="E36" i="5"/>
  <c r="F36" i="5"/>
  <c r="G36" i="5"/>
  <c r="H36" i="5"/>
  <c r="I36" i="5"/>
  <c r="J36" i="5"/>
  <c r="K36" i="5"/>
  <c r="L36" i="5"/>
  <c r="M36" i="5"/>
  <c r="N36" i="5"/>
  <c r="O36" i="5"/>
  <c r="P36" i="5"/>
  <c r="Q36" i="5"/>
  <c r="R36" i="5"/>
  <c r="S36" i="5"/>
  <c r="T36" i="5"/>
  <c r="U36" i="5"/>
  <c r="V36" i="5"/>
  <c r="D35" i="5"/>
  <c r="E35" i="5"/>
  <c r="F35" i="5"/>
  <c r="G35" i="5"/>
  <c r="H35" i="5"/>
  <c r="I35" i="5"/>
  <c r="J35" i="5"/>
  <c r="K35" i="5"/>
  <c r="L35" i="5"/>
  <c r="M35" i="5"/>
  <c r="N35" i="5"/>
  <c r="O35" i="5"/>
  <c r="P35" i="5"/>
  <c r="Q35" i="5"/>
  <c r="R35" i="5"/>
  <c r="S35" i="5"/>
  <c r="T35" i="5"/>
  <c r="U35" i="5"/>
  <c r="V35" i="5"/>
  <c r="AA12" i="5"/>
  <c r="D170" i="4"/>
  <c r="D10" i="4"/>
  <c r="D30" i="4"/>
  <c r="D70" i="4"/>
  <c r="D90" i="4"/>
  <c r="D110" i="4"/>
  <c r="D130" i="4"/>
  <c r="D150" i="4"/>
  <c r="D50" i="4"/>
  <c r="D190" i="4"/>
  <c r="D210" i="4"/>
  <c r="AD50" i="4"/>
  <c r="AD70" i="4"/>
  <c r="AD110" i="4"/>
  <c r="AD210" i="4"/>
  <c r="AD170" i="4"/>
  <c r="AD190" i="4"/>
  <c r="D34" i="5"/>
  <c r="E34" i="5"/>
  <c r="F34" i="5"/>
  <c r="G34" i="5"/>
  <c r="H34" i="5"/>
  <c r="I34" i="5"/>
  <c r="J34" i="5"/>
  <c r="K34" i="5"/>
  <c r="L34" i="5"/>
  <c r="M34" i="5"/>
  <c r="N34" i="5"/>
  <c r="O34" i="5"/>
  <c r="P34" i="5"/>
  <c r="Q34" i="5"/>
  <c r="R34" i="5"/>
  <c r="S34" i="5"/>
  <c r="T34" i="5"/>
  <c r="U34" i="5"/>
  <c r="V34" i="5"/>
  <c r="AA11" i="5"/>
  <c r="D49" i="4"/>
  <c r="D169" i="4"/>
  <c r="D189" i="4"/>
  <c r="D209" i="4"/>
  <c r="D9" i="4"/>
  <c r="D29" i="4"/>
  <c r="D69" i="4"/>
  <c r="D89" i="4"/>
  <c r="D109" i="4"/>
  <c r="D129" i="4"/>
  <c r="D149" i="4"/>
  <c r="AD49" i="4"/>
  <c r="AD209" i="4"/>
  <c r="AD169" i="4"/>
  <c r="AD69" i="4"/>
  <c r="AD109" i="4"/>
  <c r="AD189" i="4"/>
  <c r="D33" i="5"/>
  <c r="E33" i="5"/>
  <c r="F33" i="5"/>
  <c r="G33" i="5"/>
  <c r="H33" i="5"/>
  <c r="I33" i="5"/>
  <c r="J33" i="5"/>
  <c r="K33" i="5"/>
  <c r="L33" i="5"/>
  <c r="M33" i="5"/>
  <c r="N33" i="5"/>
  <c r="O33" i="5"/>
  <c r="P33" i="5"/>
  <c r="Q33" i="5"/>
  <c r="R33" i="5"/>
  <c r="S33" i="5"/>
  <c r="T33" i="5"/>
  <c r="U33" i="5"/>
  <c r="V33" i="5"/>
  <c r="AD158" i="4"/>
  <c r="AD58" i="4"/>
  <c r="AD78" i="4"/>
  <c r="AD118" i="4"/>
  <c r="AD178" i="4"/>
  <c r="AD218" i="4"/>
  <c r="G11" i="1"/>
  <c r="J197" i="4"/>
  <c r="N197" i="4"/>
  <c r="J198" i="4"/>
  <c r="N198" i="4"/>
  <c r="J205" i="4"/>
  <c r="N205" i="4"/>
  <c r="J204" i="4"/>
  <c r="N204" i="4"/>
  <c r="J203" i="4"/>
  <c r="N203" i="4"/>
  <c r="J202" i="4"/>
  <c r="N202" i="4"/>
  <c r="J201" i="4"/>
  <c r="N201" i="4"/>
  <c r="J196" i="4"/>
  <c r="N196" i="4"/>
  <c r="J200" i="4"/>
  <c r="N200" i="4"/>
  <c r="J199" i="4"/>
  <c r="N199" i="4"/>
  <c r="J195" i="4"/>
  <c r="N195" i="4"/>
  <c r="J150" i="4"/>
  <c r="N150" i="4"/>
  <c r="J151" i="4"/>
  <c r="N151" i="4"/>
  <c r="J152" i="4"/>
  <c r="N152" i="4"/>
  <c r="N153" i="4"/>
  <c r="J153" i="4"/>
  <c r="J148" i="4"/>
  <c r="N148" i="4"/>
  <c r="J149" i="4"/>
  <c r="N149" i="4"/>
  <c r="J137" i="4"/>
  <c r="N137" i="4"/>
  <c r="J136" i="4"/>
  <c r="N136" i="4"/>
  <c r="J141" i="4"/>
  <c r="N141" i="4"/>
  <c r="J142" i="4"/>
  <c r="N142" i="4"/>
  <c r="J135" i="4"/>
  <c r="N135" i="4"/>
  <c r="J134" i="4"/>
  <c r="N134" i="4"/>
  <c r="J132" i="4"/>
  <c r="N132" i="4"/>
  <c r="J131" i="4"/>
  <c r="N131" i="4"/>
  <c r="J143" i="4"/>
  <c r="N143" i="4"/>
  <c r="J130" i="4"/>
  <c r="N130" i="4"/>
  <c r="J129" i="4"/>
  <c r="N129" i="4"/>
  <c r="J128" i="4"/>
  <c r="N128" i="4"/>
  <c r="J146" i="4"/>
  <c r="N146" i="4"/>
  <c r="J144" i="4"/>
  <c r="N144" i="4"/>
  <c r="J133" i="4"/>
  <c r="N133" i="4"/>
  <c r="J145" i="4"/>
  <c r="N145" i="4"/>
  <c r="J147" i="4"/>
  <c r="N147" i="4"/>
  <c r="J139" i="4"/>
  <c r="N139" i="4"/>
  <c r="J138" i="4"/>
  <c r="N138" i="4"/>
  <c r="J140" i="4"/>
  <c r="N140" i="4"/>
  <c r="J126" i="4"/>
  <c r="N126" i="4"/>
  <c r="J125" i="4"/>
  <c r="N125" i="4"/>
  <c r="J127" i="4"/>
  <c r="N127" i="4"/>
  <c r="J93" i="4"/>
  <c r="N93" i="4"/>
  <c r="J94" i="4"/>
  <c r="N94" i="4"/>
  <c r="J91" i="4"/>
  <c r="N91" i="4"/>
  <c r="J92" i="4"/>
  <c r="N92" i="4"/>
  <c r="J88" i="4"/>
  <c r="N88" i="4"/>
  <c r="J99" i="4"/>
  <c r="N99" i="4"/>
  <c r="J97" i="4"/>
  <c r="N97" i="4"/>
  <c r="J100" i="4"/>
  <c r="N100" i="4"/>
  <c r="J96" i="4"/>
  <c r="N96" i="4"/>
  <c r="J98" i="4"/>
  <c r="N98" i="4"/>
  <c r="J95" i="4"/>
  <c r="N95" i="4"/>
  <c r="J89" i="4"/>
  <c r="N89" i="4"/>
  <c r="J90" i="4"/>
  <c r="N90" i="4"/>
  <c r="J86" i="4"/>
  <c r="N86" i="4"/>
  <c r="J87" i="4"/>
  <c r="N87" i="4"/>
  <c r="J48" i="4"/>
  <c r="N48" i="4"/>
  <c r="J38" i="4"/>
  <c r="N38" i="4"/>
  <c r="J39" i="4"/>
  <c r="N39" i="4"/>
  <c r="J43" i="4"/>
  <c r="N43" i="4"/>
  <c r="J42" i="4"/>
  <c r="N42" i="4"/>
  <c r="J41" i="4"/>
  <c r="N41" i="4"/>
  <c r="J44" i="4"/>
  <c r="N44" i="4"/>
  <c r="J35" i="4"/>
  <c r="N35" i="4"/>
  <c r="J45" i="4"/>
  <c r="N45" i="4"/>
  <c r="J46" i="4"/>
  <c r="N46" i="4"/>
  <c r="J47" i="4"/>
  <c r="N47" i="4"/>
  <c r="J32" i="4"/>
  <c r="N32" i="4"/>
  <c r="J28" i="4"/>
  <c r="N28" i="4"/>
  <c r="J29" i="4"/>
  <c r="N29" i="4"/>
  <c r="J34" i="4"/>
  <c r="N34" i="4"/>
  <c r="J30" i="4"/>
  <c r="N30" i="4"/>
  <c r="J31" i="4"/>
  <c r="N31" i="4"/>
  <c r="J33" i="4"/>
  <c r="N33" i="4"/>
  <c r="J40" i="4"/>
  <c r="N40" i="4"/>
  <c r="J36" i="4"/>
  <c r="N36" i="4"/>
  <c r="J37" i="4"/>
  <c r="N37" i="4"/>
  <c r="J12" i="4"/>
  <c r="N12" i="4"/>
  <c r="J21" i="4"/>
  <c r="N21" i="4"/>
  <c r="J11" i="4"/>
  <c r="N11" i="4"/>
  <c r="J20" i="4"/>
  <c r="N20" i="4"/>
  <c r="J19" i="4"/>
  <c r="N19" i="4"/>
  <c r="J24" i="4"/>
  <c r="N24" i="4"/>
  <c r="J16" i="4"/>
  <c r="N16" i="4"/>
  <c r="J18" i="4"/>
  <c r="N18" i="4"/>
  <c r="J27" i="4"/>
  <c r="N27" i="4"/>
  <c r="J26" i="4"/>
  <c r="N26" i="4"/>
  <c r="J25" i="4"/>
  <c r="N25" i="4"/>
  <c r="J8" i="4"/>
  <c r="N8" i="4"/>
  <c r="J10" i="4"/>
  <c r="N10" i="4"/>
  <c r="J15" i="4"/>
  <c r="N15" i="4"/>
  <c r="J22" i="4"/>
  <c r="N22" i="4"/>
  <c r="J17" i="4"/>
  <c r="N17" i="4"/>
  <c r="J9" i="4"/>
  <c r="N9" i="4"/>
  <c r="J23" i="4"/>
  <c r="N23" i="4"/>
  <c r="J13" i="4"/>
  <c r="N13" i="4"/>
  <c r="J14" i="4"/>
  <c r="N14" i="4"/>
  <c r="C51" i="5"/>
  <c r="AB28" i="5"/>
  <c r="AB27" i="5"/>
  <c r="Y27" i="5"/>
  <c r="Z27" i="5" s="1"/>
  <c r="AB26" i="5"/>
  <c r="Y26" i="5"/>
  <c r="Z26" i="5" s="1"/>
  <c r="Y25" i="5"/>
  <c r="Z25" i="5" s="1"/>
  <c r="AB25" i="5"/>
  <c r="C48" i="5"/>
  <c r="C47" i="5"/>
  <c r="Y24" i="5"/>
  <c r="Z24" i="5" s="1"/>
  <c r="AD140" i="4"/>
  <c r="AD40" i="4"/>
  <c r="AD100" i="4"/>
  <c r="AD200" i="4"/>
  <c r="AD20" i="4"/>
  <c r="Y21" i="5"/>
  <c r="Z21" i="5" s="1"/>
  <c r="AB21" i="5"/>
  <c r="C42" i="5"/>
  <c r="Y19" i="5"/>
  <c r="Z19" i="5" s="1"/>
  <c r="AD17" i="4"/>
  <c r="AD197" i="4"/>
  <c r="AD195" i="4"/>
  <c r="AD15" i="4"/>
  <c r="Y15" i="5"/>
  <c r="Z15" i="5" s="1"/>
  <c r="C38" i="5"/>
  <c r="AD93" i="4"/>
  <c r="AD13" i="4"/>
  <c r="C37" i="5"/>
  <c r="Y14" i="5"/>
  <c r="Z14" i="5" s="1"/>
  <c r="AB14" i="5"/>
  <c r="C36" i="5"/>
  <c r="Y13" i="5"/>
  <c r="Z13" i="5" s="1"/>
  <c r="AB13" i="5"/>
  <c r="AD10" i="4"/>
  <c r="AD30" i="4"/>
  <c r="AD29" i="4"/>
  <c r="AD9" i="4"/>
  <c r="C33" i="5"/>
  <c r="AB10" i="5"/>
  <c r="Y10" i="5"/>
  <c r="Z10" i="5" s="1"/>
  <c r="AD18" i="4"/>
  <c r="AD198" i="4"/>
  <c r="E167" i="4" l="1"/>
  <c r="F167" i="4" s="1"/>
  <c r="G167" i="4" s="1"/>
  <c r="E187" i="4"/>
  <c r="F187" i="4" s="1"/>
  <c r="G187" i="4" s="1"/>
  <c r="E227" i="4"/>
  <c r="F227" i="4" s="1"/>
  <c r="G227" i="4" s="1"/>
  <c r="E207" i="4"/>
  <c r="F207" i="4" s="1"/>
  <c r="G207" i="4" s="1"/>
  <c r="E27" i="4"/>
  <c r="F27" i="4" s="1"/>
  <c r="G27" i="4" s="1"/>
  <c r="E47" i="4"/>
  <c r="F47" i="4" s="1"/>
  <c r="G47" i="4" s="1"/>
  <c r="E67" i="4"/>
  <c r="F67" i="4" s="1"/>
  <c r="G67" i="4" s="1"/>
  <c r="E87" i="4"/>
  <c r="F87" i="4" s="1"/>
  <c r="G87" i="4" s="1"/>
  <c r="E107" i="4"/>
  <c r="F107" i="4" s="1"/>
  <c r="G107" i="4" s="1"/>
  <c r="E127" i="4"/>
  <c r="F127" i="4" s="1"/>
  <c r="G127" i="4" s="1"/>
  <c r="E147" i="4"/>
  <c r="F147" i="4" s="1"/>
  <c r="G147" i="4" s="1"/>
  <c r="H187" i="4"/>
  <c r="AC187" i="4"/>
  <c r="AB187" i="4"/>
  <c r="V187" i="4"/>
  <c r="H207" i="4"/>
  <c r="V207" i="4"/>
  <c r="AB207" i="4"/>
  <c r="AC207" i="4"/>
  <c r="H227" i="4"/>
  <c r="V227" i="4"/>
  <c r="AC227" i="4"/>
  <c r="AB227" i="4"/>
  <c r="H67" i="4"/>
  <c r="V67" i="4"/>
  <c r="AB67" i="4"/>
  <c r="AC67" i="4"/>
  <c r="H107" i="4"/>
  <c r="V107" i="4"/>
  <c r="AB107" i="4"/>
  <c r="AC107" i="4"/>
  <c r="H167" i="4"/>
  <c r="AB167" i="4"/>
  <c r="V167" i="4"/>
  <c r="AC167" i="4"/>
  <c r="E166" i="4"/>
  <c r="F166" i="4" s="1"/>
  <c r="G166" i="4" s="1"/>
  <c r="E186" i="4"/>
  <c r="F186" i="4" s="1"/>
  <c r="G186" i="4" s="1"/>
  <c r="E226" i="4"/>
  <c r="F226" i="4" s="1"/>
  <c r="G226" i="4" s="1"/>
  <c r="E206" i="4"/>
  <c r="F206" i="4" s="1"/>
  <c r="G206" i="4" s="1"/>
  <c r="E26" i="4"/>
  <c r="F26" i="4" s="1"/>
  <c r="G26" i="4" s="1"/>
  <c r="E46" i="4"/>
  <c r="F46" i="4" s="1"/>
  <c r="G46" i="4" s="1"/>
  <c r="E66" i="4"/>
  <c r="F66" i="4" s="1"/>
  <c r="G66" i="4" s="1"/>
  <c r="E86" i="4"/>
  <c r="F86" i="4" s="1"/>
  <c r="G86" i="4" s="1"/>
  <c r="E106" i="4"/>
  <c r="F106" i="4" s="1"/>
  <c r="G106" i="4" s="1"/>
  <c r="E126" i="4"/>
  <c r="F126" i="4" s="1"/>
  <c r="G126" i="4" s="1"/>
  <c r="E146" i="4"/>
  <c r="F146" i="4" s="1"/>
  <c r="G146" i="4" s="1"/>
  <c r="H206" i="4"/>
  <c r="AB206" i="4"/>
  <c r="AC206" i="4"/>
  <c r="V206" i="4"/>
  <c r="H166" i="4"/>
  <c r="AB166" i="4"/>
  <c r="V166" i="4"/>
  <c r="AC166" i="4"/>
  <c r="H66" i="4"/>
  <c r="V66" i="4"/>
  <c r="AB66" i="4"/>
  <c r="AC66" i="4"/>
  <c r="H106" i="4"/>
  <c r="V106" i="4"/>
  <c r="AB106" i="4"/>
  <c r="AC106" i="4"/>
  <c r="H186" i="4"/>
  <c r="AB186" i="4"/>
  <c r="AC186" i="4"/>
  <c r="V186" i="4"/>
  <c r="E181" i="4"/>
  <c r="F181" i="4" s="1"/>
  <c r="G181" i="4" s="1"/>
  <c r="E21" i="4"/>
  <c r="F21" i="4" s="1"/>
  <c r="G21" i="4" s="1"/>
  <c r="E41" i="4"/>
  <c r="F41" i="4" s="1"/>
  <c r="G41" i="4" s="1"/>
  <c r="E61" i="4"/>
  <c r="F61" i="4" s="1"/>
  <c r="G61" i="4" s="1"/>
  <c r="E81" i="4"/>
  <c r="F81" i="4" s="1"/>
  <c r="G81" i="4" s="1"/>
  <c r="E101" i="4"/>
  <c r="F101" i="4" s="1"/>
  <c r="G101" i="4" s="1"/>
  <c r="E121" i="4"/>
  <c r="F121" i="4" s="1"/>
  <c r="G121" i="4" s="1"/>
  <c r="E141" i="4"/>
  <c r="F141" i="4" s="1"/>
  <c r="G141" i="4" s="1"/>
  <c r="E201" i="4"/>
  <c r="F201" i="4" s="1"/>
  <c r="G201" i="4" s="1"/>
  <c r="E161" i="4"/>
  <c r="F161" i="4" s="1"/>
  <c r="G161" i="4" s="1"/>
  <c r="E221" i="4"/>
  <c r="F221" i="4" s="1"/>
  <c r="G221" i="4" s="1"/>
  <c r="H161" i="4"/>
  <c r="AB161" i="4"/>
  <c r="AC161" i="4"/>
  <c r="V161" i="4"/>
  <c r="H181" i="4"/>
  <c r="AB181" i="4"/>
  <c r="V181" i="4"/>
  <c r="AC181" i="4"/>
  <c r="H221" i="4"/>
  <c r="V221" i="4"/>
  <c r="AB221" i="4"/>
  <c r="AC221" i="4"/>
  <c r="H61" i="4"/>
  <c r="V61" i="4"/>
  <c r="AB61" i="4"/>
  <c r="AC61" i="4"/>
  <c r="H81" i="4"/>
  <c r="V81" i="4"/>
  <c r="AB81" i="4"/>
  <c r="AC81" i="4"/>
  <c r="H101" i="4"/>
  <c r="V101" i="4"/>
  <c r="AB101" i="4"/>
  <c r="AC101" i="4"/>
  <c r="H121" i="4"/>
  <c r="V121" i="4"/>
  <c r="AB121" i="4"/>
  <c r="AC121" i="4"/>
  <c r="E20" i="4"/>
  <c r="F20" i="4" s="1"/>
  <c r="G20" i="4" s="1"/>
  <c r="E40" i="4"/>
  <c r="F40" i="4" s="1"/>
  <c r="G40" i="4" s="1"/>
  <c r="E60" i="4"/>
  <c r="F60" i="4" s="1"/>
  <c r="G60" i="4" s="1"/>
  <c r="E80" i="4"/>
  <c r="F80" i="4" s="1"/>
  <c r="G80" i="4" s="1"/>
  <c r="E100" i="4"/>
  <c r="F100" i="4" s="1"/>
  <c r="G100" i="4" s="1"/>
  <c r="E120" i="4"/>
  <c r="F120" i="4" s="1"/>
  <c r="G120" i="4" s="1"/>
  <c r="AC120" i="4" s="1"/>
  <c r="E140" i="4"/>
  <c r="F140" i="4" s="1"/>
  <c r="G140" i="4" s="1"/>
  <c r="E200" i="4"/>
  <c r="F200" i="4" s="1"/>
  <c r="G200" i="4" s="1"/>
  <c r="E220" i="4"/>
  <c r="F220" i="4" s="1"/>
  <c r="G220" i="4" s="1"/>
  <c r="E180" i="4"/>
  <c r="F180" i="4" s="1"/>
  <c r="G180" i="4" s="1"/>
  <c r="E160" i="4"/>
  <c r="F160" i="4" s="1"/>
  <c r="G160" i="4" s="1"/>
  <c r="H60" i="4"/>
  <c r="V60" i="4"/>
  <c r="AB60" i="4"/>
  <c r="AC60" i="4"/>
  <c r="H80" i="4"/>
  <c r="V80" i="4"/>
  <c r="AB80" i="4"/>
  <c r="AC80" i="4"/>
  <c r="H120" i="4"/>
  <c r="V120" i="4"/>
  <c r="AB120" i="4"/>
  <c r="E178" i="4"/>
  <c r="F178" i="4" s="1"/>
  <c r="G178" i="4" s="1"/>
  <c r="E218" i="4"/>
  <c r="F218" i="4" s="1"/>
  <c r="G218" i="4" s="1"/>
  <c r="E18" i="4"/>
  <c r="F18" i="4" s="1"/>
  <c r="G18" i="4" s="1"/>
  <c r="E38" i="4"/>
  <c r="F38" i="4" s="1"/>
  <c r="G38" i="4" s="1"/>
  <c r="E78" i="4"/>
  <c r="F78" i="4" s="1"/>
  <c r="G78" i="4" s="1"/>
  <c r="E98" i="4"/>
  <c r="F98" i="4" s="1"/>
  <c r="G98" i="4" s="1"/>
  <c r="E58" i="4"/>
  <c r="F58" i="4" s="1"/>
  <c r="G58" i="4" s="1"/>
  <c r="E118" i="4"/>
  <c r="F118" i="4" s="1"/>
  <c r="G118" i="4" s="1"/>
  <c r="E138" i="4"/>
  <c r="F138" i="4" s="1"/>
  <c r="G138" i="4" s="1"/>
  <c r="E198" i="4"/>
  <c r="F198" i="4" s="1"/>
  <c r="G198" i="4" s="1"/>
  <c r="E158" i="4"/>
  <c r="F158" i="4" s="1"/>
  <c r="G158" i="4" s="1"/>
  <c r="H158" i="4" s="1"/>
  <c r="V158" i="4"/>
  <c r="AB158" i="4"/>
  <c r="AC158" i="4"/>
  <c r="H218" i="4"/>
  <c r="AC218" i="4"/>
  <c r="V218" i="4"/>
  <c r="AB218" i="4"/>
  <c r="H58" i="4"/>
  <c r="V58" i="4"/>
  <c r="AB58" i="4"/>
  <c r="AC58" i="4"/>
  <c r="H78" i="4"/>
  <c r="V78" i="4"/>
  <c r="AB78" i="4"/>
  <c r="AC78" i="4"/>
  <c r="H118" i="4"/>
  <c r="V118" i="4"/>
  <c r="AB118" i="4"/>
  <c r="AC118" i="4"/>
  <c r="H178" i="4"/>
  <c r="AB178" i="4"/>
  <c r="AC178" i="4"/>
  <c r="V178" i="4"/>
  <c r="E216" i="4"/>
  <c r="F216" i="4" s="1"/>
  <c r="G216" i="4" s="1"/>
  <c r="E16" i="4"/>
  <c r="F16" i="4" s="1"/>
  <c r="G16" i="4" s="1"/>
  <c r="E36" i="4"/>
  <c r="F36" i="4" s="1"/>
  <c r="G36" i="4" s="1"/>
  <c r="E76" i="4"/>
  <c r="F76" i="4" s="1"/>
  <c r="G76" i="4" s="1"/>
  <c r="E96" i="4"/>
  <c r="F96" i="4" s="1"/>
  <c r="G96" i="4" s="1"/>
  <c r="E56" i="4"/>
  <c r="F56" i="4" s="1"/>
  <c r="G56" i="4" s="1"/>
  <c r="E116" i="4"/>
  <c r="F116" i="4" s="1"/>
  <c r="G116" i="4" s="1"/>
  <c r="AC116" i="4" s="1"/>
  <c r="E136" i="4"/>
  <c r="F136" i="4" s="1"/>
  <c r="G136" i="4" s="1"/>
  <c r="E196" i="4"/>
  <c r="F196" i="4" s="1"/>
  <c r="G196" i="4" s="1"/>
  <c r="E176" i="4"/>
  <c r="F176" i="4" s="1"/>
  <c r="G176" i="4" s="1"/>
  <c r="E156" i="4"/>
  <c r="F156" i="4" s="1"/>
  <c r="G156" i="4" s="1"/>
  <c r="H176" i="4"/>
  <c r="AB176" i="4"/>
  <c r="AC176" i="4"/>
  <c r="V176" i="4"/>
  <c r="H56" i="4"/>
  <c r="V56" i="4"/>
  <c r="AB56" i="4"/>
  <c r="AC56" i="4"/>
  <c r="H76" i="4"/>
  <c r="V76" i="4"/>
  <c r="AB76" i="4"/>
  <c r="AC76" i="4"/>
  <c r="H116" i="4"/>
  <c r="V116" i="4"/>
  <c r="AB116" i="4"/>
  <c r="E7" i="4"/>
  <c r="F7" i="4" s="1"/>
  <c r="G7" i="4" s="1"/>
  <c r="E55" i="4"/>
  <c r="F55" i="4" s="1"/>
  <c r="G55" i="4" s="1"/>
  <c r="E15" i="4"/>
  <c r="F15" i="4" s="1"/>
  <c r="G15" i="4" s="1"/>
  <c r="E35" i="4"/>
  <c r="F35" i="4" s="1"/>
  <c r="G35" i="4" s="1"/>
  <c r="E75" i="4"/>
  <c r="F75" i="4" s="1"/>
  <c r="G75" i="4" s="1"/>
  <c r="E95" i="4"/>
  <c r="F95" i="4" s="1"/>
  <c r="G95" i="4" s="1"/>
  <c r="E115" i="4"/>
  <c r="F115" i="4" s="1"/>
  <c r="G115" i="4" s="1"/>
  <c r="E135" i="4"/>
  <c r="F135" i="4" s="1"/>
  <c r="G135" i="4" s="1"/>
  <c r="E195" i="4"/>
  <c r="F195" i="4" s="1"/>
  <c r="G195" i="4" s="1"/>
  <c r="E155" i="4"/>
  <c r="F155" i="4" s="1"/>
  <c r="G155" i="4" s="1"/>
  <c r="E175" i="4"/>
  <c r="F175" i="4" s="1"/>
  <c r="G175" i="4" s="1"/>
  <c r="E215" i="4"/>
  <c r="F215" i="4" s="1"/>
  <c r="G215" i="4" s="1"/>
  <c r="H155" i="4"/>
  <c r="V155" i="4"/>
  <c r="AC155" i="4"/>
  <c r="AB155" i="4"/>
  <c r="H215" i="4"/>
  <c r="AC215" i="4"/>
  <c r="V215" i="4"/>
  <c r="AB215" i="4"/>
  <c r="H75" i="4"/>
  <c r="V75" i="4"/>
  <c r="AB75" i="4"/>
  <c r="AC75" i="4"/>
  <c r="H55" i="4"/>
  <c r="AC55" i="4"/>
  <c r="AB55" i="4"/>
  <c r="V55" i="4"/>
  <c r="H115" i="4"/>
  <c r="V115" i="4"/>
  <c r="AB115" i="4"/>
  <c r="AC115" i="4"/>
  <c r="H175" i="4"/>
  <c r="V175" i="4"/>
  <c r="AB175" i="4"/>
  <c r="AC175" i="4"/>
  <c r="E154" i="4"/>
  <c r="F154" i="4" s="1"/>
  <c r="G154" i="4" s="1"/>
  <c r="E194" i="4"/>
  <c r="F194" i="4" s="1"/>
  <c r="G194" i="4" s="1"/>
  <c r="E14" i="4"/>
  <c r="F14" i="4" s="1"/>
  <c r="G14" i="4" s="1"/>
  <c r="E34" i="4"/>
  <c r="F34" i="4" s="1"/>
  <c r="G34" i="4" s="1"/>
  <c r="E74" i="4"/>
  <c r="F74" i="4" s="1"/>
  <c r="G74" i="4" s="1"/>
  <c r="E94" i="4"/>
  <c r="F94" i="4" s="1"/>
  <c r="G94" i="4" s="1"/>
  <c r="E114" i="4"/>
  <c r="F114" i="4" s="1"/>
  <c r="G114" i="4" s="1"/>
  <c r="E134" i="4"/>
  <c r="F134" i="4" s="1"/>
  <c r="G134" i="4" s="1"/>
  <c r="E54" i="4"/>
  <c r="F54" i="4" s="1"/>
  <c r="G54" i="4" s="1"/>
  <c r="E174" i="4"/>
  <c r="F174" i="4" s="1"/>
  <c r="G174" i="4" s="1"/>
  <c r="E214" i="4"/>
  <c r="F214" i="4" s="1"/>
  <c r="G214" i="4" s="1"/>
  <c r="H54" i="4"/>
  <c r="V54" i="4"/>
  <c r="AB54" i="4"/>
  <c r="AC54" i="4"/>
  <c r="H74" i="4"/>
  <c r="V74" i="4"/>
  <c r="AB74" i="4"/>
  <c r="AC74" i="4"/>
  <c r="H114" i="4"/>
  <c r="V114" i="4"/>
  <c r="AB114" i="4"/>
  <c r="AC114" i="4"/>
  <c r="H154" i="4"/>
  <c r="AB154" i="4"/>
  <c r="E50" i="4"/>
  <c r="F50" i="4" s="1"/>
  <c r="G50" i="4" s="1"/>
  <c r="E190" i="4"/>
  <c r="F190" i="4" s="1"/>
  <c r="G190" i="4" s="1"/>
  <c r="E210" i="4"/>
  <c r="F210" i="4" s="1"/>
  <c r="G210" i="4" s="1"/>
  <c r="E10" i="4"/>
  <c r="F10" i="4" s="1"/>
  <c r="G10" i="4" s="1"/>
  <c r="E30" i="4"/>
  <c r="F30" i="4" s="1"/>
  <c r="G30" i="4" s="1"/>
  <c r="E70" i="4"/>
  <c r="F70" i="4" s="1"/>
  <c r="G70" i="4" s="1"/>
  <c r="E90" i="4"/>
  <c r="F90" i="4" s="1"/>
  <c r="G90" i="4" s="1"/>
  <c r="E110" i="4"/>
  <c r="F110" i="4" s="1"/>
  <c r="G110" i="4" s="1"/>
  <c r="E130" i="4"/>
  <c r="F130" i="4" s="1"/>
  <c r="G130" i="4" s="1"/>
  <c r="E150" i="4"/>
  <c r="F150" i="4" s="1"/>
  <c r="G150" i="4" s="1"/>
  <c r="E170" i="4"/>
  <c r="F170" i="4" s="1"/>
  <c r="G170" i="4" s="1"/>
  <c r="H170" i="4"/>
  <c r="AB170" i="4"/>
  <c r="AC170" i="4"/>
  <c r="V170" i="4"/>
  <c r="H70" i="4"/>
  <c r="V70" i="4"/>
  <c r="AB70" i="4"/>
  <c r="AC70" i="4"/>
  <c r="H110" i="4"/>
  <c r="V110" i="4"/>
  <c r="AB110" i="4"/>
  <c r="AC110" i="4"/>
  <c r="H50" i="4"/>
  <c r="V50" i="4"/>
  <c r="AB50" i="4"/>
  <c r="AC50" i="4"/>
  <c r="H190" i="4"/>
  <c r="V190" i="4"/>
  <c r="AB190" i="4"/>
  <c r="AC190" i="4"/>
  <c r="H210" i="4"/>
  <c r="AC210" i="4"/>
  <c r="V210" i="4"/>
  <c r="AB210" i="4"/>
  <c r="E9" i="4"/>
  <c r="F9" i="4" s="1"/>
  <c r="G9" i="4" s="1"/>
  <c r="E29" i="4"/>
  <c r="F29" i="4" s="1"/>
  <c r="G29" i="4" s="1"/>
  <c r="E69" i="4"/>
  <c r="F69" i="4" s="1"/>
  <c r="G69" i="4" s="1"/>
  <c r="E89" i="4"/>
  <c r="F89" i="4" s="1"/>
  <c r="G89" i="4" s="1"/>
  <c r="E49" i="4"/>
  <c r="F49" i="4" s="1"/>
  <c r="G49" i="4" s="1"/>
  <c r="E109" i="4"/>
  <c r="F109" i="4" s="1"/>
  <c r="G109" i="4" s="1"/>
  <c r="E129" i="4"/>
  <c r="F129" i="4" s="1"/>
  <c r="G129" i="4" s="1"/>
  <c r="E149" i="4"/>
  <c r="F149" i="4" s="1"/>
  <c r="G149" i="4" s="1"/>
  <c r="E189" i="4"/>
  <c r="F189" i="4" s="1"/>
  <c r="G189" i="4" s="1"/>
  <c r="E169" i="4"/>
  <c r="F169" i="4" s="1"/>
  <c r="G169" i="4" s="1"/>
  <c r="E209" i="4"/>
  <c r="F209" i="4" s="1"/>
  <c r="G209" i="4" s="1"/>
  <c r="H49" i="4"/>
  <c r="AB49" i="4"/>
  <c r="AC49" i="4"/>
  <c r="V49" i="4"/>
  <c r="H169" i="4"/>
  <c r="AB169" i="4"/>
  <c r="AD206" i="4"/>
  <c r="AD106" i="4"/>
  <c r="AD66" i="4"/>
  <c r="AD186" i="4"/>
  <c r="AD226" i="4"/>
  <c r="AD166" i="4"/>
  <c r="AD126" i="4"/>
  <c r="AD146" i="4"/>
  <c r="AD26" i="4"/>
  <c r="AD86" i="4"/>
  <c r="AD46" i="4"/>
  <c r="AD105" i="4"/>
  <c r="AD65" i="4"/>
  <c r="AD225" i="4"/>
  <c r="AD165" i="4"/>
  <c r="AD185" i="4"/>
  <c r="AD205" i="4"/>
  <c r="AD145" i="4"/>
  <c r="AD125" i="4"/>
  <c r="AD25" i="4"/>
  <c r="AD45" i="4"/>
  <c r="AD85" i="4"/>
  <c r="D165" i="4"/>
  <c r="D205" i="4"/>
  <c r="D145" i="4"/>
  <c r="D125" i="4"/>
  <c r="D105" i="4"/>
  <c r="D85" i="4"/>
  <c r="D65" i="4"/>
  <c r="D45" i="4"/>
  <c r="D25" i="4"/>
  <c r="D225" i="4"/>
  <c r="D185" i="4"/>
  <c r="AA27" i="5"/>
  <c r="AD104" i="4"/>
  <c r="AD84" i="4"/>
  <c r="AD64" i="4"/>
  <c r="AD224" i="4"/>
  <c r="AD184" i="4"/>
  <c r="AD164" i="4"/>
  <c r="AD144" i="4"/>
  <c r="AD24" i="4"/>
  <c r="AD44" i="4"/>
  <c r="AD124" i="4"/>
  <c r="AD204" i="4"/>
  <c r="D204" i="4"/>
  <c r="D144" i="4"/>
  <c r="D124" i="4"/>
  <c r="D104" i="4"/>
  <c r="D84" i="4"/>
  <c r="D64" i="4"/>
  <c r="D44" i="4"/>
  <c r="D24" i="4"/>
  <c r="D184" i="4"/>
  <c r="D164" i="4"/>
  <c r="D224" i="4"/>
  <c r="AA26" i="5"/>
  <c r="D183" i="4"/>
  <c r="D163" i="4"/>
  <c r="D203" i="4"/>
  <c r="D143" i="4"/>
  <c r="D123" i="4"/>
  <c r="D103" i="4"/>
  <c r="D83" i="4"/>
  <c r="D63" i="4"/>
  <c r="D43" i="4"/>
  <c r="D23" i="4"/>
  <c r="D223" i="4"/>
  <c r="AA25" i="5"/>
  <c r="AD223" i="4"/>
  <c r="AD183" i="4"/>
  <c r="AD163" i="4"/>
  <c r="AD123" i="4"/>
  <c r="AD103" i="4"/>
  <c r="AD83" i="4"/>
  <c r="AD63" i="4"/>
  <c r="AD143" i="4"/>
  <c r="AD203" i="4"/>
  <c r="AD43" i="4"/>
  <c r="AD23" i="4"/>
  <c r="D162" i="4"/>
  <c r="D202" i="4"/>
  <c r="D142" i="4"/>
  <c r="D122" i="4"/>
  <c r="D102" i="4"/>
  <c r="D82" i="4"/>
  <c r="D62" i="4"/>
  <c r="D42" i="4"/>
  <c r="D22" i="4"/>
  <c r="D222" i="4"/>
  <c r="D182" i="4"/>
  <c r="AA24" i="5"/>
  <c r="D159" i="4"/>
  <c r="AA21" i="5"/>
  <c r="D219" i="4"/>
  <c r="D199" i="4"/>
  <c r="D139" i="4"/>
  <c r="D119" i="4"/>
  <c r="D99" i="4"/>
  <c r="D79" i="4"/>
  <c r="D59" i="4"/>
  <c r="D39" i="4"/>
  <c r="D19" i="4"/>
  <c r="D179" i="4"/>
  <c r="AD179" i="4"/>
  <c r="AD119" i="4"/>
  <c r="AD79" i="4"/>
  <c r="AD59" i="4"/>
  <c r="AD219" i="4"/>
  <c r="AD159" i="4"/>
  <c r="AD139" i="4"/>
  <c r="AD39" i="4"/>
  <c r="AD99" i="4"/>
  <c r="AD19" i="4"/>
  <c r="AD199" i="4"/>
  <c r="D197" i="4"/>
  <c r="D137" i="4"/>
  <c r="D117" i="4"/>
  <c r="D97" i="4"/>
  <c r="D77" i="4"/>
  <c r="D57" i="4"/>
  <c r="D37" i="4"/>
  <c r="D17" i="4"/>
  <c r="D217" i="4"/>
  <c r="D157" i="4"/>
  <c r="D177" i="4"/>
  <c r="AA19" i="5"/>
  <c r="D153" i="4"/>
  <c r="D173" i="4"/>
  <c r="D133" i="4"/>
  <c r="D113" i="4"/>
  <c r="D93" i="4"/>
  <c r="D73" i="4"/>
  <c r="D33" i="4"/>
  <c r="D13" i="4"/>
  <c r="D213" i="4"/>
  <c r="D193" i="4"/>
  <c r="D53" i="4"/>
  <c r="AA15" i="5"/>
  <c r="AA14" i="5"/>
  <c r="D192" i="4"/>
  <c r="D172" i="4"/>
  <c r="D152" i="4"/>
  <c r="D132" i="4"/>
  <c r="D112" i="4"/>
  <c r="D92" i="4"/>
  <c r="D72" i="4"/>
  <c r="D32" i="4"/>
  <c r="D12" i="4"/>
  <c r="D212" i="4"/>
  <c r="D52" i="4"/>
  <c r="AD192" i="4"/>
  <c r="AD52" i="4"/>
  <c r="AD212" i="4"/>
  <c r="AD172" i="4"/>
  <c r="AD112" i="4"/>
  <c r="AD72" i="4"/>
  <c r="AD32" i="4"/>
  <c r="AD132" i="4"/>
  <c r="AD152" i="4"/>
  <c r="AD92" i="4"/>
  <c r="AD12" i="4"/>
  <c r="AA13" i="5"/>
  <c r="D191" i="4"/>
  <c r="D211" i="4"/>
  <c r="D171" i="4"/>
  <c r="D51" i="4"/>
  <c r="D151" i="4"/>
  <c r="D131" i="4"/>
  <c r="D111" i="4"/>
  <c r="D91" i="4"/>
  <c r="D71" i="4"/>
  <c r="D31" i="4"/>
  <c r="D11" i="4"/>
  <c r="AD171" i="4"/>
  <c r="AD211" i="4"/>
  <c r="AD111" i="4"/>
  <c r="AD71" i="4"/>
  <c r="AD51" i="4"/>
  <c r="AD191" i="4"/>
  <c r="AD31" i="4"/>
  <c r="AD131" i="4"/>
  <c r="AD91" i="4"/>
  <c r="AD151" i="4"/>
  <c r="AD11" i="4"/>
  <c r="AD188" i="4"/>
  <c r="AD208" i="4"/>
  <c r="AD168" i="4"/>
  <c r="AD108" i="4"/>
  <c r="AD68" i="4"/>
  <c r="AD148" i="4"/>
  <c r="AD88" i="4"/>
  <c r="AD128" i="4"/>
  <c r="AD8" i="4"/>
  <c r="AD48" i="4"/>
  <c r="AD28" i="4"/>
  <c r="D188" i="4"/>
  <c r="D168" i="4"/>
  <c r="D148" i="4"/>
  <c r="D128" i="4"/>
  <c r="D108" i="4"/>
  <c r="D88" i="4"/>
  <c r="D68" i="4"/>
  <c r="D48" i="4"/>
  <c r="D28" i="4"/>
  <c r="D8" i="4"/>
  <c r="D208" i="4"/>
  <c r="AA10" i="5"/>
  <c r="AC27" i="4" l="1"/>
  <c r="AB27" i="4"/>
  <c r="V27" i="4"/>
  <c r="H27" i="4"/>
  <c r="AC47" i="4"/>
  <c r="AB47" i="4"/>
  <c r="V47" i="4"/>
  <c r="H47" i="4"/>
  <c r="AC87" i="4"/>
  <c r="V87" i="4"/>
  <c r="AB87" i="4"/>
  <c r="H87" i="4"/>
  <c r="AC127" i="4"/>
  <c r="AB127" i="4"/>
  <c r="V127" i="4"/>
  <c r="H127" i="4"/>
  <c r="AC147" i="4"/>
  <c r="AB147" i="4"/>
  <c r="V147" i="4"/>
  <c r="H147" i="4"/>
  <c r="R187" i="4"/>
  <c r="AA187" i="4"/>
  <c r="I187" i="4"/>
  <c r="AE187" i="4" s="1"/>
  <c r="R207" i="4"/>
  <c r="AA207" i="4"/>
  <c r="I207" i="4"/>
  <c r="AE207" i="4" s="1"/>
  <c r="AA227" i="4"/>
  <c r="R227" i="4"/>
  <c r="I227" i="4"/>
  <c r="AE227" i="4" s="1"/>
  <c r="AA67" i="4"/>
  <c r="R67" i="4"/>
  <c r="I67" i="4"/>
  <c r="AE67" i="4" s="1"/>
  <c r="AA107" i="4"/>
  <c r="R107" i="4"/>
  <c r="I107" i="4"/>
  <c r="AE107" i="4" s="1"/>
  <c r="R167" i="4"/>
  <c r="AA167" i="4"/>
  <c r="I167" i="4"/>
  <c r="AE167" i="4" s="1"/>
  <c r="AC26" i="4"/>
  <c r="AB26" i="4"/>
  <c r="V26" i="4"/>
  <c r="H26" i="4"/>
  <c r="AC46" i="4"/>
  <c r="V46" i="4"/>
  <c r="AB46" i="4"/>
  <c r="H46" i="4"/>
  <c r="AC86" i="4"/>
  <c r="AB86" i="4"/>
  <c r="V86" i="4"/>
  <c r="H86" i="4"/>
  <c r="AC126" i="4"/>
  <c r="AB126" i="4"/>
  <c r="V126" i="4"/>
  <c r="H126" i="4"/>
  <c r="AC146" i="4"/>
  <c r="AB146" i="4"/>
  <c r="V146" i="4"/>
  <c r="H146" i="4"/>
  <c r="R206" i="4"/>
  <c r="AA206" i="4"/>
  <c r="I206" i="4"/>
  <c r="AE206" i="4" s="1"/>
  <c r="AA166" i="4"/>
  <c r="R166" i="4"/>
  <c r="I166" i="4"/>
  <c r="AE166" i="4" s="1"/>
  <c r="AA66" i="4"/>
  <c r="R66" i="4"/>
  <c r="I66" i="4"/>
  <c r="AE66" i="4" s="1"/>
  <c r="AA106" i="4"/>
  <c r="R106" i="4"/>
  <c r="I106" i="4"/>
  <c r="AE106" i="4" s="1"/>
  <c r="AA186" i="4"/>
  <c r="R186" i="4"/>
  <c r="I186" i="4"/>
  <c r="AE186" i="4" s="1"/>
  <c r="AC21" i="4"/>
  <c r="V21" i="4"/>
  <c r="AB21" i="4"/>
  <c r="H21" i="4"/>
  <c r="AC41" i="4"/>
  <c r="AB41" i="4"/>
  <c r="V41" i="4"/>
  <c r="H41" i="4"/>
  <c r="AC141" i="4"/>
  <c r="AB141" i="4"/>
  <c r="V141" i="4"/>
  <c r="H141" i="4"/>
  <c r="AB201" i="4"/>
  <c r="AC201" i="4"/>
  <c r="V201" i="4"/>
  <c r="H201" i="4"/>
  <c r="R161" i="4"/>
  <c r="AA161" i="4"/>
  <c r="I161" i="4"/>
  <c r="AE161" i="4" s="1"/>
  <c r="AA181" i="4"/>
  <c r="R181" i="4"/>
  <c r="I181" i="4"/>
  <c r="AE181" i="4" s="1"/>
  <c r="R221" i="4"/>
  <c r="AA221" i="4"/>
  <c r="I221" i="4"/>
  <c r="AE221" i="4" s="1"/>
  <c r="R61" i="4"/>
  <c r="AA61" i="4"/>
  <c r="I61" i="4"/>
  <c r="AE61" i="4" s="1"/>
  <c r="AA81" i="4"/>
  <c r="R81" i="4"/>
  <c r="I81" i="4"/>
  <c r="AE81" i="4" s="1"/>
  <c r="R101" i="4"/>
  <c r="AA101" i="4"/>
  <c r="I101" i="4"/>
  <c r="AE101" i="4" s="1"/>
  <c r="R121" i="4"/>
  <c r="AA121" i="4"/>
  <c r="I121" i="4"/>
  <c r="AE121" i="4" s="1"/>
  <c r="AB20" i="4"/>
  <c r="V20" i="4"/>
  <c r="AC20" i="4"/>
  <c r="H20" i="4"/>
  <c r="AC40" i="4"/>
  <c r="AB40" i="4"/>
  <c r="V40" i="4"/>
  <c r="H40" i="4"/>
  <c r="AC100" i="4"/>
  <c r="AB100" i="4"/>
  <c r="V100" i="4"/>
  <c r="H100" i="4"/>
  <c r="AC140" i="4"/>
  <c r="AB140" i="4"/>
  <c r="V140" i="4"/>
  <c r="H140" i="4"/>
  <c r="AC200" i="4"/>
  <c r="AB200" i="4"/>
  <c r="V200" i="4"/>
  <c r="H200" i="4"/>
  <c r="AC220" i="4"/>
  <c r="AB220" i="4"/>
  <c r="V220" i="4"/>
  <c r="H220" i="4"/>
  <c r="V180" i="4"/>
  <c r="AC180" i="4"/>
  <c r="AB180" i="4"/>
  <c r="H180" i="4"/>
  <c r="AB160" i="4"/>
  <c r="AC160" i="4"/>
  <c r="V160" i="4"/>
  <c r="H160" i="4"/>
  <c r="R60" i="4"/>
  <c r="AA60" i="4"/>
  <c r="I60" i="4"/>
  <c r="AE60" i="4" s="1"/>
  <c r="R80" i="4"/>
  <c r="AA80" i="4"/>
  <c r="I80" i="4"/>
  <c r="AE80" i="4" s="1"/>
  <c r="AA120" i="4"/>
  <c r="R120" i="4"/>
  <c r="I120" i="4"/>
  <c r="AE120" i="4" s="1"/>
  <c r="AB18" i="4"/>
  <c r="AC18" i="4"/>
  <c r="V18" i="4"/>
  <c r="H18" i="4"/>
  <c r="AC38" i="4"/>
  <c r="AB38" i="4"/>
  <c r="V38" i="4"/>
  <c r="H38" i="4"/>
  <c r="V98" i="4"/>
  <c r="AC98" i="4"/>
  <c r="AB98" i="4"/>
  <c r="H98" i="4"/>
  <c r="AC138" i="4"/>
  <c r="AB138" i="4"/>
  <c r="V138" i="4"/>
  <c r="H138" i="4"/>
  <c r="AC198" i="4"/>
  <c r="AB198" i="4"/>
  <c r="V198" i="4"/>
  <c r="H198" i="4"/>
  <c r="AA158" i="4"/>
  <c r="R158" i="4"/>
  <c r="I158" i="4"/>
  <c r="AE158" i="4" s="1"/>
  <c r="AA218" i="4"/>
  <c r="R218" i="4"/>
  <c r="I218" i="4"/>
  <c r="AE218" i="4" s="1"/>
  <c r="AA58" i="4"/>
  <c r="R58" i="4"/>
  <c r="I58" i="4"/>
  <c r="AE58" i="4" s="1"/>
  <c r="R78" i="4"/>
  <c r="AA78" i="4"/>
  <c r="I78" i="4"/>
  <c r="AE78" i="4" s="1"/>
  <c r="AA118" i="4"/>
  <c r="R118" i="4"/>
  <c r="I118" i="4"/>
  <c r="AE118" i="4" s="1"/>
  <c r="R178" i="4"/>
  <c r="AA178" i="4"/>
  <c r="I178" i="4"/>
  <c r="AE178" i="4" s="1"/>
  <c r="AC16" i="4"/>
  <c r="AB16" i="4"/>
  <c r="V16" i="4"/>
  <c r="H16" i="4"/>
  <c r="AC36" i="4"/>
  <c r="AB36" i="4"/>
  <c r="V36" i="4"/>
  <c r="H36" i="4"/>
  <c r="AB96" i="4"/>
  <c r="AC96" i="4"/>
  <c r="V96" i="4"/>
  <c r="H96" i="4"/>
  <c r="AC136" i="4"/>
  <c r="AB136" i="4"/>
  <c r="V136" i="4"/>
  <c r="H136" i="4"/>
  <c r="AC196" i="4"/>
  <c r="AB196" i="4"/>
  <c r="V196" i="4"/>
  <c r="H196" i="4"/>
  <c r="R176" i="4"/>
  <c r="AA176" i="4"/>
  <c r="I176" i="4"/>
  <c r="AE176" i="4" s="1"/>
  <c r="AA56" i="4"/>
  <c r="R56" i="4"/>
  <c r="I56" i="4"/>
  <c r="AE56" i="4" s="1"/>
  <c r="AA76" i="4"/>
  <c r="R76" i="4"/>
  <c r="I76" i="4"/>
  <c r="AE76" i="4" s="1"/>
  <c r="R116" i="4"/>
  <c r="AA116" i="4"/>
  <c r="I116" i="4"/>
  <c r="AE116" i="4" s="1"/>
  <c r="G7" i="1"/>
  <c r="AC7" i="4"/>
  <c r="G19" i="1" s="1"/>
  <c r="AB7" i="4"/>
  <c r="G18" i="1" s="1"/>
  <c r="V7" i="4"/>
  <c r="H7" i="4"/>
  <c r="AB15" i="4"/>
  <c r="AC15" i="4"/>
  <c r="V15" i="4"/>
  <c r="H15" i="4"/>
  <c r="AC35" i="4"/>
  <c r="AB35" i="4"/>
  <c r="V35" i="4"/>
  <c r="H35" i="4"/>
  <c r="AC95" i="4"/>
  <c r="AB95" i="4"/>
  <c r="V95" i="4"/>
  <c r="H95" i="4"/>
  <c r="AC135" i="4"/>
  <c r="AB135" i="4"/>
  <c r="V135" i="4"/>
  <c r="H135" i="4"/>
  <c r="V195" i="4"/>
  <c r="AB195" i="4"/>
  <c r="AC195" i="4"/>
  <c r="H195" i="4"/>
  <c r="R155" i="4"/>
  <c r="AA155" i="4"/>
  <c r="I155" i="4"/>
  <c r="AE155" i="4" s="1"/>
  <c r="AA215" i="4"/>
  <c r="R215" i="4"/>
  <c r="I215" i="4"/>
  <c r="AE215" i="4" s="1"/>
  <c r="R75" i="4"/>
  <c r="AA75" i="4"/>
  <c r="I75" i="4"/>
  <c r="AE75" i="4" s="1"/>
  <c r="R55" i="4"/>
  <c r="AA55" i="4"/>
  <c r="I55" i="4"/>
  <c r="AE55" i="4" s="1"/>
  <c r="AA115" i="4"/>
  <c r="R115" i="4"/>
  <c r="I115" i="4"/>
  <c r="AE115" i="4" s="1"/>
  <c r="R175" i="4"/>
  <c r="AA175" i="4"/>
  <c r="I175" i="4"/>
  <c r="AE175" i="4" s="1"/>
  <c r="V14" i="4"/>
  <c r="AC14" i="4"/>
  <c r="AB14" i="4"/>
  <c r="H14" i="4"/>
  <c r="AC34" i="4"/>
  <c r="AB34" i="4"/>
  <c r="V34" i="4"/>
  <c r="H34" i="4"/>
  <c r="AB94" i="4"/>
  <c r="AC94" i="4"/>
  <c r="V94" i="4"/>
  <c r="H94" i="4"/>
  <c r="AC134" i="4"/>
  <c r="AB134" i="4"/>
  <c r="V134" i="4"/>
  <c r="H134" i="4"/>
  <c r="AA54" i="4"/>
  <c r="R54" i="4"/>
  <c r="I54" i="4"/>
  <c r="AE54" i="4" s="1"/>
  <c r="AA74" i="4"/>
  <c r="R74" i="4"/>
  <c r="I74" i="4"/>
  <c r="AE74" i="4" s="1"/>
  <c r="R114" i="4"/>
  <c r="AA114" i="4"/>
  <c r="I114" i="4"/>
  <c r="AE114" i="4" s="1"/>
  <c r="AA154" i="4"/>
  <c r="R154" i="4"/>
  <c r="I154" i="4"/>
  <c r="AE154" i="4" s="1"/>
  <c r="AC10" i="4"/>
  <c r="V10" i="4"/>
  <c r="AB10" i="4"/>
  <c r="H10" i="4"/>
  <c r="AC30" i="4"/>
  <c r="AB30" i="4"/>
  <c r="V30" i="4"/>
  <c r="H30" i="4"/>
  <c r="AC90" i="4"/>
  <c r="AB90" i="4"/>
  <c r="V90" i="4"/>
  <c r="H90" i="4"/>
  <c r="AC130" i="4"/>
  <c r="AB130" i="4"/>
  <c r="V130" i="4"/>
  <c r="H130" i="4"/>
  <c r="AC150" i="4"/>
  <c r="AB150" i="4"/>
  <c r="V150" i="4"/>
  <c r="H150" i="4"/>
  <c r="R170" i="4"/>
  <c r="AA170" i="4"/>
  <c r="I170" i="4"/>
  <c r="AE170" i="4" s="1"/>
  <c r="R70" i="4"/>
  <c r="AA70" i="4"/>
  <c r="I70" i="4"/>
  <c r="AE70" i="4" s="1"/>
  <c r="R110" i="4"/>
  <c r="AA110" i="4"/>
  <c r="I110" i="4"/>
  <c r="AE110" i="4" s="1"/>
  <c r="R50" i="4"/>
  <c r="AA50" i="4"/>
  <c r="I50" i="4"/>
  <c r="AE50" i="4" s="1"/>
  <c r="AA190" i="4"/>
  <c r="R190" i="4"/>
  <c r="I190" i="4"/>
  <c r="AE190" i="4" s="1"/>
  <c r="AA210" i="4"/>
  <c r="R210" i="4"/>
  <c r="I210" i="4"/>
  <c r="AE210" i="4" s="1"/>
  <c r="AC9" i="4"/>
  <c r="AB9" i="4"/>
  <c r="V9" i="4"/>
  <c r="H9" i="4"/>
  <c r="AC29" i="4"/>
  <c r="AB29" i="4"/>
  <c r="V29" i="4"/>
  <c r="H29" i="4"/>
  <c r="AC89" i="4"/>
  <c r="AB89" i="4"/>
  <c r="V89" i="4"/>
  <c r="H89" i="4"/>
  <c r="AC129" i="4"/>
  <c r="AB129" i="4"/>
  <c r="V129" i="4"/>
  <c r="H129" i="4"/>
  <c r="AC149" i="4"/>
  <c r="AB149" i="4"/>
  <c r="V149" i="4"/>
  <c r="H149" i="4"/>
  <c r="AA49" i="4"/>
  <c r="R49" i="4"/>
  <c r="I49" i="4"/>
  <c r="AE49" i="4" s="1"/>
  <c r="AA169" i="4"/>
  <c r="R169" i="4"/>
  <c r="I169" i="4"/>
  <c r="AE169" i="4" s="1"/>
  <c r="E165" i="4"/>
  <c r="F165" i="4" s="1"/>
  <c r="G165" i="4" s="1"/>
  <c r="E225" i="4"/>
  <c r="F225" i="4" s="1"/>
  <c r="G225" i="4" s="1"/>
  <c r="E205" i="4"/>
  <c r="F205" i="4" s="1"/>
  <c r="G205" i="4" s="1"/>
  <c r="E25" i="4"/>
  <c r="F25" i="4" s="1"/>
  <c r="G25" i="4" s="1"/>
  <c r="E45" i="4"/>
  <c r="F45" i="4" s="1"/>
  <c r="G45" i="4" s="1"/>
  <c r="E65" i="4"/>
  <c r="F65" i="4" s="1"/>
  <c r="G65" i="4" s="1"/>
  <c r="E85" i="4"/>
  <c r="F85" i="4" s="1"/>
  <c r="G85" i="4" s="1"/>
  <c r="E105" i="4"/>
  <c r="F105" i="4" s="1"/>
  <c r="G105" i="4" s="1"/>
  <c r="E125" i="4"/>
  <c r="F125" i="4" s="1"/>
  <c r="G125" i="4" s="1"/>
  <c r="E145" i="4"/>
  <c r="F145" i="4" s="1"/>
  <c r="G145" i="4" s="1"/>
  <c r="E185" i="4"/>
  <c r="F185" i="4" s="1"/>
  <c r="G185" i="4" s="1"/>
  <c r="E184" i="4"/>
  <c r="F184" i="4" s="1"/>
  <c r="G184" i="4" s="1"/>
  <c r="E224" i="4"/>
  <c r="F224" i="4" s="1"/>
  <c r="G224" i="4" s="1"/>
  <c r="E164" i="4"/>
  <c r="F164" i="4" s="1"/>
  <c r="G164" i="4" s="1"/>
  <c r="E24" i="4"/>
  <c r="F24" i="4" s="1"/>
  <c r="G24" i="4" s="1"/>
  <c r="E44" i="4"/>
  <c r="F44" i="4" s="1"/>
  <c r="G44" i="4" s="1"/>
  <c r="E64" i="4"/>
  <c r="F64" i="4" s="1"/>
  <c r="G64" i="4" s="1"/>
  <c r="E84" i="4"/>
  <c r="F84" i="4" s="1"/>
  <c r="G84" i="4" s="1"/>
  <c r="E104" i="4"/>
  <c r="F104" i="4" s="1"/>
  <c r="G104" i="4" s="1"/>
  <c r="E124" i="4"/>
  <c r="F124" i="4" s="1"/>
  <c r="G124" i="4" s="1"/>
  <c r="E144" i="4"/>
  <c r="F144" i="4" s="1"/>
  <c r="G144" i="4" s="1"/>
  <c r="E204" i="4"/>
  <c r="F204" i="4" s="1"/>
  <c r="G204" i="4" s="1"/>
  <c r="E163" i="4"/>
  <c r="F163" i="4" s="1"/>
  <c r="G163" i="4" s="1"/>
  <c r="E223" i="4"/>
  <c r="F223" i="4" s="1"/>
  <c r="G223" i="4" s="1"/>
  <c r="E23" i="4"/>
  <c r="F23" i="4" s="1"/>
  <c r="G23" i="4" s="1"/>
  <c r="E43" i="4"/>
  <c r="F43" i="4" s="1"/>
  <c r="G43" i="4" s="1"/>
  <c r="E63" i="4"/>
  <c r="F63" i="4" s="1"/>
  <c r="G63" i="4" s="1"/>
  <c r="E83" i="4"/>
  <c r="F83" i="4" s="1"/>
  <c r="G83" i="4" s="1"/>
  <c r="E103" i="4"/>
  <c r="F103" i="4" s="1"/>
  <c r="G103" i="4" s="1"/>
  <c r="E123" i="4"/>
  <c r="F123" i="4" s="1"/>
  <c r="G123" i="4" s="1"/>
  <c r="E143" i="4"/>
  <c r="F143" i="4" s="1"/>
  <c r="G143" i="4" s="1"/>
  <c r="E203" i="4"/>
  <c r="F203" i="4" s="1"/>
  <c r="G203" i="4" s="1"/>
  <c r="E183" i="4"/>
  <c r="F183" i="4" s="1"/>
  <c r="G183" i="4" s="1"/>
  <c r="E22" i="4"/>
  <c r="F22" i="4" s="1"/>
  <c r="G22" i="4" s="1"/>
  <c r="E42" i="4"/>
  <c r="F42" i="4" s="1"/>
  <c r="G42" i="4" s="1"/>
  <c r="E62" i="4"/>
  <c r="F62" i="4" s="1"/>
  <c r="G62" i="4" s="1"/>
  <c r="E82" i="4"/>
  <c r="F82" i="4" s="1"/>
  <c r="G82" i="4" s="1"/>
  <c r="E102" i="4"/>
  <c r="F102" i="4" s="1"/>
  <c r="G102" i="4" s="1"/>
  <c r="E122" i="4"/>
  <c r="F122" i="4" s="1"/>
  <c r="G122" i="4" s="1"/>
  <c r="E142" i="4"/>
  <c r="F142" i="4" s="1"/>
  <c r="G142" i="4" s="1"/>
  <c r="E202" i="4"/>
  <c r="F202" i="4" s="1"/>
  <c r="G202" i="4" s="1"/>
  <c r="E182" i="4"/>
  <c r="F182" i="4" s="1"/>
  <c r="G182" i="4" s="1"/>
  <c r="E162" i="4"/>
  <c r="F162" i="4" s="1"/>
  <c r="G162" i="4" s="1"/>
  <c r="E222" i="4"/>
  <c r="F222" i="4" s="1"/>
  <c r="G222" i="4" s="1"/>
  <c r="E19" i="4"/>
  <c r="F19" i="4" s="1"/>
  <c r="G19" i="4" s="1"/>
  <c r="E39" i="4"/>
  <c r="F39" i="4" s="1"/>
  <c r="G39" i="4" s="1"/>
  <c r="E79" i="4"/>
  <c r="F79" i="4" s="1"/>
  <c r="G79" i="4" s="1"/>
  <c r="E99" i="4"/>
  <c r="F99" i="4" s="1"/>
  <c r="G99" i="4" s="1"/>
  <c r="E59" i="4"/>
  <c r="F59" i="4" s="1"/>
  <c r="G59" i="4" s="1"/>
  <c r="E119" i="4"/>
  <c r="F119" i="4" s="1"/>
  <c r="G119" i="4" s="1"/>
  <c r="E139" i="4"/>
  <c r="F139" i="4" s="1"/>
  <c r="G139" i="4" s="1"/>
  <c r="E199" i="4"/>
  <c r="F199" i="4" s="1"/>
  <c r="G199" i="4" s="1"/>
  <c r="E159" i="4"/>
  <c r="F159" i="4" s="1"/>
  <c r="G159" i="4" s="1"/>
  <c r="E179" i="4"/>
  <c r="F179" i="4" s="1"/>
  <c r="G179" i="4" s="1"/>
  <c r="E219" i="4"/>
  <c r="F219" i="4" s="1"/>
  <c r="G219" i="4" s="1"/>
  <c r="H199" i="4"/>
  <c r="AC139" i="4"/>
  <c r="AB139" i="4"/>
  <c r="V139" i="4"/>
  <c r="H139" i="4"/>
  <c r="H119" i="4"/>
  <c r="V119" i="4"/>
  <c r="AB119" i="4"/>
  <c r="AC119" i="4"/>
  <c r="AC99" i="4"/>
  <c r="AB99" i="4"/>
  <c r="V99" i="4"/>
  <c r="H99" i="4"/>
  <c r="H79" i="4"/>
  <c r="V79" i="4"/>
  <c r="AB79" i="4"/>
  <c r="AC79" i="4"/>
  <c r="H59" i="4"/>
  <c r="V59" i="4"/>
  <c r="AB59" i="4"/>
  <c r="AC59" i="4"/>
  <c r="AC39" i="4"/>
  <c r="AB39" i="4"/>
  <c r="V39" i="4"/>
  <c r="H39" i="4"/>
  <c r="AC19" i="4"/>
  <c r="AB19" i="4"/>
  <c r="V19" i="4"/>
  <c r="H19" i="4"/>
  <c r="H179" i="4"/>
  <c r="V179" i="4"/>
  <c r="AB179" i="4"/>
  <c r="AC179" i="4"/>
  <c r="E157" i="4"/>
  <c r="F157" i="4" s="1"/>
  <c r="G157" i="4" s="1"/>
  <c r="E217" i="4"/>
  <c r="F217" i="4" s="1"/>
  <c r="G217" i="4" s="1"/>
  <c r="E177" i="4"/>
  <c r="F177" i="4" s="1"/>
  <c r="G177" i="4" s="1"/>
  <c r="E17" i="4"/>
  <c r="F17" i="4" s="1"/>
  <c r="G17" i="4" s="1"/>
  <c r="E37" i="4"/>
  <c r="F37" i="4" s="1"/>
  <c r="G37" i="4" s="1"/>
  <c r="E77" i="4"/>
  <c r="F77" i="4" s="1"/>
  <c r="G77" i="4" s="1"/>
  <c r="E97" i="4"/>
  <c r="F97" i="4" s="1"/>
  <c r="G97" i="4" s="1"/>
  <c r="E57" i="4"/>
  <c r="F57" i="4" s="1"/>
  <c r="G57" i="4" s="1"/>
  <c r="E117" i="4"/>
  <c r="F117" i="4" s="1"/>
  <c r="G117" i="4" s="1"/>
  <c r="E137" i="4"/>
  <c r="F137" i="4" s="1"/>
  <c r="G137" i="4" s="1"/>
  <c r="E197" i="4"/>
  <c r="F197" i="4" s="1"/>
  <c r="G197" i="4" s="1"/>
  <c r="E173" i="4"/>
  <c r="F173" i="4" s="1"/>
  <c r="G173" i="4" s="1"/>
  <c r="E213" i="4"/>
  <c r="F213" i="4" s="1"/>
  <c r="G213" i="4" s="1"/>
  <c r="E13" i="4"/>
  <c r="F13" i="4" s="1"/>
  <c r="G13" i="4" s="1"/>
  <c r="E33" i="4"/>
  <c r="F33" i="4" s="1"/>
  <c r="G33" i="4" s="1"/>
  <c r="E73" i="4"/>
  <c r="F73" i="4" s="1"/>
  <c r="G73" i="4" s="1"/>
  <c r="E93" i="4"/>
  <c r="F93" i="4" s="1"/>
  <c r="G93" i="4" s="1"/>
  <c r="E113" i="4"/>
  <c r="F113" i="4" s="1"/>
  <c r="G113" i="4" s="1"/>
  <c r="E133" i="4"/>
  <c r="F133" i="4" s="1"/>
  <c r="G133" i="4" s="1"/>
  <c r="E153" i="4"/>
  <c r="F153" i="4" s="1"/>
  <c r="G153" i="4" s="1"/>
  <c r="E53" i="4"/>
  <c r="F53" i="4" s="1"/>
  <c r="G53" i="4" s="1"/>
  <c r="E193" i="4"/>
  <c r="F193" i="4" s="1"/>
  <c r="G193" i="4" s="1"/>
  <c r="E212" i="4"/>
  <c r="F212" i="4" s="1"/>
  <c r="G212" i="4" s="1"/>
  <c r="E192" i="4"/>
  <c r="F192" i="4" s="1"/>
  <c r="G192" i="4" s="1"/>
  <c r="E172" i="4"/>
  <c r="F172" i="4" s="1"/>
  <c r="G172" i="4" s="1"/>
  <c r="E12" i="4"/>
  <c r="F12" i="4" s="1"/>
  <c r="G12" i="4" s="1"/>
  <c r="E32" i="4"/>
  <c r="F32" i="4" s="1"/>
  <c r="G32" i="4" s="1"/>
  <c r="E72" i="4"/>
  <c r="F72" i="4" s="1"/>
  <c r="G72" i="4" s="1"/>
  <c r="E92" i="4"/>
  <c r="F92" i="4" s="1"/>
  <c r="G92" i="4" s="1"/>
  <c r="E52" i="4"/>
  <c r="F52" i="4" s="1"/>
  <c r="G52" i="4" s="1"/>
  <c r="E112" i="4"/>
  <c r="F112" i="4" s="1"/>
  <c r="G112" i="4" s="1"/>
  <c r="E132" i="4"/>
  <c r="F132" i="4" s="1"/>
  <c r="G132" i="4" s="1"/>
  <c r="H132" i="4" s="1"/>
  <c r="E152" i="4"/>
  <c r="F152" i="4" s="1"/>
  <c r="G152" i="4" s="1"/>
  <c r="H192" i="4"/>
  <c r="AB192" i="4"/>
  <c r="AC192" i="4"/>
  <c r="V192" i="4"/>
  <c r="H172" i="4"/>
  <c r="AB172" i="4"/>
  <c r="V172" i="4"/>
  <c r="AC172" i="4"/>
  <c r="V152" i="4"/>
  <c r="H152" i="4"/>
  <c r="AC132" i="4"/>
  <c r="AB132" i="4"/>
  <c r="V132" i="4"/>
  <c r="E211" i="4"/>
  <c r="F211" i="4" s="1"/>
  <c r="G211" i="4" s="1"/>
  <c r="E171" i="4"/>
  <c r="F171" i="4" s="1"/>
  <c r="G171" i="4" s="1"/>
  <c r="E191" i="4"/>
  <c r="F191" i="4" s="1"/>
  <c r="G191" i="4" s="1"/>
  <c r="E11" i="4"/>
  <c r="F11" i="4" s="1"/>
  <c r="G11" i="4" s="1"/>
  <c r="E31" i="4"/>
  <c r="F31" i="4" s="1"/>
  <c r="G31" i="4" s="1"/>
  <c r="E71" i="4"/>
  <c r="F71" i="4" s="1"/>
  <c r="G71" i="4" s="1"/>
  <c r="E91" i="4"/>
  <c r="F91" i="4" s="1"/>
  <c r="G91" i="4" s="1"/>
  <c r="E51" i="4"/>
  <c r="F51" i="4" s="1"/>
  <c r="G51" i="4" s="1"/>
  <c r="E111" i="4"/>
  <c r="F111" i="4" s="1"/>
  <c r="G111" i="4" s="1"/>
  <c r="E131" i="4"/>
  <c r="F131" i="4" s="1"/>
  <c r="G131" i="4" s="1"/>
  <c r="E151" i="4"/>
  <c r="F151" i="4" s="1"/>
  <c r="G151" i="4" s="1"/>
  <c r="H191" i="4"/>
  <c r="AC191" i="4"/>
  <c r="V191" i="4"/>
  <c r="AB191" i="4"/>
  <c r="H211" i="4"/>
  <c r="AB211" i="4"/>
  <c r="AC211" i="4"/>
  <c r="V211" i="4"/>
  <c r="H171" i="4"/>
  <c r="AB171" i="4"/>
  <c r="AC171" i="4"/>
  <c r="V171" i="4"/>
  <c r="H51" i="4"/>
  <c r="AC51" i="4"/>
  <c r="AB51" i="4"/>
  <c r="V51" i="4"/>
  <c r="AC151" i="4"/>
  <c r="AB151" i="4"/>
  <c r="V151" i="4"/>
  <c r="H151" i="4"/>
  <c r="AC131" i="4"/>
  <c r="AB131" i="4"/>
  <c r="V131" i="4"/>
  <c r="H131" i="4"/>
  <c r="H111" i="4"/>
  <c r="V111" i="4"/>
  <c r="AB111" i="4"/>
  <c r="AC111" i="4"/>
  <c r="AC91" i="4"/>
  <c r="E168" i="4"/>
  <c r="F168" i="4" s="1"/>
  <c r="G168" i="4" s="1"/>
  <c r="E188" i="4"/>
  <c r="F188" i="4" s="1"/>
  <c r="G188" i="4" s="1"/>
  <c r="E208" i="4"/>
  <c r="F208" i="4" s="1"/>
  <c r="G208" i="4" s="1"/>
  <c r="E8" i="4"/>
  <c r="F8" i="4" s="1"/>
  <c r="G8" i="4" s="1"/>
  <c r="E28" i="4"/>
  <c r="F28" i="4" s="1"/>
  <c r="G28" i="4" s="1"/>
  <c r="E48" i="4"/>
  <c r="F48" i="4" s="1"/>
  <c r="G48" i="4" s="1"/>
  <c r="E68" i="4"/>
  <c r="F68" i="4" s="1"/>
  <c r="G68" i="4" s="1"/>
  <c r="E88" i="4"/>
  <c r="F88" i="4" s="1"/>
  <c r="G88" i="4" s="1"/>
  <c r="E108" i="4"/>
  <c r="F108" i="4" s="1"/>
  <c r="G108" i="4" s="1"/>
  <c r="E128" i="4"/>
  <c r="F128" i="4" s="1"/>
  <c r="G128" i="4" s="1"/>
  <c r="E148" i="4"/>
  <c r="F148" i="4" s="1"/>
  <c r="G148" i="4" s="1"/>
  <c r="H226" i="4"/>
  <c r="V226" i="4"/>
  <c r="AB226" i="4"/>
  <c r="AC226" i="4"/>
  <c r="H216" i="4"/>
  <c r="AC216" i="4"/>
  <c r="V216" i="4"/>
  <c r="AB216" i="4"/>
  <c r="AB156" i="4"/>
  <c r="H156" i="4"/>
  <c r="V156" i="4"/>
  <c r="AC156" i="4"/>
  <c r="V154" i="4"/>
  <c r="AC154" i="4"/>
  <c r="H194" i="4"/>
  <c r="V194" i="4"/>
  <c r="AB194" i="4"/>
  <c r="AC194" i="4"/>
  <c r="H174" i="4"/>
  <c r="V174" i="4"/>
  <c r="AB174" i="4"/>
  <c r="AC174" i="4"/>
  <c r="H214" i="4"/>
  <c r="V214" i="4"/>
  <c r="AC214" i="4"/>
  <c r="AB214" i="4"/>
  <c r="V69" i="4"/>
  <c r="H69" i="4"/>
  <c r="AB69" i="4"/>
  <c r="AC69" i="4"/>
  <c r="AC109" i="4"/>
  <c r="H109" i="4"/>
  <c r="V109" i="4"/>
  <c r="AB109" i="4"/>
  <c r="H189" i="4"/>
  <c r="AC189" i="4"/>
  <c r="V189" i="4"/>
  <c r="AB189" i="4"/>
  <c r="V169" i="4"/>
  <c r="AC169" i="4"/>
  <c r="V209" i="4"/>
  <c r="AB209" i="4"/>
  <c r="AC209" i="4"/>
  <c r="H209" i="4"/>
  <c r="I27" i="4" l="1"/>
  <c r="AE27" i="4"/>
  <c r="R27" i="4"/>
  <c r="AA27" i="4"/>
  <c r="I47" i="4"/>
  <c r="AE47" i="4"/>
  <c r="AA47" i="4"/>
  <c r="R47" i="4"/>
  <c r="I87" i="4"/>
  <c r="AE87" i="4" s="1"/>
  <c r="AA87" i="4"/>
  <c r="R87" i="4"/>
  <c r="I127" i="4"/>
  <c r="AE127" i="4" s="1"/>
  <c r="AA127" i="4"/>
  <c r="R127" i="4"/>
  <c r="I147" i="4"/>
  <c r="AE147" i="4" s="1"/>
  <c r="AA147" i="4"/>
  <c r="R147" i="4"/>
  <c r="X187" i="4"/>
  <c r="S187" i="4"/>
  <c r="AH187" i="4"/>
  <c r="AS26" i="4"/>
  <c r="AG187" i="4"/>
  <c r="L187" i="4"/>
  <c r="M187" i="4" s="1"/>
  <c r="O187" i="4" s="1"/>
  <c r="P187" i="4" s="1"/>
  <c r="Q187" i="4" s="1"/>
  <c r="W187" i="4" s="1"/>
  <c r="T187" i="4"/>
  <c r="S207" i="4"/>
  <c r="X207" i="4"/>
  <c r="AH207" i="4"/>
  <c r="AG207" i="4"/>
  <c r="AT26" i="4"/>
  <c r="L207" i="4"/>
  <c r="M207" i="4" s="1"/>
  <c r="O207" i="4" s="1"/>
  <c r="P207" i="4" s="1"/>
  <c r="Q207" i="4" s="1"/>
  <c r="W207" i="4" s="1"/>
  <c r="T207" i="4"/>
  <c r="AU26" i="4"/>
  <c r="AG227" i="4"/>
  <c r="AH227" i="4"/>
  <c r="X227" i="4"/>
  <c r="S227" i="4"/>
  <c r="L227" i="4"/>
  <c r="M227" i="4" s="1"/>
  <c r="O227" i="4" s="1"/>
  <c r="P227" i="4" s="1"/>
  <c r="Q227" i="4" s="1"/>
  <c r="W227" i="4" s="1"/>
  <c r="T227" i="4"/>
  <c r="AM26" i="4"/>
  <c r="AH67" i="4"/>
  <c r="AG67" i="4"/>
  <c r="X67" i="4"/>
  <c r="S67" i="4"/>
  <c r="L67" i="4"/>
  <c r="M67" i="4" s="1"/>
  <c r="O67" i="4" s="1"/>
  <c r="P67" i="4" s="1"/>
  <c r="Q67" i="4" s="1"/>
  <c r="W67" i="4" s="1"/>
  <c r="T67" i="4"/>
  <c r="X107" i="4"/>
  <c r="S107" i="4"/>
  <c r="AO26" i="4"/>
  <c r="AH107" i="4"/>
  <c r="AG107" i="4"/>
  <c r="L107" i="4"/>
  <c r="M107" i="4" s="1"/>
  <c r="O107" i="4" s="1"/>
  <c r="P107" i="4" s="1"/>
  <c r="Q107" i="4" s="1"/>
  <c r="W107" i="4" s="1"/>
  <c r="T107" i="4"/>
  <c r="AH167" i="4"/>
  <c r="AR26" i="4"/>
  <c r="AG167" i="4"/>
  <c r="X167" i="4"/>
  <c r="S167" i="4"/>
  <c r="L167" i="4"/>
  <c r="M167" i="4" s="1"/>
  <c r="O167" i="4" s="1"/>
  <c r="P167" i="4" s="1"/>
  <c r="Q167" i="4" s="1"/>
  <c r="W167" i="4" s="1"/>
  <c r="T167" i="4"/>
  <c r="I26" i="4"/>
  <c r="AE26" i="4"/>
  <c r="AA26" i="4"/>
  <c r="R26" i="4"/>
  <c r="I46" i="4"/>
  <c r="AE46" i="4" s="1"/>
  <c r="AA46" i="4"/>
  <c r="R46" i="4"/>
  <c r="I86" i="4"/>
  <c r="AE86" i="4"/>
  <c r="AA86" i="4"/>
  <c r="R86" i="4"/>
  <c r="I126" i="4"/>
  <c r="AE126" i="4"/>
  <c r="AA126" i="4"/>
  <c r="R126" i="4"/>
  <c r="I146" i="4"/>
  <c r="AE146" i="4"/>
  <c r="AA146" i="4"/>
  <c r="R146" i="4"/>
  <c r="S206" i="4"/>
  <c r="X206" i="4"/>
  <c r="AT25" i="4"/>
  <c r="AH206" i="4"/>
  <c r="AG206" i="4"/>
  <c r="L206" i="4"/>
  <c r="M206" i="4" s="1"/>
  <c r="O206" i="4" s="1"/>
  <c r="P206" i="4" s="1"/>
  <c r="Q206" i="4" s="1"/>
  <c r="W206" i="4" s="1"/>
  <c r="T206" i="4"/>
  <c r="AR25" i="4"/>
  <c r="AH166" i="4"/>
  <c r="AG166" i="4"/>
  <c r="X166" i="4"/>
  <c r="S166" i="4"/>
  <c r="L166" i="4"/>
  <c r="M166" i="4" s="1"/>
  <c r="O166" i="4" s="1"/>
  <c r="P166" i="4" s="1"/>
  <c r="Q166" i="4" s="1"/>
  <c r="W166" i="4" s="1"/>
  <c r="T166" i="4"/>
  <c r="AM25" i="4"/>
  <c r="AH66" i="4"/>
  <c r="AG66" i="4"/>
  <c r="X66" i="4"/>
  <c r="S66" i="4"/>
  <c r="L66" i="4"/>
  <c r="M66" i="4" s="1"/>
  <c r="O66" i="4" s="1"/>
  <c r="P66" i="4" s="1"/>
  <c r="Q66" i="4" s="1"/>
  <c r="W66" i="4" s="1"/>
  <c r="T66" i="4"/>
  <c r="X106" i="4"/>
  <c r="S106" i="4"/>
  <c r="AO25" i="4"/>
  <c r="AH106" i="4"/>
  <c r="AG106" i="4"/>
  <c r="L106" i="4"/>
  <c r="M106" i="4" s="1"/>
  <c r="O106" i="4" s="1"/>
  <c r="P106" i="4" s="1"/>
  <c r="Q106" i="4" s="1"/>
  <c r="W106" i="4" s="1"/>
  <c r="T106" i="4"/>
  <c r="AH186" i="4"/>
  <c r="AS25" i="4"/>
  <c r="AG186" i="4"/>
  <c r="X186" i="4"/>
  <c r="S186" i="4"/>
  <c r="L186" i="4"/>
  <c r="M186" i="4" s="1"/>
  <c r="O186" i="4" s="1"/>
  <c r="P186" i="4" s="1"/>
  <c r="Q186" i="4" s="1"/>
  <c r="W186" i="4" s="1"/>
  <c r="T186" i="4"/>
  <c r="I21" i="4"/>
  <c r="AE21" i="4"/>
  <c r="AA21" i="4"/>
  <c r="R21" i="4"/>
  <c r="I41" i="4"/>
  <c r="AE41" i="4" s="1"/>
  <c r="AA41" i="4"/>
  <c r="R41" i="4"/>
  <c r="I141" i="4"/>
  <c r="AE141" i="4" s="1"/>
  <c r="AA141" i="4"/>
  <c r="R141" i="4"/>
  <c r="I201" i="4"/>
  <c r="AE201" i="4" s="1"/>
  <c r="AA201" i="4"/>
  <c r="R201" i="4"/>
  <c r="AR20" i="4"/>
  <c r="AH161" i="4"/>
  <c r="AG161" i="4"/>
  <c r="X161" i="4"/>
  <c r="S161" i="4"/>
  <c r="L161" i="4"/>
  <c r="M161" i="4" s="1"/>
  <c r="O161" i="4" s="1"/>
  <c r="P161" i="4" s="1"/>
  <c r="Q161" i="4" s="1"/>
  <c r="W161" i="4" s="1"/>
  <c r="T161" i="4"/>
  <c r="AS20" i="4"/>
  <c r="AH181" i="4"/>
  <c r="AG181" i="4"/>
  <c r="S181" i="4"/>
  <c r="X181" i="4"/>
  <c r="L181" i="4"/>
  <c r="M181" i="4" s="1"/>
  <c r="O181" i="4" s="1"/>
  <c r="P181" i="4" s="1"/>
  <c r="Q181" i="4" s="1"/>
  <c r="W181" i="4" s="1"/>
  <c r="T181" i="4"/>
  <c r="X221" i="4"/>
  <c r="S221" i="4"/>
  <c r="AU20" i="4"/>
  <c r="AH221" i="4"/>
  <c r="AG221" i="4"/>
  <c r="L221" i="4"/>
  <c r="M221" i="4" s="1"/>
  <c r="O221" i="4" s="1"/>
  <c r="P221" i="4" s="1"/>
  <c r="Q221" i="4" s="1"/>
  <c r="W221" i="4" s="1"/>
  <c r="T221" i="4"/>
  <c r="X61" i="4"/>
  <c r="S61" i="4"/>
  <c r="AM20" i="4"/>
  <c r="AH61" i="4"/>
  <c r="AG61" i="4"/>
  <c r="L61" i="4"/>
  <c r="M61" i="4" s="1"/>
  <c r="O61" i="4" s="1"/>
  <c r="P61" i="4" s="1"/>
  <c r="Q61" i="4" s="1"/>
  <c r="W61" i="4" s="1"/>
  <c r="T61" i="4"/>
  <c r="AN20" i="4"/>
  <c r="AH81" i="4"/>
  <c r="AG81" i="4"/>
  <c r="X81" i="4"/>
  <c r="S81" i="4"/>
  <c r="L81" i="4"/>
  <c r="M81" i="4" s="1"/>
  <c r="O81" i="4" s="1"/>
  <c r="P81" i="4" s="1"/>
  <c r="Q81" i="4" s="1"/>
  <c r="W81" i="4" s="1"/>
  <c r="T81" i="4"/>
  <c r="X101" i="4"/>
  <c r="S101" i="4"/>
  <c r="AO20" i="4"/>
  <c r="AH101" i="4"/>
  <c r="AG101" i="4"/>
  <c r="L101" i="4"/>
  <c r="M101" i="4" s="1"/>
  <c r="O101" i="4" s="1"/>
  <c r="P101" i="4" s="1"/>
  <c r="Q101" i="4" s="1"/>
  <c r="W101" i="4" s="1"/>
  <c r="T101" i="4"/>
  <c r="X121" i="4"/>
  <c r="S121" i="4"/>
  <c r="AP20" i="4"/>
  <c r="AH121" i="4"/>
  <c r="AG121" i="4"/>
  <c r="L121" i="4"/>
  <c r="M121" i="4" s="1"/>
  <c r="O121" i="4" s="1"/>
  <c r="P121" i="4" s="1"/>
  <c r="Q121" i="4" s="1"/>
  <c r="W121" i="4" s="1"/>
  <c r="T121" i="4"/>
  <c r="I20" i="4"/>
  <c r="AE20" i="4"/>
  <c r="AA20" i="4"/>
  <c r="R20" i="4"/>
  <c r="I40" i="4"/>
  <c r="AE40" i="4"/>
  <c r="AA40" i="4"/>
  <c r="R40" i="4"/>
  <c r="I100" i="4"/>
  <c r="AE100" i="4" s="1"/>
  <c r="AA100" i="4"/>
  <c r="R100" i="4"/>
  <c r="AE140" i="4"/>
  <c r="I140" i="4"/>
  <c r="AA140" i="4"/>
  <c r="R140" i="4"/>
  <c r="I200" i="4"/>
  <c r="AE200" i="4" s="1"/>
  <c r="AA200" i="4"/>
  <c r="R200" i="4"/>
  <c r="R220" i="4"/>
  <c r="AA220" i="4"/>
  <c r="I220" i="4"/>
  <c r="AE220" i="4" s="1"/>
  <c r="AA180" i="4"/>
  <c r="R180" i="4"/>
  <c r="AE180" i="4"/>
  <c r="I180" i="4"/>
  <c r="AA160" i="4"/>
  <c r="R160" i="4"/>
  <c r="I160" i="4"/>
  <c r="AE160" i="4" s="1"/>
  <c r="AM19" i="4"/>
  <c r="AH60" i="4"/>
  <c r="AG60" i="4"/>
  <c r="X60" i="4"/>
  <c r="S60" i="4"/>
  <c r="L60" i="4"/>
  <c r="M60" i="4" s="1"/>
  <c r="O60" i="4" s="1"/>
  <c r="P60" i="4" s="1"/>
  <c r="Q60" i="4" s="1"/>
  <c r="W60" i="4" s="1"/>
  <c r="T60" i="4"/>
  <c r="AN19" i="4"/>
  <c r="AH80" i="4"/>
  <c r="AG80" i="4"/>
  <c r="X80" i="4"/>
  <c r="S80" i="4"/>
  <c r="L80" i="4"/>
  <c r="M80" i="4" s="1"/>
  <c r="O80" i="4" s="1"/>
  <c r="P80" i="4" s="1"/>
  <c r="Q80" i="4" s="1"/>
  <c r="W80" i="4" s="1"/>
  <c r="T80" i="4"/>
  <c r="AP19" i="4"/>
  <c r="AH120" i="4"/>
  <c r="AG120" i="4"/>
  <c r="X120" i="4"/>
  <c r="S120" i="4"/>
  <c r="L120" i="4"/>
  <c r="M120" i="4" s="1"/>
  <c r="O120" i="4" s="1"/>
  <c r="P120" i="4" s="1"/>
  <c r="Q120" i="4" s="1"/>
  <c r="W120" i="4" s="1"/>
  <c r="T120" i="4"/>
  <c r="I18" i="4"/>
  <c r="AE18" i="4"/>
  <c r="R18" i="4"/>
  <c r="AA18" i="4"/>
  <c r="I38" i="4"/>
  <c r="AE38" i="4"/>
  <c r="AA38" i="4"/>
  <c r="R38" i="4"/>
  <c r="I98" i="4"/>
  <c r="AE98" i="4" s="1"/>
  <c r="AA98" i="4"/>
  <c r="R98" i="4"/>
  <c r="AA138" i="4"/>
  <c r="R138" i="4"/>
  <c r="I138" i="4"/>
  <c r="AE138" i="4" s="1"/>
  <c r="I198" i="4"/>
  <c r="AE198" i="4" s="1"/>
  <c r="AA198" i="4"/>
  <c r="R198" i="4"/>
  <c r="AR17" i="4"/>
  <c r="AH158" i="4"/>
  <c r="AG158" i="4"/>
  <c r="S158" i="4"/>
  <c r="X158" i="4"/>
  <c r="L158" i="4"/>
  <c r="M158" i="4" s="1"/>
  <c r="O158" i="4" s="1"/>
  <c r="P158" i="4" s="1"/>
  <c r="Q158" i="4" s="1"/>
  <c r="W158" i="4" s="1"/>
  <c r="T158" i="4"/>
  <c r="AU17" i="4"/>
  <c r="AH218" i="4"/>
  <c r="AG218" i="4"/>
  <c r="S218" i="4"/>
  <c r="X218" i="4"/>
  <c r="L218" i="4"/>
  <c r="M218" i="4" s="1"/>
  <c r="O218" i="4" s="1"/>
  <c r="P218" i="4" s="1"/>
  <c r="Q218" i="4" s="1"/>
  <c r="W218" i="4" s="1"/>
  <c r="T218" i="4"/>
  <c r="AM17" i="4"/>
  <c r="AH58" i="4"/>
  <c r="AG58" i="4"/>
  <c r="S58" i="4"/>
  <c r="X58" i="4"/>
  <c r="L58" i="4"/>
  <c r="M58" i="4" s="1"/>
  <c r="O58" i="4" s="1"/>
  <c r="P58" i="4" s="1"/>
  <c r="Q58" i="4" s="1"/>
  <c r="W58" i="4" s="1"/>
  <c r="T58" i="4"/>
  <c r="X78" i="4"/>
  <c r="S78" i="4"/>
  <c r="AN17" i="4"/>
  <c r="AH78" i="4"/>
  <c r="AG78" i="4"/>
  <c r="L78" i="4"/>
  <c r="M78" i="4" s="1"/>
  <c r="O78" i="4" s="1"/>
  <c r="P78" i="4" s="1"/>
  <c r="Q78" i="4" s="1"/>
  <c r="W78" i="4" s="1"/>
  <c r="T78" i="4"/>
  <c r="AP17" i="4"/>
  <c r="AH118" i="4"/>
  <c r="AG118" i="4"/>
  <c r="X118" i="4"/>
  <c r="S118" i="4"/>
  <c r="L118" i="4"/>
  <c r="M118" i="4" s="1"/>
  <c r="O118" i="4" s="1"/>
  <c r="P118" i="4" s="1"/>
  <c r="Q118" i="4" s="1"/>
  <c r="W118" i="4" s="1"/>
  <c r="T118" i="4"/>
  <c r="X178" i="4"/>
  <c r="S178" i="4"/>
  <c r="AS17" i="4"/>
  <c r="AH178" i="4"/>
  <c r="AG178" i="4"/>
  <c r="L178" i="4"/>
  <c r="M178" i="4" s="1"/>
  <c r="O178" i="4" s="1"/>
  <c r="P178" i="4" s="1"/>
  <c r="Q178" i="4" s="1"/>
  <c r="W178" i="4" s="1"/>
  <c r="T178" i="4"/>
  <c r="I16" i="4"/>
  <c r="AE16" i="4"/>
  <c r="AA16" i="4"/>
  <c r="R16" i="4"/>
  <c r="I36" i="4"/>
  <c r="AE36" i="4"/>
  <c r="AA36" i="4"/>
  <c r="R36" i="4"/>
  <c r="I96" i="4"/>
  <c r="AE96" i="4"/>
  <c r="AA96" i="4"/>
  <c r="R96" i="4"/>
  <c r="I136" i="4"/>
  <c r="AE136" i="4"/>
  <c r="AA136" i="4"/>
  <c r="R136" i="4"/>
  <c r="I196" i="4"/>
  <c r="AE196" i="4"/>
  <c r="AA196" i="4"/>
  <c r="R196" i="4"/>
  <c r="X176" i="4"/>
  <c r="S176" i="4"/>
  <c r="AH176" i="4"/>
  <c r="L176" i="4"/>
  <c r="M176" i="4" s="1"/>
  <c r="O176" i="4" s="1"/>
  <c r="P176" i="4" s="1"/>
  <c r="Q176" i="4" s="1"/>
  <c r="W176" i="4" s="1"/>
  <c r="T176" i="4"/>
  <c r="AM15" i="4"/>
  <c r="AH56" i="4"/>
  <c r="AG56" i="4"/>
  <c r="S56" i="4"/>
  <c r="X56" i="4"/>
  <c r="L56" i="4"/>
  <c r="M56" i="4" s="1"/>
  <c r="O56" i="4" s="1"/>
  <c r="P56" i="4" s="1"/>
  <c r="Q56" i="4" s="1"/>
  <c r="W56" i="4" s="1"/>
  <c r="T56" i="4"/>
  <c r="X76" i="4"/>
  <c r="S76" i="4"/>
  <c r="AN15" i="4"/>
  <c r="AH76" i="4"/>
  <c r="AG76" i="4"/>
  <c r="L76" i="4"/>
  <c r="M76" i="4" s="1"/>
  <c r="O76" i="4" s="1"/>
  <c r="P76" i="4" s="1"/>
  <c r="Q76" i="4" s="1"/>
  <c r="W76" i="4" s="1"/>
  <c r="T76" i="4"/>
  <c r="X116" i="4"/>
  <c r="S116" i="4"/>
  <c r="AH116" i="4"/>
  <c r="L116" i="4"/>
  <c r="M116" i="4" s="1"/>
  <c r="O116" i="4" s="1"/>
  <c r="P116" i="4" s="1"/>
  <c r="Q116" i="4" s="1"/>
  <c r="W116" i="4" s="1"/>
  <c r="T116" i="4"/>
  <c r="C59" i="6"/>
  <c r="G8" i="1"/>
  <c r="I7" i="4"/>
  <c r="AE7" i="4" s="1"/>
  <c r="R7" i="4"/>
  <c r="AA7" i="4"/>
  <c r="G12" i="1" s="1"/>
  <c r="I15" i="4"/>
  <c r="AE15" i="4"/>
  <c r="R15" i="4"/>
  <c r="AA15" i="4"/>
  <c r="I35" i="4"/>
  <c r="AE35" i="4"/>
  <c r="AA35" i="4"/>
  <c r="R35" i="4"/>
  <c r="I95" i="4"/>
  <c r="AE95" i="4"/>
  <c r="AA95" i="4"/>
  <c r="R95" i="4"/>
  <c r="I135" i="4"/>
  <c r="AE135" i="4"/>
  <c r="AA135" i="4"/>
  <c r="R135" i="4"/>
  <c r="I195" i="4"/>
  <c r="AE195" i="4" s="1"/>
  <c r="AA195" i="4"/>
  <c r="R195" i="4"/>
  <c r="X155" i="4"/>
  <c r="S155" i="4"/>
  <c r="AH155" i="4"/>
  <c r="L155" i="4"/>
  <c r="M155" i="4" s="1"/>
  <c r="O155" i="4" s="1"/>
  <c r="P155" i="4" s="1"/>
  <c r="Q155" i="4" s="1"/>
  <c r="W155" i="4" s="1"/>
  <c r="T155" i="4"/>
  <c r="AU14" i="4"/>
  <c r="AH215" i="4"/>
  <c r="AG215" i="4"/>
  <c r="S215" i="4"/>
  <c r="X215" i="4"/>
  <c r="L215" i="4"/>
  <c r="M215" i="4" s="1"/>
  <c r="O215" i="4" s="1"/>
  <c r="P215" i="4" s="1"/>
  <c r="Q215" i="4" s="1"/>
  <c r="W215" i="4" s="1"/>
  <c r="T215" i="4"/>
  <c r="X75" i="4"/>
  <c r="S75" i="4"/>
  <c r="AN14" i="4"/>
  <c r="AH75" i="4"/>
  <c r="AG75" i="4"/>
  <c r="L75" i="4"/>
  <c r="M75" i="4" s="1"/>
  <c r="O75" i="4" s="1"/>
  <c r="P75" i="4" s="1"/>
  <c r="Q75" i="4" s="1"/>
  <c r="W75" i="4" s="1"/>
  <c r="T75" i="4"/>
  <c r="S55" i="4"/>
  <c r="X55" i="4"/>
  <c r="AM14" i="4"/>
  <c r="AH55" i="4"/>
  <c r="AG55" i="4"/>
  <c r="L55" i="4"/>
  <c r="M55" i="4" s="1"/>
  <c r="O55" i="4" s="1"/>
  <c r="P55" i="4" s="1"/>
  <c r="Q55" i="4" s="1"/>
  <c r="W55" i="4" s="1"/>
  <c r="T55" i="4"/>
  <c r="AH115" i="4"/>
  <c r="X115" i="4"/>
  <c r="S115" i="4"/>
  <c r="L115" i="4"/>
  <c r="M115" i="4" s="1"/>
  <c r="O115" i="4" s="1"/>
  <c r="P115" i="4" s="1"/>
  <c r="Q115" i="4" s="1"/>
  <c r="W115" i="4" s="1"/>
  <c r="T115" i="4"/>
  <c r="X175" i="4"/>
  <c r="S175" i="4"/>
  <c r="AH175" i="4"/>
  <c r="L175" i="4"/>
  <c r="M175" i="4" s="1"/>
  <c r="O175" i="4" s="1"/>
  <c r="P175" i="4" s="1"/>
  <c r="Q175" i="4" s="1"/>
  <c r="W175" i="4" s="1"/>
  <c r="T175" i="4"/>
  <c r="I14" i="4"/>
  <c r="AE14" i="4"/>
  <c r="AA14" i="4"/>
  <c r="R14" i="4"/>
  <c r="I34" i="4"/>
  <c r="AE34" i="4"/>
  <c r="R34" i="4"/>
  <c r="AA34" i="4"/>
  <c r="I94" i="4"/>
  <c r="AE94" i="4"/>
  <c r="AA94" i="4"/>
  <c r="R94" i="4"/>
  <c r="I134" i="4"/>
  <c r="AE134" i="4" s="1"/>
  <c r="AA134" i="4"/>
  <c r="R134" i="4"/>
  <c r="AM13" i="4"/>
  <c r="AG54" i="4"/>
  <c r="AH54" i="4"/>
  <c r="S54" i="4"/>
  <c r="X54" i="4"/>
  <c r="L54" i="4"/>
  <c r="M54" i="4" s="1"/>
  <c r="O54" i="4" s="1"/>
  <c r="P54" i="4" s="1"/>
  <c r="Q54" i="4" s="1"/>
  <c r="W54" i="4" s="1"/>
  <c r="T54" i="4"/>
  <c r="AN13" i="4"/>
  <c r="AH74" i="4"/>
  <c r="AG74" i="4"/>
  <c r="X74" i="4"/>
  <c r="S74" i="4"/>
  <c r="L74" i="4"/>
  <c r="M74" i="4" s="1"/>
  <c r="O74" i="4" s="1"/>
  <c r="P74" i="4" s="1"/>
  <c r="Q74" i="4" s="1"/>
  <c r="W74" i="4" s="1"/>
  <c r="T74" i="4"/>
  <c r="X114" i="4"/>
  <c r="S114" i="4"/>
  <c r="AP13" i="4"/>
  <c r="AH114" i="4"/>
  <c r="AG114" i="4"/>
  <c r="L114" i="4"/>
  <c r="M114" i="4" s="1"/>
  <c r="O114" i="4" s="1"/>
  <c r="P114" i="4" s="1"/>
  <c r="Q114" i="4" s="1"/>
  <c r="W114" i="4" s="1"/>
  <c r="T114" i="4"/>
  <c r="AR13" i="4"/>
  <c r="AH154" i="4"/>
  <c r="AG154" i="4"/>
  <c r="S154" i="4"/>
  <c r="X154" i="4"/>
  <c r="L154" i="4"/>
  <c r="M154" i="4" s="1"/>
  <c r="O154" i="4" s="1"/>
  <c r="P154" i="4" s="1"/>
  <c r="Q154" i="4" s="1"/>
  <c r="W154" i="4" s="1"/>
  <c r="T154" i="4"/>
  <c r="I10" i="4"/>
  <c r="AE10" i="4"/>
  <c r="AA10" i="4"/>
  <c r="R10" i="4"/>
  <c r="I30" i="4"/>
  <c r="AE30" i="4"/>
  <c r="AA30" i="4"/>
  <c r="R30" i="4"/>
  <c r="I90" i="4"/>
  <c r="AE90" i="4" s="1"/>
  <c r="AA90" i="4"/>
  <c r="R90" i="4"/>
  <c r="I130" i="4"/>
  <c r="AE130" i="4"/>
  <c r="AA130" i="4"/>
  <c r="R130" i="4"/>
  <c r="I150" i="4"/>
  <c r="AE150" i="4"/>
  <c r="AA150" i="4"/>
  <c r="R150" i="4"/>
  <c r="X170" i="4"/>
  <c r="S170" i="4"/>
  <c r="AS9" i="4"/>
  <c r="AH170" i="4"/>
  <c r="AG170" i="4"/>
  <c r="L170" i="4"/>
  <c r="M170" i="4" s="1"/>
  <c r="O170" i="4" s="1"/>
  <c r="P170" i="4" s="1"/>
  <c r="Q170" i="4" s="1"/>
  <c r="W170" i="4" s="1"/>
  <c r="T170" i="4"/>
  <c r="X70" i="4"/>
  <c r="S70" i="4"/>
  <c r="AN9" i="4"/>
  <c r="AH70" i="4"/>
  <c r="AG70" i="4"/>
  <c r="L70" i="4"/>
  <c r="M70" i="4" s="1"/>
  <c r="O70" i="4" s="1"/>
  <c r="P70" i="4" s="1"/>
  <c r="Q70" i="4" s="1"/>
  <c r="W70" i="4" s="1"/>
  <c r="T70" i="4"/>
  <c r="X110" i="4"/>
  <c r="S110" i="4"/>
  <c r="AP9" i="4"/>
  <c r="AH110" i="4"/>
  <c r="AG110" i="4"/>
  <c r="L110" i="4"/>
  <c r="M110" i="4" s="1"/>
  <c r="O110" i="4" s="1"/>
  <c r="P110" i="4" s="1"/>
  <c r="Q110" i="4" s="1"/>
  <c r="W110" i="4" s="1"/>
  <c r="T110" i="4"/>
  <c r="X50" i="4"/>
  <c r="S50" i="4"/>
  <c r="AH50" i="4"/>
  <c r="AM9" i="4"/>
  <c r="AG50" i="4"/>
  <c r="L50" i="4"/>
  <c r="M50" i="4" s="1"/>
  <c r="O50" i="4" s="1"/>
  <c r="P50" i="4" s="1"/>
  <c r="Q50" i="4" s="1"/>
  <c r="W50" i="4" s="1"/>
  <c r="T50" i="4"/>
  <c r="AH190" i="4"/>
  <c r="AG190" i="4"/>
  <c r="AT9" i="4"/>
  <c r="S190" i="4"/>
  <c r="X190" i="4"/>
  <c r="L190" i="4"/>
  <c r="M190" i="4" s="1"/>
  <c r="O190" i="4" s="1"/>
  <c r="P190" i="4" s="1"/>
  <c r="Q190" i="4" s="1"/>
  <c r="W190" i="4" s="1"/>
  <c r="T190" i="4"/>
  <c r="AU9" i="4"/>
  <c r="AH210" i="4"/>
  <c r="AG210" i="4"/>
  <c r="S210" i="4"/>
  <c r="X210" i="4"/>
  <c r="L210" i="4"/>
  <c r="M210" i="4" s="1"/>
  <c r="O210" i="4" s="1"/>
  <c r="P210" i="4" s="1"/>
  <c r="Q210" i="4" s="1"/>
  <c r="W210" i="4" s="1"/>
  <c r="T210" i="4"/>
  <c r="I9" i="4"/>
  <c r="AE9" i="4"/>
  <c r="R9" i="4"/>
  <c r="AA9" i="4"/>
  <c r="AA29" i="4"/>
  <c r="I29" i="4"/>
  <c r="AE29" i="4" s="1"/>
  <c r="R29" i="4"/>
  <c r="I89" i="4"/>
  <c r="AE89" i="4"/>
  <c r="AA89" i="4"/>
  <c r="R89" i="4"/>
  <c r="I129" i="4"/>
  <c r="AE129" i="4" s="1"/>
  <c r="AA129" i="4"/>
  <c r="R129" i="4"/>
  <c r="I149" i="4"/>
  <c r="AE149" i="4" s="1"/>
  <c r="AA149" i="4"/>
  <c r="R149" i="4"/>
  <c r="S49" i="4"/>
  <c r="X49" i="4"/>
  <c r="AM8" i="4"/>
  <c r="AH49" i="4"/>
  <c r="AG49" i="4"/>
  <c r="L49" i="4"/>
  <c r="M49" i="4" s="1"/>
  <c r="O49" i="4" s="1"/>
  <c r="P49" i="4" s="1"/>
  <c r="Q49" i="4" s="1"/>
  <c r="W49" i="4" s="1"/>
  <c r="T49" i="4"/>
  <c r="X169" i="4"/>
  <c r="S169" i="4"/>
  <c r="AH169" i="4"/>
  <c r="AS8" i="4"/>
  <c r="AG169" i="4"/>
  <c r="L169" i="4"/>
  <c r="M169" i="4" s="1"/>
  <c r="O169" i="4" s="1"/>
  <c r="P169" i="4" s="1"/>
  <c r="Q169" i="4" s="1"/>
  <c r="W169" i="4" s="1"/>
  <c r="T169" i="4"/>
  <c r="AB165" i="4"/>
  <c r="AC165" i="4"/>
  <c r="V165" i="4"/>
  <c r="H165" i="4"/>
  <c r="AB225" i="4"/>
  <c r="V225" i="4"/>
  <c r="AC225" i="4"/>
  <c r="H225" i="4"/>
  <c r="AC205" i="4"/>
  <c r="V205" i="4"/>
  <c r="AB205" i="4"/>
  <c r="H205" i="4"/>
  <c r="H25" i="4"/>
  <c r="V25" i="4"/>
  <c r="AB25" i="4"/>
  <c r="AC25" i="4"/>
  <c r="H45" i="4"/>
  <c r="V45" i="4"/>
  <c r="AB45" i="4"/>
  <c r="AC45" i="4"/>
  <c r="AC65" i="4"/>
  <c r="AB65" i="4"/>
  <c r="V65" i="4"/>
  <c r="H65" i="4"/>
  <c r="AC85" i="4"/>
  <c r="AB85" i="4"/>
  <c r="V85" i="4"/>
  <c r="H85" i="4"/>
  <c r="AC105" i="4"/>
  <c r="AB105" i="4"/>
  <c r="V105" i="4"/>
  <c r="H105" i="4"/>
  <c r="H125" i="4"/>
  <c r="V125" i="4"/>
  <c r="AB125" i="4"/>
  <c r="AC125" i="4"/>
  <c r="H145" i="4"/>
  <c r="V145" i="4"/>
  <c r="AB145" i="4"/>
  <c r="AC145" i="4"/>
  <c r="AC185" i="4"/>
  <c r="V185" i="4"/>
  <c r="AB185" i="4"/>
  <c r="H185" i="4"/>
  <c r="AC184" i="4"/>
  <c r="V184" i="4"/>
  <c r="AB184" i="4"/>
  <c r="H184" i="4"/>
  <c r="AC224" i="4"/>
  <c r="AB224" i="4"/>
  <c r="V224" i="4"/>
  <c r="H224" i="4"/>
  <c r="AC164" i="4"/>
  <c r="V164" i="4"/>
  <c r="AB164" i="4"/>
  <c r="H164" i="4"/>
  <c r="H24" i="4"/>
  <c r="V24" i="4"/>
  <c r="AB24" i="4"/>
  <c r="AC24" i="4"/>
  <c r="H44" i="4"/>
  <c r="V44" i="4"/>
  <c r="AB44" i="4"/>
  <c r="AC44" i="4"/>
  <c r="AC64" i="4"/>
  <c r="AB64" i="4"/>
  <c r="V64" i="4"/>
  <c r="H64" i="4"/>
  <c r="AC84" i="4"/>
  <c r="AB84" i="4"/>
  <c r="V84" i="4"/>
  <c r="H84" i="4"/>
  <c r="AC104" i="4"/>
  <c r="AB104" i="4"/>
  <c r="V104" i="4"/>
  <c r="H104" i="4"/>
  <c r="AC124" i="4"/>
  <c r="AB124" i="4"/>
  <c r="V124" i="4"/>
  <c r="H124" i="4"/>
  <c r="H144" i="4"/>
  <c r="V144" i="4"/>
  <c r="AB144" i="4"/>
  <c r="AC144" i="4"/>
  <c r="H204" i="4"/>
  <c r="V204" i="4"/>
  <c r="AB204" i="4"/>
  <c r="AC204" i="4"/>
  <c r="AC163" i="4"/>
  <c r="AB163" i="4"/>
  <c r="V163" i="4"/>
  <c r="H163" i="4"/>
  <c r="V223" i="4"/>
  <c r="AC223" i="4"/>
  <c r="AB223" i="4"/>
  <c r="H223" i="4"/>
  <c r="H23" i="4"/>
  <c r="V23" i="4"/>
  <c r="AB23" i="4"/>
  <c r="AC23" i="4"/>
  <c r="H43" i="4"/>
  <c r="V43" i="4"/>
  <c r="AB43" i="4"/>
  <c r="AC43" i="4"/>
  <c r="AC63" i="4"/>
  <c r="AB63" i="4"/>
  <c r="V63" i="4"/>
  <c r="H63" i="4"/>
  <c r="AC83" i="4"/>
  <c r="AB83" i="4"/>
  <c r="V83" i="4"/>
  <c r="H83" i="4"/>
  <c r="AC103" i="4"/>
  <c r="AB103" i="4"/>
  <c r="V103" i="4"/>
  <c r="H103" i="4"/>
  <c r="AC123" i="4"/>
  <c r="AB123" i="4"/>
  <c r="V123" i="4"/>
  <c r="H123" i="4"/>
  <c r="H143" i="4"/>
  <c r="V143" i="4"/>
  <c r="AB143" i="4"/>
  <c r="AC143" i="4"/>
  <c r="H203" i="4"/>
  <c r="V203" i="4"/>
  <c r="AB203" i="4"/>
  <c r="AC203" i="4"/>
  <c r="AC183" i="4"/>
  <c r="AB183" i="4"/>
  <c r="V183" i="4"/>
  <c r="H183" i="4"/>
  <c r="H22" i="4"/>
  <c r="V22" i="4"/>
  <c r="AB22" i="4"/>
  <c r="AC22" i="4"/>
  <c r="H42" i="4"/>
  <c r="V42" i="4"/>
  <c r="AB42" i="4"/>
  <c r="AC42" i="4"/>
  <c r="AC62" i="4"/>
  <c r="AB62" i="4"/>
  <c r="V62" i="4"/>
  <c r="H62" i="4"/>
  <c r="AC82" i="4"/>
  <c r="AB82" i="4"/>
  <c r="V82" i="4"/>
  <c r="H82" i="4"/>
  <c r="AC102" i="4"/>
  <c r="AB102" i="4"/>
  <c r="V102" i="4"/>
  <c r="H102" i="4"/>
  <c r="AC122" i="4"/>
  <c r="AB122" i="4"/>
  <c r="V122" i="4"/>
  <c r="H122" i="4"/>
  <c r="H142" i="4"/>
  <c r="V142" i="4"/>
  <c r="AB142" i="4"/>
  <c r="AC142" i="4"/>
  <c r="H202" i="4"/>
  <c r="V202" i="4"/>
  <c r="AB202" i="4"/>
  <c r="AC202" i="4"/>
  <c r="AB182" i="4"/>
  <c r="AC182" i="4"/>
  <c r="V182" i="4"/>
  <c r="H182" i="4"/>
  <c r="AB162" i="4"/>
  <c r="V162" i="4"/>
  <c r="AC162" i="4"/>
  <c r="H162" i="4"/>
  <c r="AB222" i="4"/>
  <c r="V222" i="4"/>
  <c r="AC222" i="4"/>
  <c r="H222" i="4"/>
  <c r="AC159" i="4"/>
  <c r="AB159" i="4"/>
  <c r="V159" i="4"/>
  <c r="H159" i="4"/>
  <c r="AA199" i="4"/>
  <c r="R199" i="4"/>
  <c r="I199" i="4"/>
  <c r="AE199" i="4"/>
  <c r="AA139" i="4"/>
  <c r="R139" i="4"/>
  <c r="I139" i="4"/>
  <c r="AE139" i="4"/>
  <c r="R119" i="4"/>
  <c r="AA119" i="4"/>
  <c r="I119" i="4"/>
  <c r="AE119" i="4" s="1"/>
  <c r="AA99" i="4"/>
  <c r="R99" i="4"/>
  <c r="I99" i="4"/>
  <c r="AE99" i="4"/>
  <c r="AA79" i="4"/>
  <c r="R79" i="4"/>
  <c r="I79" i="4"/>
  <c r="AE79" i="4" s="1"/>
  <c r="AA59" i="4"/>
  <c r="R59" i="4"/>
  <c r="I59" i="4"/>
  <c r="AE59" i="4" s="1"/>
  <c r="AA39" i="4"/>
  <c r="R39" i="4"/>
  <c r="I39" i="4"/>
  <c r="AE39" i="4"/>
  <c r="R19" i="4"/>
  <c r="AA19" i="4"/>
  <c r="I19" i="4"/>
  <c r="AE19" i="4" s="1"/>
  <c r="R179" i="4"/>
  <c r="AA179" i="4"/>
  <c r="I179" i="4"/>
  <c r="AE179" i="4" s="1"/>
  <c r="V157" i="4"/>
  <c r="AC157" i="4"/>
  <c r="AB157" i="4"/>
  <c r="H157" i="4"/>
  <c r="AB217" i="4"/>
  <c r="V217" i="4"/>
  <c r="AC217" i="4"/>
  <c r="H217" i="4"/>
  <c r="AC177" i="4"/>
  <c r="AB177" i="4"/>
  <c r="V177" i="4"/>
  <c r="H177" i="4"/>
  <c r="H17" i="4"/>
  <c r="V17" i="4"/>
  <c r="AB17" i="4"/>
  <c r="AC17" i="4"/>
  <c r="H37" i="4"/>
  <c r="V37" i="4"/>
  <c r="AB37" i="4"/>
  <c r="AC37" i="4"/>
  <c r="AC77" i="4"/>
  <c r="AB77" i="4"/>
  <c r="V77" i="4"/>
  <c r="H77" i="4"/>
  <c r="H97" i="4"/>
  <c r="V97" i="4"/>
  <c r="AB97" i="4"/>
  <c r="AC97" i="4"/>
  <c r="AC57" i="4"/>
  <c r="AB57" i="4"/>
  <c r="V57" i="4"/>
  <c r="H57" i="4"/>
  <c r="AC117" i="4"/>
  <c r="AB117" i="4"/>
  <c r="V117" i="4"/>
  <c r="H117" i="4"/>
  <c r="H137" i="4"/>
  <c r="V137" i="4"/>
  <c r="AB137" i="4"/>
  <c r="AC137" i="4"/>
  <c r="H197" i="4"/>
  <c r="V197" i="4"/>
  <c r="AB197" i="4"/>
  <c r="AC197" i="4"/>
  <c r="AC173" i="4"/>
  <c r="AB173" i="4"/>
  <c r="V173" i="4"/>
  <c r="H173" i="4"/>
  <c r="V213" i="4"/>
  <c r="AB213" i="4"/>
  <c r="AC213" i="4"/>
  <c r="H213" i="4"/>
  <c r="H13" i="4"/>
  <c r="V13" i="4"/>
  <c r="AB13" i="4"/>
  <c r="AC13" i="4"/>
  <c r="H33" i="4"/>
  <c r="V33" i="4"/>
  <c r="AB33" i="4"/>
  <c r="AC33" i="4"/>
  <c r="AC73" i="4"/>
  <c r="AB73" i="4"/>
  <c r="V73" i="4"/>
  <c r="H73" i="4"/>
  <c r="H93" i="4"/>
  <c r="V93" i="4"/>
  <c r="AB93" i="4"/>
  <c r="AC93" i="4"/>
  <c r="AC113" i="4"/>
  <c r="AB113" i="4"/>
  <c r="V113" i="4"/>
  <c r="H113" i="4"/>
  <c r="H133" i="4"/>
  <c r="V133" i="4"/>
  <c r="AB133" i="4"/>
  <c r="AC133" i="4"/>
  <c r="AB153" i="4"/>
  <c r="V153" i="4"/>
  <c r="AC153" i="4"/>
  <c r="H153" i="4"/>
  <c r="AC53" i="4"/>
  <c r="AB53" i="4"/>
  <c r="V53" i="4"/>
  <c r="H53" i="4"/>
  <c r="AC193" i="4"/>
  <c r="AB193" i="4"/>
  <c r="V193" i="4"/>
  <c r="H193" i="4"/>
  <c r="R192" i="4"/>
  <c r="AA192" i="4"/>
  <c r="I192" i="4"/>
  <c r="AE192" i="4" s="1"/>
  <c r="AA172" i="4"/>
  <c r="R172" i="4"/>
  <c r="I172" i="4"/>
  <c r="AE172" i="4" s="1"/>
  <c r="AA152" i="4"/>
  <c r="R152" i="4"/>
  <c r="I152" i="4"/>
  <c r="AE152" i="4"/>
  <c r="AA132" i="4"/>
  <c r="R132" i="4"/>
  <c r="I132" i="4"/>
  <c r="AE132" i="4"/>
  <c r="R191" i="4"/>
  <c r="AA191" i="4"/>
  <c r="I191" i="4"/>
  <c r="AE191" i="4" s="1"/>
  <c r="AA211" i="4"/>
  <c r="R211" i="4"/>
  <c r="I211" i="4"/>
  <c r="AE211" i="4" s="1"/>
  <c r="R171" i="4"/>
  <c r="AA171" i="4"/>
  <c r="I171" i="4"/>
  <c r="AE171" i="4" s="1"/>
  <c r="AA51" i="4"/>
  <c r="R51" i="4"/>
  <c r="I51" i="4"/>
  <c r="AE51" i="4" s="1"/>
  <c r="AA151" i="4"/>
  <c r="R151" i="4"/>
  <c r="I151" i="4"/>
  <c r="AE151" i="4"/>
  <c r="AA131" i="4"/>
  <c r="R131" i="4"/>
  <c r="I131" i="4"/>
  <c r="AE131" i="4"/>
  <c r="R111" i="4"/>
  <c r="AA111" i="4"/>
  <c r="I111" i="4"/>
  <c r="AE111" i="4" s="1"/>
  <c r="AB168" i="4"/>
  <c r="V168" i="4"/>
  <c r="AC168" i="4"/>
  <c r="H168" i="4"/>
  <c r="AC188" i="4"/>
  <c r="AB188" i="4"/>
  <c r="V188" i="4"/>
  <c r="H188" i="4"/>
  <c r="AC208" i="4"/>
  <c r="V208" i="4"/>
  <c r="AB208" i="4"/>
  <c r="H208" i="4"/>
  <c r="H8" i="4"/>
  <c r="V8" i="4"/>
  <c r="AB8" i="4"/>
  <c r="AC8" i="4"/>
  <c r="H28" i="4"/>
  <c r="V28" i="4"/>
  <c r="AB28" i="4"/>
  <c r="AC28" i="4"/>
  <c r="H48" i="4"/>
  <c r="V48" i="4"/>
  <c r="AB48" i="4"/>
  <c r="AC48" i="4"/>
  <c r="AC68" i="4"/>
  <c r="AB68" i="4"/>
  <c r="V68" i="4"/>
  <c r="H68" i="4"/>
  <c r="H88" i="4"/>
  <c r="V88" i="4"/>
  <c r="AB88" i="4"/>
  <c r="AC88" i="4"/>
  <c r="AC108" i="4"/>
  <c r="AB108" i="4"/>
  <c r="V108" i="4"/>
  <c r="H108" i="4"/>
  <c r="H128" i="4"/>
  <c r="V128" i="4"/>
  <c r="AB128" i="4"/>
  <c r="AC128" i="4"/>
  <c r="H148" i="4"/>
  <c r="V148" i="4"/>
  <c r="AB148" i="4"/>
  <c r="AC148" i="4"/>
  <c r="I226" i="4"/>
  <c r="AA226" i="4"/>
  <c r="R226" i="4"/>
  <c r="AE226" i="4"/>
  <c r="I216" i="4"/>
  <c r="AE216" i="4"/>
  <c r="R216" i="4"/>
  <c r="AA216" i="4"/>
  <c r="I156" i="4"/>
  <c r="AA156" i="4"/>
  <c r="R156" i="4"/>
  <c r="AE156" i="4"/>
  <c r="I194" i="4"/>
  <c r="AE194" i="4"/>
  <c r="R194" i="4"/>
  <c r="AA194" i="4"/>
  <c r="I174" i="4"/>
  <c r="R174" i="4"/>
  <c r="AA174" i="4"/>
  <c r="AE174" i="4"/>
  <c r="I214" i="4"/>
  <c r="R214" i="4"/>
  <c r="AA214" i="4"/>
  <c r="AE214" i="4"/>
  <c r="I69" i="4"/>
  <c r="AE69" i="4"/>
  <c r="AA69" i="4"/>
  <c r="R69" i="4"/>
  <c r="I109" i="4"/>
  <c r="AA109" i="4"/>
  <c r="AE109" i="4"/>
  <c r="R109" i="4"/>
  <c r="I189" i="4"/>
  <c r="AE189" i="4"/>
  <c r="AA189" i="4"/>
  <c r="R189" i="4"/>
  <c r="I209" i="4"/>
  <c r="AE209" i="4"/>
  <c r="R209" i="4"/>
  <c r="AA209" i="4"/>
  <c r="AC199" i="4"/>
  <c r="V199" i="4"/>
  <c r="AB199" i="4"/>
  <c r="H219" i="4"/>
  <c r="AB219" i="4"/>
  <c r="AC219" i="4"/>
  <c r="V219" i="4"/>
  <c r="AC212" i="4"/>
  <c r="H212" i="4"/>
  <c r="AB212" i="4"/>
  <c r="V212" i="4"/>
  <c r="H12" i="4"/>
  <c r="AC12" i="4"/>
  <c r="AB12" i="4"/>
  <c r="V12" i="4"/>
  <c r="AB32" i="4"/>
  <c r="AC32" i="4"/>
  <c r="V32" i="4"/>
  <c r="H32" i="4"/>
  <c r="H72" i="4"/>
  <c r="V72" i="4"/>
  <c r="AC72" i="4"/>
  <c r="AB72" i="4"/>
  <c r="AC92" i="4"/>
  <c r="AB92" i="4"/>
  <c r="V92" i="4"/>
  <c r="H92" i="4"/>
  <c r="AC52" i="4"/>
  <c r="H52" i="4"/>
  <c r="V52" i="4"/>
  <c r="AB52" i="4"/>
  <c r="H112" i="4"/>
  <c r="V112" i="4"/>
  <c r="AB112" i="4"/>
  <c r="AC112" i="4"/>
  <c r="AC152" i="4"/>
  <c r="AB152" i="4"/>
  <c r="AC11" i="4"/>
  <c r="AB11" i="4"/>
  <c r="V11" i="4"/>
  <c r="H11" i="4"/>
  <c r="H31" i="4"/>
  <c r="AC31" i="4"/>
  <c r="AB31" i="4"/>
  <c r="V31" i="4"/>
  <c r="H71" i="4"/>
  <c r="AC71" i="4"/>
  <c r="AB71" i="4"/>
  <c r="V71" i="4"/>
  <c r="AB91" i="4"/>
  <c r="V91" i="4"/>
  <c r="H91" i="4"/>
  <c r="L27" i="4" l="1"/>
  <c r="M27" i="4" s="1"/>
  <c r="O27" i="4" s="1"/>
  <c r="P27" i="4" s="1"/>
  <c r="Q27" i="4" s="1"/>
  <c r="W27" i="4" s="1"/>
  <c r="T27" i="4"/>
  <c r="AK26" i="4"/>
  <c r="AH27" i="4"/>
  <c r="AG27" i="4"/>
  <c r="X27" i="4"/>
  <c r="S27" i="4"/>
  <c r="L47" i="4"/>
  <c r="M47" i="4" s="1"/>
  <c r="O47" i="4" s="1"/>
  <c r="P47" i="4" s="1"/>
  <c r="Q47" i="4" s="1"/>
  <c r="W47" i="4" s="1"/>
  <c r="T47" i="4"/>
  <c r="AG47" i="4"/>
  <c r="AH47" i="4"/>
  <c r="AL26" i="4"/>
  <c r="X47" i="4"/>
  <c r="S47" i="4"/>
  <c r="AG87" i="4"/>
  <c r="AH87" i="4"/>
  <c r="AN26" i="4"/>
  <c r="L87" i="4"/>
  <c r="M87" i="4" s="1"/>
  <c r="O87" i="4" s="1"/>
  <c r="P87" i="4" s="1"/>
  <c r="Q87" i="4" s="1"/>
  <c r="W87" i="4" s="1"/>
  <c r="T87" i="4"/>
  <c r="X87" i="4"/>
  <c r="S87" i="4"/>
  <c r="AG127" i="4"/>
  <c r="AH127" i="4"/>
  <c r="AP26" i="4"/>
  <c r="L127" i="4"/>
  <c r="M127" i="4" s="1"/>
  <c r="O127" i="4" s="1"/>
  <c r="P127" i="4" s="1"/>
  <c r="Q127" i="4" s="1"/>
  <c r="W127" i="4" s="1"/>
  <c r="T127" i="4"/>
  <c r="X127" i="4"/>
  <c r="S127" i="4"/>
  <c r="AG147" i="4"/>
  <c r="AH147" i="4"/>
  <c r="AQ26" i="4"/>
  <c r="L147" i="4"/>
  <c r="M147" i="4" s="1"/>
  <c r="O147" i="4" s="1"/>
  <c r="P147" i="4" s="1"/>
  <c r="Q147" i="4" s="1"/>
  <c r="W147" i="4" s="1"/>
  <c r="T147" i="4"/>
  <c r="X147" i="4"/>
  <c r="S147" i="4"/>
  <c r="U187" i="4"/>
  <c r="Y187" i="4" s="1"/>
  <c r="Z187" i="4" s="1"/>
  <c r="AF187" i="4" s="1"/>
  <c r="AI187" i="4" s="1"/>
  <c r="U207" i="4"/>
  <c r="Y207" i="4"/>
  <c r="Z207" i="4" s="1"/>
  <c r="AF207" i="4" s="1"/>
  <c r="AI207" i="4" s="1"/>
  <c r="U227" i="4"/>
  <c r="Y227" i="4" s="1"/>
  <c r="Z227" i="4" s="1"/>
  <c r="AF227" i="4" s="1"/>
  <c r="AI227" i="4" s="1"/>
  <c r="U67" i="4"/>
  <c r="Y67" i="4" s="1"/>
  <c r="Z67" i="4" s="1"/>
  <c r="AF67" i="4" s="1"/>
  <c r="AI67" i="4" s="1"/>
  <c r="U107" i="4"/>
  <c r="Y107" i="4" s="1"/>
  <c r="Z107" i="4" s="1"/>
  <c r="AF107" i="4" s="1"/>
  <c r="AI107" i="4" s="1"/>
  <c r="U167" i="4"/>
  <c r="Y167" i="4" s="1"/>
  <c r="Z167" i="4" s="1"/>
  <c r="AF167" i="4" s="1"/>
  <c r="AI167" i="4" s="1"/>
  <c r="L26" i="4"/>
  <c r="M26" i="4" s="1"/>
  <c r="O26" i="4" s="1"/>
  <c r="P26" i="4" s="1"/>
  <c r="Q26" i="4" s="1"/>
  <c r="W26" i="4" s="1"/>
  <c r="T26" i="4"/>
  <c r="AK25" i="4"/>
  <c r="AH26" i="4"/>
  <c r="AG26" i="4"/>
  <c r="X26" i="4"/>
  <c r="S26" i="4"/>
  <c r="AG46" i="4"/>
  <c r="AH46" i="4"/>
  <c r="AL25" i="4"/>
  <c r="L46" i="4"/>
  <c r="M46" i="4" s="1"/>
  <c r="O46" i="4" s="1"/>
  <c r="P46" i="4" s="1"/>
  <c r="Q46" i="4" s="1"/>
  <c r="W46" i="4" s="1"/>
  <c r="T46" i="4"/>
  <c r="X46" i="4"/>
  <c r="S46" i="4"/>
  <c r="L86" i="4"/>
  <c r="M86" i="4" s="1"/>
  <c r="O86" i="4" s="1"/>
  <c r="P86" i="4" s="1"/>
  <c r="Q86" i="4" s="1"/>
  <c r="W86" i="4" s="1"/>
  <c r="T86" i="4"/>
  <c r="AG86" i="4"/>
  <c r="AH86" i="4"/>
  <c r="AN25" i="4"/>
  <c r="X86" i="4"/>
  <c r="S86" i="4"/>
  <c r="L126" i="4"/>
  <c r="M126" i="4" s="1"/>
  <c r="O126" i="4" s="1"/>
  <c r="P126" i="4" s="1"/>
  <c r="Q126" i="4" s="1"/>
  <c r="W126" i="4" s="1"/>
  <c r="T126" i="4"/>
  <c r="AG126" i="4"/>
  <c r="AH126" i="4"/>
  <c r="AP25" i="4"/>
  <c r="X126" i="4"/>
  <c r="S126" i="4"/>
  <c r="L146" i="4"/>
  <c r="M146" i="4" s="1"/>
  <c r="O146" i="4" s="1"/>
  <c r="P146" i="4" s="1"/>
  <c r="Q146" i="4" s="1"/>
  <c r="W146" i="4" s="1"/>
  <c r="T146" i="4"/>
  <c r="AG146" i="4"/>
  <c r="AH146" i="4"/>
  <c r="AQ25" i="4"/>
  <c r="X146" i="4"/>
  <c r="S146" i="4"/>
  <c r="U206" i="4"/>
  <c r="Y206" i="4" s="1"/>
  <c r="Z206" i="4" s="1"/>
  <c r="AF206" i="4" s="1"/>
  <c r="AI206" i="4" s="1"/>
  <c r="U166" i="4"/>
  <c r="Y166" i="4"/>
  <c r="Z166" i="4" s="1"/>
  <c r="AF166" i="4" s="1"/>
  <c r="AI166" i="4" s="1"/>
  <c r="U66" i="4"/>
  <c r="Y66" i="4" s="1"/>
  <c r="Z66" i="4" s="1"/>
  <c r="AF66" i="4" s="1"/>
  <c r="AI66" i="4" s="1"/>
  <c r="U106" i="4"/>
  <c r="Y106" i="4" s="1"/>
  <c r="Z106" i="4" s="1"/>
  <c r="AF106" i="4" s="1"/>
  <c r="AI106" i="4" s="1"/>
  <c r="U186" i="4"/>
  <c r="Y186" i="4"/>
  <c r="Z186" i="4" s="1"/>
  <c r="AF186" i="4" s="1"/>
  <c r="AI186" i="4" s="1"/>
  <c r="L21" i="4"/>
  <c r="M21" i="4" s="1"/>
  <c r="O21" i="4" s="1"/>
  <c r="P21" i="4" s="1"/>
  <c r="Q21" i="4" s="1"/>
  <c r="W21" i="4" s="1"/>
  <c r="T21" i="4"/>
  <c r="AK20" i="4"/>
  <c r="AH21" i="4"/>
  <c r="AG21" i="4"/>
  <c r="X21" i="4"/>
  <c r="S21" i="4"/>
  <c r="AG41" i="4"/>
  <c r="AH41" i="4"/>
  <c r="AL20" i="4"/>
  <c r="L41" i="4"/>
  <c r="M41" i="4" s="1"/>
  <c r="O41" i="4" s="1"/>
  <c r="P41" i="4" s="1"/>
  <c r="Q41" i="4" s="1"/>
  <c r="W41" i="4" s="1"/>
  <c r="T41" i="4"/>
  <c r="X41" i="4"/>
  <c r="S41" i="4"/>
  <c r="AG141" i="4"/>
  <c r="AH141" i="4"/>
  <c r="AQ20" i="4"/>
  <c r="L141" i="4"/>
  <c r="M141" i="4" s="1"/>
  <c r="O141" i="4" s="1"/>
  <c r="P141" i="4" s="1"/>
  <c r="Q141" i="4" s="1"/>
  <c r="W141" i="4" s="1"/>
  <c r="T141" i="4"/>
  <c r="X141" i="4"/>
  <c r="S141" i="4"/>
  <c r="AG201" i="4"/>
  <c r="AH201" i="4"/>
  <c r="AT20" i="4"/>
  <c r="L201" i="4"/>
  <c r="M201" i="4" s="1"/>
  <c r="O201" i="4" s="1"/>
  <c r="P201" i="4" s="1"/>
  <c r="Q201" i="4" s="1"/>
  <c r="W201" i="4" s="1"/>
  <c r="T201" i="4"/>
  <c r="X201" i="4"/>
  <c r="S201" i="4"/>
  <c r="U161" i="4"/>
  <c r="Y161" i="4" s="1"/>
  <c r="Z161" i="4" s="1"/>
  <c r="AF161" i="4" s="1"/>
  <c r="AI161" i="4" s="1"/>
  <c r="U181" i="4"/>
  <c r="Y181" i="4" s="1"/>
  <c r="Z181" i="4" s="1"/>
  <c r="AF181" i="4" s="1"/>
  <c r="AI181" i="4" s="1"/>
  <c r="U221" i="4"/>
  <c r="Y221" i="4" s="1"/>
  <c r="Z221" i="4" s="1"/>
  <c r="AF221" i="4" s="1"/>
  <c r="AI221" i="4" s="1"/>
  <c r="U61" i="4"/>
  <c r="Y61" i="4" s="1"/>
  <c r="Z61" i="4" s="1"/>
  <c r="AF61" i="4" s="1"/>
  <c r="AI61" i="4" s="1"/>
  <c r="U81" i="4"/>
  <c r="Y81" i="4" s="1"/>
  <c r="Z81" i="4" s="1"/>
  <c r="AF81" i="4" s="1"/>
  <c r="AI81" i="4" s="1"/>
  <c r="U101" i="4"/>
  <c r="Y101" i="4" s="1"/>
  <c r="Z101" i="4" s="1"/>
  <c r="AF101" i="4" s="1"/>
  <c r="AI101" i="4" s="1"/>
  <c r="U121" i="4"/>
  <c r="Y121" i="4" s="1"/>
  <c r="Z121" i="4" s="1"/>
  <c r="AF121" i="4" s="1"/>
  <c r="AI121" i="4" s="1"/>
  <c r="L20" i="4"/>
  <c r="M20" i="4" s="1"/>
  <c r="O20" i="4" s="1"/>
  <c r="P20" i="4" s="1"/>
  <c r="Q20" i="4" s="1"/>
  <c r="W20" i="4" s="1"/>
  <c r="T20" i="4"/>
  <c r="AK19" i="4"/>
  <c r="AH20" i="4"/>
  <c r="AG20" i="4"/>
  <c r="X20" i="4"/>
  <c r="S20" i="4"/>
  <c r="L40" i="4"/>
  <c r="M40" i="4" s="1"/>
  <c r="O40" i="4" s="1"/>
  <c r="P40" i="4" s="1"/>
  <c r="Q40" i="4" s="1"/>
  <c r="W40" i="4" s="1"/>
  <c r="T40" i="4"/>
  <c r="AL19" i="4"/>
  <c r="AH40" i="4"/>
  <c r="AG40" i="4"/>
  <c r="X40" i="4"/>
  <c r="S40" i="4"/>
  <c r="AG100" i="4"/>
  <c r="AH100" i="4"/>
  <c r="AO19" i="4"/>
  <c r="L100" i="4"/>
  <c r="M100" i="4" s="1"/>
  <c r="O100" i="4" s="1"/>
  <c r="P100" i="4" s="1"/>
  <c r="Q100" i="4" s="1"/>
  <c r="W100" i="4" s="1"/>
  <c r="T100" i="4"/>
  <c r="X100" i="4"/>
  <c r="S100" i="4"/>
  <c r="AG140" i="4"/>
  <c r="AH140" i="4"/>
  <c r="AQ19" i="4"/>
  <c r="L140" i="4"/>
  <c r="M140" i="4" s="1"/>
  <c r="O140" i="4" s="1"/>
  <c r="P140" i="4" s="1"/>
  <c r="Q140" i="4" s="1"/>
  <c r="W140" i="4" s="1"/>
  <c r="T140" i="4"/>
  <c r="X140" i="4"/>
  <c r="S140" i="4"/>
  <c r="AG200" i="4"/>
  <c r="AH200" i="4"/>
  <c r="AT19" i="4"/>
  <c r="L200" i="4"/>
  <c r="M200" i="4" s="1"/>
  <c r="O200" i="4" s="1"/>
  <c r="P200" i="4" s="1"/>
  <c r="Q200" i="4" s="1"/>
  <c r="W200" i="4" s="1"/>
  <c r="T200" i="4"/>
  <c r="X200" i="4"/>
  <c r="S200" i="4"/>
  <c r="X220" i="4"/>
  <c r="S220" i="4"/>
  <c r="AU19" i="4"/>
  <c r="AH220" i="4"/>
  <c r="AG220" i="4"/>
  <c r="L220" i="4"/>
  <c r="M220" i="4" s="1"/>
  <c r="O220" i="4" s="1"/>
  <c r="P220" i="4" s="1"/>
  <c r="Q220" i="4" s="1"/>
  <c r="W220" i="4" s="1"/>
  <c r="T220" i="4"/>
  <c r="S180" i="4"/>
  <c r="X180" i="4"/>
  <c r="AS19" i="4"/>
  <c r="AH180" i="4"/>
  <c r="AG180" i="4"/>
  <c r="L180" i="4"/>
  <c r="M180" i="4" s="1"/>
  <c r="O180" i="4" s="1"/>
  <c r="P180" i="4" s="1"/>
  <c r="Q180" i="4" s="1"/>
  <c r="W180" i="4" s="1"/>
  <c r="T180" i="4"/>
  <c r="AG160" i="4"/>
  <c r="AR19" i="4"/>
  <c r="AH160" i="4"/>
  <c r="S160" i="4"/>
  <c r="X160" i="4"/>
  <c r="L160" i="4"/>
  <c r="M160" i="4" s="1"/>
  <c r="O160" i="4" s="1"/>
  <c r="P160" i="4" s="1"/>
  <c r="Q160" i="4" s="1"/>
  <c r="W160" i="4" s="1"/>
  <c r="T160" i="4"/>
  <c r="U60" i="4"/>
  <c r="Y60" i="4" s="1"/>
  <c r="Z60" i="4" s="1"/>
  <c r="AF60" i="4" s="1"/>
  <c r="AI60" i="4" s="1"/>
  <c r="U80" i="4"/>
  <c r="Y80" i="4" s="1"/>
  <c r="Z80" i="4" s="1"/>
  <c r="AF80" i="4" s="1"/>
  <c r="AI80" i="4" s="1"/>
  <c r="U120" i="4"/>
  <c r="Y120" i="4" s="1"/>
  <c r="Z120" i="4" s="1"/>
  <c r="AF120" i="4" s="1"/>
  <c r="AI120" i="4" s="1"/>
  <c r="L18" i="4"/>
  <c r="M18" i="4" s="1"/>
  <c r="O18" i="4" s="1"/>
  <c r="P18" i="4" s="1"/>
  <c r="Q18" i="4" s="1"/>
  <c r="W18" i="4" s="1"/>
  <c r="T18" i="4"/>
  <c r="AK17" i="4"/>
  <c r="AH18" i="4"/>
  <c r="AG18" i="4"/>
  <c r="X18" i="4"/>
  <c r="S18" i="4"/>
  <c r="L38" i="4"/>
  <c r="M38" i="4" s="1"/>
  <c r="O38" i="4" s="1"/>
  <c r="P38" i="4" s="1"/>
  <c r="Q38" i="4" s="1"/>
  <c r="W38" i="4" s="1"/>
  <c r="T38" i="4"/>
  <c r="AG38" i="4"/>
  <c r="AH38" i="4"/>
  <c r="AL17" i="4"/>
  <c r="X38" i="4"/>
  <c r="S38" i="4"/>
  <c r="AG98" i="4"/>
  <c r="AH98" i="4"/>
  <c r="AO17" i="4"/>
  <c r="L98" i="4"/>
  <c r="M98" i="4" s="1"/>
  <c r="O98" i="4" s="1"/>
  <c r="P98" i="4" s="1"/>
  <c r="Q98" i="4" s="1"/>
  <c r="W98" i="4" s="1"/>
  <c r="T98" i="4"/>
  <c r="X98" i="4"/>
  <c r="S98" i="4"/>
  <c r="AG138" i="4"/>
  <c r="AH138" i="4"/>
  <c r="AQ17" i="4"/>
  <c r="X138" i="4"/>
  <c r="S138" i="4"/>
  <c r="L138" i="4"/>
  <c r="M138" i="4" s="1"/>
  <c r="O138" i="4" s="1"/>
  <c r="P138" i="4" s="1"/>
  <c r="Q138" i="4" s="1"/>
  <c r="W138" i="4" s="1"/>
  <c r="T138" i="4"/>
  <c r="AG198" i="4"/>
  <c r="AH198" i="4"/>
  <c r="AT17" i="4"/>
  <c r="L198" i="4"/>
  <c r="M198" i="4" s="1"/>
  <c r="O198" i="4" s="1"/>
  <c r="P198" i="4" s="1"/>
  <c r="Q198" i="4" s="1"/>
  <c r="W198" i="4" s="1"/>
  <c r="T198" i="4"/>
  <c r="X198" i="4"/>
  <c r="S198" i="4"/>
  <c r="U158" i="4"/>
  <c r="Y158" i="4" s="1"/>
  <c r="Z158" i="4" s="1"/>
  <c r="AF158" i="4" s="1"/>
  <c r="AI158" i="4" s="1"/>
  <c r="U218" i="4"/>
  <c r="Y218" i="4" s="1"/>
  <c r="Z218" i="4" s="1"/>
  <c r="AF218" i="4" s="1"/>
  <c r="AI218" i="4" s="1"/>
  <c r="U58" i="4"/>
  <c r="Y58" i="4"/>
  <c r="Z58" i="4" s="1"/>
  <c r="AF58" i="4" s="1"/>
  <c r="AI58" i="4" s="1"/>
  <c r="U78" i="4"/>
  <c r="Y78" i="4" s="1"/>
  <c r="Z78" i="4" s="1"/>
  <c r="AF78" i="4" s="1"/>
  <c r="AI78" i="4" s="1"/>
  <c r="U118" i="4"/>
  <c r="Y118" i="4" s="1"/>
  <c r="Z118" i="4" s="1"/>
  <c r="AF118" i="4" s="1"/>
  <c r="AI118" i="4" s="1"/>
  <c r="U178" i="4"/>
  <c r="Y178" i="4"/>
  <c r="Z178" i="4" s="1"/>
  <c r="AF178" i="4" s="1"/>
  <c r="AI178" i="4" s="1"/>
  <c r="L16" i="4"/>
  <c r="M16" i="4" s="1"/>
  <c r="O16" i="4" s="1"/>
  <c r="P16" i="4" s="1"/>
  <c r="Q16" i="4" s="1"/>
  <c r="W16" i="4" s="1"/>
  <c r="T16" i="4"/>
  <c r="AH16" i="4"/>
  <c r="X16" i="4"/>
  <c r="S16" i="4"/>
  <c r="L36" i="4"/>
  <c r="M36" i="4" s="1"/>
  <c r="O36" i="4" s="1"/>
  <c r="P36" i="4" s="1"/>
  <c r="Q36" i="4" s="1"/>
  <c r="W36" i="4" s="1"/>
  <c r="T36" i="4"/>
  <c r="AL15" i="4"/>
  <c r="AH36" i="4"/>
  <c r="AG36" i="4"/>
  <c r="X36" i="4"/>
  <c r="S36" i="4"/>
  <c r="L96" i="4"/>
  <c r="M96" i="4" s="1"/>
  <c r="O96" i="4" s="1"/>
  <c r="P96" i="4" s="1"/>
  <c r="Q96" i="4" s="1"/>
  <c r="W96" i="4" s="1"/>
  <c r="T96" i="4"/>
  <c r="AG96" i="4"/>
  <c r="AH96" i="4"/>
  <c r="AO15" i="4"/>
  <c r="X96" i="4"/>
  <c r="S96" i="4"/>
  <c r="L136" i="4"/>
  <c r="M136" i="4" s="1"/>
  <c r="O136" i="4" s="1"/>
  <c r="P136" i="4" s="1"/>
  <c r="Q136" i="4" s="1"/>
  <c r="W136" i="4" s="1"/>
  <c r="T136" i="4"/>
  <c r="AH136" i="4"/>
  <c r="X136" i="4"/>
  <c r="S136" i="4"/>
  <c r="L196" i="4"/>
  <c r="M196" i="4" s="1"/>
  <c r="O196" i="4" s="1"/>
  <c r="P196" i="4" s="1"/>
  <c r="Q196" i="4" s="1"/>
  <c r="W196" i="4" s="1"/>
  <c r="T196" i="4"/>
  <c r="AG196" i="4"/>
  <c r="AH196" i="4"/>
  <c r="AT15" i="4"/>
  <c r="X196" i="4"/>
  <c r="S196" i="4"/>
  <c r="U176" i="4"/>
  <c r="Y176" i="4"/>
  <c r="U56" i="4"/>
  <c r="Y56" i="4"/>
  <c r="Z56" i="4" s="1"/>
  <c r="AF56" i="4" s="1"/>
  <c r="AI56" i="4" s="1"/>
  <c r="U76" i="4"/>
  <c r="Y76" i="4" s="1"/>
  <c r="Z76" i="4" s="1"/>
  <c r="AF76" i="4" s="1"/>
  <c r="AI76" i="4" s="1"/>
  <c r="U116" i="4"/>
  <c r="Y116" i="4" s="1"/>
  <c r="Z116" i="4" s="1"/>
  <c r="AF116" i="4" s="1"/>
  <c r="AH7" i="4"/>
  <c r="G23" i="1" s="1"/>
  <c r="L7" i="4"/>
  <c r="M7" i="4" s="1"/>
  <c r="O7" i="4" s="1"/>
  <c r="T7" i="4"/>
  <c r="G9" i="1"/>
  <c r="G13" i="1"/>
  <c r="X7" i="4"/>
  <c r="C61" i="6" s="1"/>
  <c r="S7" i="4"/>
  <c r="G14" i="1" s="1"/>
  <c r="L15" i="4"/>
  <c r="M15" i="4" s="1"/>
  <c r="O15" i="4" s="1"/>
  <c r="P15" i="4" s="1"/>
  <c r="Q15" i="4" s="1"/>
  <c r="W15" i="4" s="1"/>
  <c r="T15" i="4"/>
  <c r="AH15" i="4"/>
  <c r="X15" i="4"/>
  <c r="S15" i="4"/>
  <c r="L35" i="4"/>
  <c r="M35" i="4" s="1"/>
  <c r="O35" i="4" s="1"/>
  <c r="P35" i="4" s="1"/>
  <c r="Q35" i="4" s="1"/>
  <c r="W35" i="4" s="1"/>
  <c r="T35" i="4"/>
  <c r="AG35" i="4"/>
  <c r="AH35" i="4"/>
  <c r="AL14" i="4"/>
  <c r="X35" i="4"/>
  <c r="S35" i="4"/>
  <c r="L95" i="4"/>
  <c r="M95" i="4" s="1"/>
  <c r="O95" i="4" s="1"/>
  <c r="P95" i="4" s="1"/>
  <c r="Q95" i="4" s="1"/>
  <c r="W95" i="4" s="1"/>
  <c r="T95" i="4"/>
  <c r="AG95" i="4"/>
  <c r="AH95" i="4"/>
  <c r="AO14" i="4"/>
  <c r="X95" i="4"/>
  <c r="S95" i="4"/>
  <c r="L135" i="4"/>
  <c r="M135" i="4" s="1"/>
  <c r="O135" i="4" s="1"/>
  <c r="P135" i="4" s="1"/>
  <c r="Q135" i="4" s="1"/>
  <c r="W135" i="4" s="1"/>
  <c r="T135" i="4"/>
  <c r="AH135" i="4"/>
  <c r="X135" i="4"/>
  <c r="S135" i="4"/>
  <c r="AG195" i="4"/>
  <c r="AH195" i="4"/>
  <c r="AT14" i="4"/>
  <c r="L195" i="4"/>
  <c r="M195" i="4" s="1"/>
  <c r="O195" i="4" s="1"/>
  <c r="P195" i="4" s="1"/>
  <c r="Q195" i="4" s="1"/>
  <c r="W195" i="4" s="1"/>
  <c r="T195" i="4"/>
  <c r="X195" i="4"/>
  <c r="S195" i="4"/>
  <c r="U155" i="4"/>
  <c r="Y155" i="4"/>
  <c r="Z155" i="4" s="1"/>
  <c r="AF155" i="4" s="1"/>
  <c r="U215" i="4"/>
  <c r="Y215" i="4" s="1"/>
  <c r="Z215" i="4" s="1"/>
  <c r="AF215" i="4" s="1"/>
  <c r="AI215" i="4" s="1"/>
  <c r="U75" i="4"/>
  <c r="Y75" i="4" s="1"/>
  <c r="Z75" i="4" s="1"/>
  <c r="AF75" i="4" s="1"/>
  <c r="AI75" i="4" s="1"/>
  <c r="U55" i="4"/>
  <c r="Y55" i="4" s="1"/>
  <c r="Z55" i="4" s="1"/>
  <c r="AF55" i="4" s="1"/>
  <c r="AI55" i="4" s="1"/>
  <c r="U115" i="4"/>
  <c r="Y115" i="4" s="1"/>
  <c r="Z115" i="4" s="1"/>
  <c r="AF115" i="4" s="1"/>
  <c r="U175" i="4"/>
  <c r="Y175" i="4" s="1"/>
  <c r="Z175" i="4" s="1"/>
  <c r="AF175" i="4" s="1"/>
  <c r="L14" i="4"/>
  <c r="M14" i="4" s="1"/>
  <c r="O14" i="4" s="1"/>
  <c r="P14" i="4" s="1"/>
  <c r="Q14" i="4" s="1"/>
  <c r="W14" i="4" s="1"/>
  <c r="T14" i="4"/>
  <c r="AH14" i="4"/>
  <c r="X14" i="4"/>
  <c r="S14" i="4"/>
  <c r="L34" i="4"/>
  <c r="M34" i="4" s="1"/>
  <c r="O34" i="4" s="1"/>
  <c r="P34" i="4" s="1"/>
  <c r="Q34" i="4" s="1"/>
  <c r="W34" i="4" s="1"/>
  <c r="T34" i="4"/>
  <c r="AL13" i="4"/>
  <c r="AH34" i="4"/>
  <c r="AG34" i="4"/>
  <c r="X34" i="4"/>
  <c r="S34" i="4"/>
  <c r="L94" i="4"/>
  <c r="M94" i="4" s="1"/>
  <c r="O94" i="4" s="1"/>
  <c r="P94" i="4" s="1"/>
  <c r="Q94" i="4" s="1"/>
  <c r="W94" i="4" s="1"/>
  <c r="T94" i="4"/>
  <c r="AG94" i="4"/>
  <c r="AH94" i="4"/>
  <c r="AO13" i="4"/>
  <c r="X94" i="4"/>
  <c r="S94" i="4"/>
  <c r="AH134" i="4"/>
  <c r="L134" i="4"/>
  <c r="M134" i="4" s="1"/>
  <c r="O134" i="4" s="1"/>
  <c r="P134" i="4" s="1"/>
  <c r="Q134" i="4" s="1"/>
  <c r="W134" i="4" s="1"/>
  <c r="T134" i="4"/>
  <c r="X134" i="4"/>
  <c r="S134" i="4"/>
  <c r="U54" i="4"/>
  <c r="Y54" i="4" s="1"/>
  <c r="Z54" i="4" s="1"/>
  <c r="AF54" i="4" s="1"/>
  <c r="AI54" i="4" s="1"/>
  <c r="U74" i="4"/>
  <c r="Y74" i="4" s="1"/>
  <c r="Z74" i="4" s="1"/>
  <c r="AF74" i="4" s="1"/>
  <c r="AI74" i="4" s="1"/>
  <c r="U114" i="4"/>
  <c r="Y114" i="4" s="1"/>
  <c r="Z114" i="4" s="1"/>
  <c r="AF114" i="4" s="1"/>
  <c r="AI114" i="4" s="1"/>
  <c r="U154" i="4"/>
  <c r="Y154" i="4" s="1"/>
  <c r="Z154" i="4" s="1"/>
  <c r="AF154" i="4" s="1"/>
  <c r="AI154" i="4" s="1"/>
  <c r="L10" i="4"/>
  <c r="M10" i="4" s="1"/>
  <c r="O10" i="4" s="1"/>
  <c r="P10" i="4" s="1"/>
  <c r="Q10" i="4" s="1"/>
  <c r="W10" i="4" s="1"/>
  <c r="T10" i="4"/>
  <c r="AK9" i="4"/>
  <c r="AH10" i="4"/>
  <c r="AG10" i="4"/>
  <c r="X10" i="4"/>
  <c r="S10" i="4"/>
  <c r="L30" i="4"/>
  <c r="M30" i="4" s="1"/>
  <c r="O30" i="4" s="1"/>
  <c r="P30" i="4" s="1"/>
  <c r="Q30" i="4" s="1"/>
  <c r="W30" i="4" s="1"/>
  <c r="T30" i="4"/>
  <c r="AL9" i="4"/>
  <c r="AH30" i="4"/>
  <c r="AG30" i="4"/>
  <c r="X30" i="4"/>
  <c r="S30" i="4"/>
  <c r="AG90" i="4"/>
  <c r="AH90" i="4"/>
  <c r="AO9" i="4"/>
  <c r="L90" i="4"/>
  <c r="M90" i="4" s="1"/>
  <c r="O90" i="4" s="1"/>
  <c r="P90" i="4" s="1"/>
  <c r="Q90" i="4" s="1"/>
  <c r="W90" i="4" s="1"/>
  <c r="T90" i="4"/>
  <c r="X90" i="4"/>
  <c r="S90" i="4"/>
  <c r="L130" i="4"/>
  <c r="M130" i="4" s="1"/>
  <c r="O130" i="4" s="1"/>
  <c r="P130" i="4" s="1"/>
  <c r="Q130" i="4" s="1"/>
  <c r="W130" i="4" s="1"/>
  <c r="T130" i="4"/>
  <c r="AG130" i="4"/>
  <c r="AH130" i="4"/>
  <c r="AQ9" i="4"/>
  <c r="X130" i="4"/>
  <c r="S130" i="4"/>
  <c r="L150" i="4"/>
  <c r="M150" i="4" s="1"/>
  <c r="O150" i="4" s="1"/>
  <c r="P150" i="4" s="1"/>
  <c r="Q150" i="4" s="1"/>
  <c r="W150" i="4" s="1"/>
  <c r="T150" i="4"/>
  <c r="AG150" i="4"/>
  <c r="AH150" i="4"/>
  <c r="AR9" i="4"/>
  <c r="X150" i="4"/>
  <c r="S150" i="4"/>
  <c r="U170" i="4"/>
  <c r="Y170" i="4" s="1"/>
  <c r="Z170" i="4" s="1"/>
  <c r="AF170" i="4" s="1"/>
  <c r="AI170" i="4" s="1"/>
  <c r="U70" i="4"/>
  <c r="Y70" i="4" s="1"/>
  <c r="Z70" i="4" s="1"/>
  <c r="AF70" i="4" s="1"/>
  <c r="AI70" i="4" s="1"/>
  <c r="U110" i="4"/>
  <c r="Y110" i="4" s="1"/>
  <c r="Z110" i="4" s="1"/>
  <c r="AF110" i="4" s="1"/>
  <c r="AI110" i="4" s="1"/>
  <c r="U50" i="4"/>
  <c r="Y50" i="4" s="1"/>
  <c r="Z50" i="4" s="1"/>
  <c r="AF50" i="4" s="1"/>
  <c r="AI50" i="4" s="1"/>
  <c r="U190" i="4"/>
  <c r="Y190" i="4" s="1"/>
  <c r="Z190" i="4" s="1"/>
  <c r="AF190" i="4" s="1"/>
  <c r="AI190" i="4" s="1"/>
  <c r="U210" i="4"/>
  <c r="Y210" i="4"/>
  <c r="Z210" i="4" s="1"/>
  <c r="AF210" i="4" s="1"/>
  <c r="AI210" i="4" s="1"/>
  <c r="L9" i="4"/>
  <c r="M9" i="4" s="1"/>
  <c r="O9" i="4" s="1"/>
  <c r="P9" i="4" s="1"/>
  <c r="Q9" i="4" s="1"/>
  <c r="W9" i="4" s="1"/>
  <c r="T9" i="4"/>
  <c r="AK8" i="4"/>
  <c r="AH9" i="4"/>
  <c r="AG9" i="4"/>
  <c r="X9" i="4"/>
  <c r="S9" i="4"/>
  <c r="AG29" i="4"/>
  <c r="AH29" i="4"/>
  <c r="AL8" i="4"/>
  <c r="L29" i="4"/>
  <c r="M29" i="4" s="1"/>
  <c r="O29" i="4" s="1"/>
  <c r="P29" i="4" s="1"/>
  <c r="Q29" i="4" s="1"/>
  <c r="W29" i="4" s="1"/>
  <c r="T29" i="4"/>
  <c r="X29" i="4"/>
  <c r="S29" i="4"/>
  <c r="L89" i="4"/>
  <c r="M89" i="4" s="1"/>
  <c r="O89" i="4" s="1"/>
  <c r="P89" i="4" s="1"/>
  <c r="Q89" i="4" s="1"/>
  <c r="W89" i="4" s="1"/>
  <c r="T89" i="4"/>
  <c r="AG89" i="4"/>
  <c r="AH89" i="4"/>
  <c r="AO8" i="4"/>
  <c r="X89" i="4"/>
  <c r="S89" i="4"/>
  <c r="AG129" i="4"/>
  <c r="AH129" i="4"/>
  <c r="AQ8" i="4"/>
  <c r="L129" i="4"/>
  <c r="M129" i="4" s="1"/>
  <c r="O129" i="4" s="1"/>
  <c r="P129" i="4" s="1"/>
  <c r="Q129" i="4" s="1"/>
  <c r="W129" i="4" s="1"/>
  <c r="T129" i="4"/>
  <c r="X129" i="4"/>
  <c r="S129" i="4"/>
  <c r="AG149" i="4"/>
  <c r="AH149" i="4"/>
  <c r="AR8" i="4"/>
  <c r="L149" i="4"/>
  <c r="M149" i="4" s="1"/>
  <c r="O149" i="4" s="1"/>
  <c r="P149" i="4" s="1"/>
  <c r="Q149" i="4" s="1"/>
  <c r="W149" i="4" s="1"/>
  <c r="T149" i="4"/>
  <c r="X149" i="4"/>
  <c r="S149" i="4"/>
  <c r="U49" i="4"/>
  <c r="Y49" i="4"/>
  <c r="Z49" i="4" s="1"/>
  <c r="AF49" i="4" s="1"/>
  <c r="AI49" i="4" s="1"/>
  <c r="U169" i="4"/>
  <c r="Y169" i="4" s="1"/>
  <c r="Z169" i="4" s="1"/>
  <c r="AF169" i="4" s="1"/>
  <c r="AI169" i="4" s="1"/>
  <c r="AA165" i="4"/>
  <c r="R165" i="4"/>
  <c r="I165" i="4"/>
  <c r="AE165" i="4" s="1"/>
  <c r="R225" i="4"/>
  <c r="AA225" i="4"/>
  <c r="I225" i="4"/>
  <c r="AE225" i="4" s="1"/>
  <c r="I205" i="4"/>
  <c r="AE205" i="4"/>
  <c r="AA205" i="4"/>
  <c r="R205" i="4"/>
  <c r="R25" i="4"/>
  <c r="AA25" i="4"/>
  <c r="I25" i="4"/>
  <c r="AE25" i="4" s="1"/>
  <c r="AA45" i="4"/>
  <c r="R45" i="4"/>
  <c r="I45" i="4"/>
  <c r="AE45" i="4"/>
  <c r="R65" i="4"/>
  <c r="AA65" i="4"/>
  <c r="I65" i="4"/>
  <c r="AE65" i="4" s="1"/>
  <c r="AA85" i="4"/>
  <c r="R85" i="4"/>
  <c r="I85" i="4"/>
  <c r="AE85" i="4" s="1"/>
  <c r="R105" i="4"/>
  <c r="AA105" i="4"/>
  <c r="I105" i="4"/>
  <c r="AE105" i="4" s="1"/>
  <c r="AA125" i="4"/>
  <c r="R125" i="4"/>
  <c r="I125" i="4"/>
  <c r="AE125" i="4"/>
  <c r="AA145" i="4"/>
  <c r="R145" i="4"/>
  <c r="I145" i="4"/>
  <c r="AE145" i="4"/>
  <c r="R185" i="4"/>
  <c r="AA185" i="4"/>
  <c r="I185" i="4"/>
  <c r="AE185" i="4" s="1"/>
  <c r="AA184" i="4"/>
  <c r="R184" i="4"/>
  <c r="I184" i="4"/>
  <c r="AE184" i="4" s="1"/>
  <c r="R224" i="4"/>
  <c r="AA224" i="4"/>
  <c r="I224" i="4"/>
  <c r="AE224" i="4" s="1"/>
  <c r="AA164" i="4"/>
  <c r="R164" i="4"/>
  <c r="I164" i="4"/>
  <c r="AE164" i="4" s="1"/>
  <c r="AA24" i="4"/>
  <c r="R24" i="4"/>
  <c r="I24" i="4"/>
  <c r="AE24" i="4" s="1"/>
  <c r="AA44" i="4"/>
  <c r="R44" i="4"/>
  <c r="I44" i="4"/>
  <c r="AE44" i="4"/>
  <c r="R64" i="4"/>
  <c r="AA64" i="4"/>
  <c r="I64" i="4"/>
  <c r="AE64" i="4" s="1"/>
  <c r="AA84" i="4"/>
  <c r="R84" i="4"/>
  <c r="I84" i="4"/>
  <c r="AE84" i="4" s="1"/>
  <c r="R104" i="4"/>
  <c r="AA104" i="4"/>
  <c r="I104" i="4"/>
  <c r="AE104" i="4" s="1"/>
  <c r="R124" i="4"/>
  <c r="AA124" i="4"/>
  <c r="I124" i="4"/>
  <c r="AE124" i="4" s="1"/>
  <c r="AA144" i="4"/>
  <c r="R144" i="4"/>
  <c r="I144" i="4"/>
  <c r="AE144" i="4"/>
  <c r="AA204" i="4"/>
  <c r="R204" i="4"/>
  <c r="I204" i="4"/>
  <c r="AE204" i="4"/>
  <c r="AA163" i="4"/>
  <c r="R163" i="4"/>
  <c r="I163" i="4"/>
  <c r="AE163" i="4" s="1"/>
  <c r="R223" i="4"/>
  <c r="AA223" i="4"/>
  <c r="I223" i="4"/>
  <c r="AE223" i="4" s="1"/>
  <c r="R23" i="4"/>
  <c r="AA23" i="4"/>
  <c r="I23" i="4"/>
  <c r="AE23" i="4" s="1"/>
  <c r="AA43" i="4"/>
  <c r="R43" i="4"/>
  <c r="I43" i="4"/>
  <c r="AE43" i="4"/>
  <c r="R63" i="4"/>
  <c r="AA63" i="4"/>
  <c r="I63" i="4"/>
  <c r="AE63" i="4" s="1"/>
  <c r="AA83" i="4"/>
  <c r="R83" i="4"/>
  <c r="I83" i="4"/>
  <c r="AE83" i="4" s="1"/>
  <c r="R103" i="4"/>
  <c r="AA103" i="4"/>
  <c r="I103" i="4"/>
  <c r="AE103" i="4" s="1"/>
  <c r="AA123" i="4"/>
  <c r="R123" i="4"/>
  <c r="I123" i="4"/>
  <c r="AE123" i="4" s="1"/>
  <c r="AA143" i="4"/>
  <c r="R143" i="4"/>
  <c r="I143" i="4"/>
  <c r="AE143" i="4"/>
  <c r="AA203" i="4"/>
  <c r="R203" i="4"/>
  <c r="I203" i="4"/>
  <c r="AE203" i="4" s="1"/>
  <c r="AA183" i="4"/>
  <c r="R183" i="4"/>
  <c r="I183" i="4"/>
  <c r="AE183" i="4" s="1"/>
  <c r="R22" i="4"/>
  <c r="AA22" i="4"/>
  <c r="I22" i="4"/>
  <c r="AE22" i="4" s="1"/>
  <c r="AA42" i="4"/>
  <c r="R42" i="4"/>
  <c r="I42" i="4"/>
  <c r="AE42" i="4"/>
  <c r="AA62" i="4"/>
  <c r="R62" i="4"/>
  <c r="I62" i="4"/>
  <c r="AE62" i="4" s="1"/>
  <c r="R82" i="4"/>
  <c r="AA82" i="4"/>
  <c r="I82" i="4"/>
  <c r="AE82" i="4" s="1"/>
  <c r="R102" i="4"/>
  <c r="AA102" i="4"/>
  <c r="I102" i="4"/>
  <c r="AE102" i="4" s="1"/>
  <c r="R122" i="4"/>
  <c r="AA122" i="4"/>
  <c r="I122" i="4"/>
  <c r="AE122" i="4" s="1"/>
  <c r="AA142" i="4"/>
  <c r="R142" i="4"/>
  <c r="I142" i="4"/>
  <c r="AE142" i="4"/>
  <c r="AA202" i="4"/>
  <c r="R202" i="4"/>
  <c r="I202" i="4"/>
  <c r="AE202" i="4"/>
  <c r="R182" i="4"/>
  <c r="AA182" i="4"/>
  <c r="I182" i="4"/>
  <c r="AE182" i="4" s="1"/>
  <c r="R162" i="4"/>
  <c r="AA162" i="4"/>
  <c r="I162" i="4"/>
  <c r="AE162" i="4" s="1"/>
  <c r="AA222" i="4"/>
  <c r="R222" i="4"/>
  <c r="I222" i="4"/>
  <c r="AE222" i="4" s="1"/>
  <c r="R159" i="4"/>
  <c r="AA159" i="4"/>
  <c r="I159" i="4"/>
  <c r="AE159" i="4" s="1"/>
  <c r="X199" i="4"/>
  <c r="S199" i="4"/>
  <c r="L199" i="4"/>
  <c r="M199" i="4" s="1"/>
  <c r="O199" i="4" s="1"/>
  <c r="P199" i="4" s="1"/>
  <c r="Q199" i="4" s="1"/>
  <c r="W199" i="4" s="1"/>
  <c r="T199" i="4"/>
  <c r="AT18" i="4"/>
  <c r="AH199" i="4"/>
  <c r="AG199" i="4"/>
  <c r="X139" i="4"/>
  <c r="S139" i="4"/>
  <c r="L139" i="4"/>
  <c r="M139" i="4" s="1"/>
  <c r="O139" i="4" s="1"/>
  <c r="P139" i="4" s="1"/>
  <c r="Q139" i="4" s="1"/>
  <c r="W139" i="4" s="1"/>
  <c r="T139" i="4"/>
  <c r="AQ18" i="4"/>
  <c r="AH139" i="4"/>
  <c r="AG139" i="4"/>
  <c r="X119" i="4"/>
  <c r="S119" i="4"/>
  <c r="AP18" i="4"/>
  <c r="AH119" i="4"/>
  <c r="AG119" i="4"/>
  <c r="L119" i="4"/>
  <c r="M119" i="4" s="1"/>
  <c r="O119" i="4" s="1"/>
  <c r="P119" i="4" s="1"/>
  <c r="Q119" i="4" s="1"/>
  <c r="W119" i="4" s="1"/>
  <c r="T119" i="4"/>
  <c r="X99" i="4"/>
  <c r="S99" i="4"/>
  <c r="L99" i="4"/>
  <c r="M99" i="4" s="1"/>
  <c r="O99" i="4" s="1"/>
  <c r="P99" i="4" s="1"/>
  <c r="Q99" i="4" s="1"/>
  <c r="W99" i="4" s="1"/>
  <c r="T99" i="4"/>
  <c r="AO18" i="4"/>
  <c r="AH99" i="4"/>
  <c r="AG99" i="4"/>
  <c r="X79" i="4"/>
  <c r="S79" i="4"/>
  <c r="AN18" i="4"/>
  <c r="AH79" i="4"/>
  <c r="AG79" i="4"/>
  <c r="L79" i="4"/>
  <c r="M79" i="4" s="1"/>
  <c r="O79" i="4" s="1"/>
  <c r="P79" i="4" s="1"/>
  <c r="Q79" i="4" s="1"/>
  <c r="W79" i="4" s="1"/>
  <c r="T79" i="4"/>
  <c r="X59" i="4"/>
  <c r="S59" i="4"/>
  <c r="AM18" i="4"/>
  <c r="AH59" i="4"/>
  <c r="AG59" i="4"/>
  <c r="L59" i="4"/>
  <c r="M59" i="4" s="1"/>
  <c r="O59" i="4" s="1"/>
  <c r="P59" i="4" s="1"/>
  <c r="Q59" i="4" s="1"/>
  <c r="W59" i="4" s="1"/>
  <c r="T59" i="4"/>
  <c r="X39" i="4"/>
  <c r="S39" i="4"/>
  <c r="L39" i="4"/>
  <c r="M39" i="4" s="1"/>
  <c r="O39" i="4" s="1"/>
  <c r="P39" i="4" s="1"/>
  <c r="Q39" i="4" s="1"/>
  <c r="W39" i="4" s="1"/>
  <c r="T39" i="4"/>
  <c r="AL18" i="4"/>
  <c r="AH39" i="4"/>
  <c r="AG39" i="4"/>
  <c r="X19" i="4"/>
  <c r="S19" i="4"/>
  <c r="AK18" i="4"/>
  <c r="AH19" i="4"/>
  <c r="AG19" i="4"/>
  <c r="L19" i="4"/>
  <c r="M19" i="4" s="1"/>
  <c r="O19" i="4" s="1"/>
  <c r="P19" i="4" s="1"/>
  <c r="Q19" i="4" s="1"/>
  <c r="W19" i="4" s="1"/>
  <c r="T19" i="4"/>
  <c r="S179" i="4"/>
  <c r="X179" i="4"/>
  <c r="AH179" i="4"/>
  <c r="AS18" i="4"/>
  <c r="AG179" i="4"/>
  <c r="L179" i="4"/>
  <c r="M179" i="4" s="1"/>
  <c r="O179" i="4" s="1"/>
  <c r="P179" i="4" s="1"/>
  <c r="Q179" i="4" s="1"/>
  <c r="W179" i="4" s="1"/>
  <c r="T179" i="4"/>
  <c r="AA157" i="4"/>
  <c r="R157" i="4"/>
  <c r="I157" i="4"/>
  <c r="AE157" i="4" s="1"/>
  <c r="AA217" i="4"/>
  <c r="R217" i="4"/>
  <c r="I217" i="4"/>
  <c r="AE217" i="4" s="1"/>
  <c r="AA177" i="4"/>
  <c r="R177" i="4"/>
  <c r="I177" i="4"/>
  <c r="AE177" i="4" s="1"/>
  <c r="AA17" i="4"/>
  <c r="R17" i="4"/>
  <c r="I17" i="4"/>
  <c r="AE17" i="4" s="1"/>
  <c r="AA37" i="4"/>
  <c r="R37" i="4"/>
  <c r="I37" i="4"/>
  <c r="AE37" i="4" s="1"/>
  <c r="R77" i="4"/>
  <c r="AA77" i="4"/>
  <c r="I77" i="4"/>
  <c r="AE77" i="4" s="1"/>
  <c r="AA97" i="4"/>
  <c r="R97" i="4"/>
  <c r="I97" i="4"/>
  <c r="AE97" i="4" s="1"/>
  <c r="R57" i="4"/>
  <c r="AA57" i="4"/>
  <c r="I57" i="4"/>
  <c r="AE57" i="4" s="1"/>
  <c r="AA117" i="4"/>
  <c r="R117" i="4"/>
  <c r="I117" i="4"/>
  <c r="AE117" i="4" s="1"/>
  <c r="AA137" i="4"/>
  <c r="R137" i="4"/>
  <c r="I137" i="4"/>
  <c r="AE137" i="4"/>
  <c r="AA197" i="4"/>
  <c r="R197" i="4"/>
  <c r="I197" i="4"/>
  <c r="AE197" i="4"/>
  <c r="R173" i="4"/>
  <c r="AA173" i="4"/>
  <c r="I173" i="4"/>
  <c r="AE173" i="4" s="1"/>
  <c r="R213" i="4"/>
  <c r="AA213" i="4"/>
  <c r="I213" i="4"/>
  <c r="AE213" i="4" s="1"/>
  <c r="R13" i="4"/>
  <c r="AA13" i="4"/>
  <c r="I13" i="4"/>
  <c r="AE13" i="4" s="1"/>
  <c r="AA33" i="4"/>
  <c r="R33" i="4"/>
  <c r="I33" i="4"/>
  <c r="AE33" i="4" s="1"/>
  <c r="R73" i="4"/>
  <c r="AA73" i="4"/>
  <c r="I73" i="4"/>
  <c r="AE73" i="4" s="1"/>
  <c r="AA93" i="4"/>
  <c r="R93" i="4"/>
  <c r="I93" i="4"/>
  <c r="AE93" i="4"/>
  <c r="AA113" i="4"/>
  <c r="R113" i="4"/>
  <c r="I113" i="4"/>
  <c r="AE113" i="4" s="1"/>
  <c r="AA133" i="4"/>
  <c r="R133" i="4"/>
  <c r="I133" i="4"/>
  <c r="AE133" i="4"/>
  <c r="I153" i="4"/>
  <c r="AE153" i="4"/>
  <c r="AA153" i="4"/>
  <c r="R153" i="4"/>
  <c r="R53" i="4"/>
  <c r="AA53" i="4"/>
  <c r="I53" i="4"/>
  <c r="AE53" i="4" s="1"/>
  <c r="AA193" i="4"/>
  <c r="R193" i="4"/>
  <c r="I193" i="4"/>
  <c r="AE193" i="4" s="1"/>
  <c r="AT11" i="4"/>
  <c r="AH192" i="4"/>
  <c r="AG192" i="4"/>
  <c r="X192" i="4"/>
  <c r="S192" i="4"/>
  <c r="L192" i="4"/>
  <c r="M192" i="4" s="1"/>
  <c r="O192" i="4" s="1"/>
  <c r="P192" i="4" s="1"/>
  <c r="Q192" i="4" s="1"/>
  <c r="W192" i="4" s="1"/>
  <c r="T192" i="4"/>
  <c r="AS11" i="4"/>
  <c r="AH172" i="4"/>
  <c r="AG172" i="4"/>
  <c r="X172" i="4"/>
  <c r="S172" i="4"/>
  <c r="L172" i="4"/>
  <c r="M172" i="4" s="1"/>
  <c r="O172" i="4" s="1"/>
  <c r="P172" i="4" s="1"/>
  <c r="Q172" i="4" s="1"/>
  <c r="W172" i="4" s="1"/>
  <c r="T172" i="4"/>
  <c r="X152" i="4"/>
  <c r="S152" i="4"/>
  <c r="L152" i="4"/>
  <c r="M152" i="4" s="1"/>
  <c r="O152" i="4" s="1"/>
  <c r="P152" i="4" s="1"/>
  <c r="Q152" i="4" s="1"/>
  <c r="W152" i="4" s="1"/>
  <c r="T152" i="4"/>
  <c r="AR11" i="4"/>
  <c r="AH152" i="4"/>
  <c r="AG152" i="4"/>
  <c r="X132" i="4"/>
  <c r="S132" i="4"/>
  <c r="L132" i="4"/>
  <c r="M132" i="4" s="1"/>
  <c r="O132" i="4" s="1"/>
  <c r="P132" i="4" s="1"/>
  <c r="Q132" i="4" s="1"/>
  <c r="W132" i="4" s="1"/>
  <c r="T132" i="4"/>
  <c r="AQ11" i="4"/>
  <c r="AH132" i="4"/>
  <c r="AG132" i="4"/>
  <c r="AT10" i="4"/>
  <c r="AH191" i="4"/>
  <c r="AG191" i="4"/>
  <c r="X191" i="4"/>
  <c r="S191" i="4"/>
  <c r="L191" i="4"/>
  <c r="M191" i="4" s="1"/>
  <c r="O191" i="4" s="1"/>
  <c r="P191" i="4" s="1"/>
  <c r="Q191" i="4" s="1"/>
  <c r="W191" i="4" s="1"/>
  <c r="T191" i="4"/>
  <c r="AU10" i="4"/>
  <c r="AH211" i="4"/>
  <c r="AG211" i="4"/>
  <c r="S211" i="4"/>
  <c r="X211" i="4"/>
  <c r="L211" i="4"/>
  <c r="M211" i="4" s="1"/>
  <c r="O211" i="4" s="1"/>
  <c r="P211" i="4" s="1"/>
  <c r="Q211" i="4" s="1"/>
  <c r="W211" i="4" s="1"/>
  <c r="T211" i="4"/>
  <c r="AS10" i="4"/>
  <c r="AH171" i="4"/>
  <c r="AG171" i="4"/>
  <c r="S171" i="4"/>
  <c r="X171" i="4"/>
  <c r="L171" i="4"/>
  <c r="M171" i="4" s="1"/>
  <c r="O171" i="4" s="1"/>
  <c r="P171" i="4" s="1"/>
  <c r="Q171" i="4" s="1"/>
  <c r="W171" i="4" s="1"/>
  <c r="T171" i="4"/>
  <c r="AM10" i="4"/>
  <c r="AG51" i="4"/>
  <c r="AH51" i="4"/>
  <c r="S51" i="4"/>
  <c r="X51" i="4"/>
  <c r="L51" i="4"/>
  <c r="M51" i="4" s="1"/>
  <c r="O51" i="4" s="1"/>
  <c r="P51" i="4" s="1"/>
  <c r="Q51" i="4" s="1"/>
  <c r="W51" i="4" s="1"/>
  <c r="T51" i="4"/>
  <c r="X151" i="4"/>
  <c r="S151" i="4"/>
  <c r="L151" i="4"/>
  <c r="M151" i="4" s="1"/>
  <c r="O151" i="4" s="1"/>
  <c r="P151" i="4" s="1"/>
  <c r="Q151" i="4" s="1"/>
  <c r="W151" i="4" s="1"/>
  <c r="T151" i="4"/>
  <c r="AR10" i="4"/>
  <c r="AH151" i="4"/>
  <c r="AG151" i="4"/>
  <c r="X131" i="4"/>
  <c r="S131" i="4"/>
  <c r="L131" i="4"/>
  <c r="M131" i="4" s="1"/>
  <c r="O131" i="4" s="1"/>
  <c r="P131" i="4" s="1"/>
  <c r="Q131" i="4" s="1"/>
  <c r="W131" i="4" s="1"/>
  <c r="T131" i="4"/>
  <c r="AQ10" i="4"/>
  <c r="AH131" i="4"/>
  <c r="AG131" i="4"/>
  <c r="AP10" i="4"/>
  <c r="AH111" i="4"/>
  <c r="AG111" i="4"/>
  <c r="X111" i="4"/>
  <c r="S111" i="4"/>
  <c r="L111" i="4"/>
  <c r="M111" i="4" s="1"/>
  <c r="O111" i="4" s="1"/>
  <c r="P111" i="4" s="1"/>
  <c r="Q111" i="4" s="1"/>
  <c r="W111" i="4" s="1"/>
  <c r="T111" i="4"/>
  <c r="AA168" i="4"/>
  <c r="R168" i="4"/>
  <c r="I168" i="4"/>
  <c r="AE168" i="4" s="1"/>
  <c r="R188" i="4"/>
  <c r="AA188" i="4"/>
  <c r="I188" i="4"/>
  <c r="AE188" i="4" s="1"/>
  <c r="AA208" i="4"/>
  <c r="R208" i="4"/>
  <c r="I208" i="4"/>
  <c r="AE208" i="4" s="1"/>
  <c r="AA8" i="4"/>
  <c r="R8" i="4"/>
  <c r="I8" i="4"/>
  <c r="AE8" i="4" s="1"/>
  <c r="AA28" i="4"/>
  <c r="R28" i="4"/>
  <c r="I28" i="4"/>
  <c r="AE28" i="4" s="1"/>
  <c r="AA48" i="4"/>
  <c r="R48" i="4"/>
  <c r="I48" i="4"/>
  <c r="AE48" i="4"/>
  <c r="R68" i="4"/>
  <c r="AA68" i="4"/>
  <c r="I68" i="4"/>
  <c r="AE68" i="4" s="1"/>
  <c r="AA88" i="4"/>
  <c r="R88" i="4"/>
  <c r="I88" i="4"/>
  <c r="AE88" i="4"/>
  <c r="R108" i="4"/>
  <c r="AA108" i="4"/>
  <c r="I108" i="4"/>
  <c r="AE108" i="4" s="1"/>
  <c r="AA128" i="4"/>
  <c r="R128" i="4"/>
  <c r="I128" i="4"/>
  <c r="AE128" i="4"/>
  <c r="AA148" i="4"/>
  <c r="R148" i="4"/>
  <c r="I148" i="4"/>
  <c r="AE148" i="4"/>
  <c r="L226" i="4"/>
  <c r="M226" i="4" s="1"/>
  <c r="O226" i="4" s="1"/>
  <c r="P226" i="4" s="1"/>
  <c r="Q226" i="4" s="1"/>
  <c r="W226" i="4" s="1"/>
  <c r="T226" i="4"/>
  <c r="X226" i="4"/>
  <c r="S226" i="4"/>
  <c r="AU25" i="4"/>
  <c r="AH226" i="4"/>
  <c r="AG226" i="4"/>
  <c r="L216" i="4"/>
  <c r="M216" i="4" s="1"/>
  <c r="O216" i="4" s="1"/>
  <c r="P216" i="4" s="1"/>
  <c r="Q216" i="4" s="1"/>
  <c r="W216" i="4" s="1"/>
  <c r="T216" i="4"/>
  <c r="AU15" i="4"/>
  <c r="AH216" i="4"/>
  <c r="AG216" i="4"/>
  <c r="X216" i="4"/>
  <c r="S216" i="4"/>
  <c r="L156" i="4"/>
  <c r="M156" i="4" s="1"/>
  <c r="O156" i="4" s="1"/>
  <c r="P156" i="4" s="1"/>
  <c r="Q156" i="4" s="1"/>
  <c r="W156" i="4" s="1"/>
  <c r="T156" i="4"/>
  <c r="S156" i="4"/>
  <c r="X156" i="4"/>
  <c r="AH156" i="4"/>
  <c r="L194" i="4"/>
  <c r="M194" i="4" s="1"/>
  <c r="O194" i="4" s="1"/>
  <c r="P194" i="4" s="1"/>
  <c r="Q194" i="4" s="1"/>
  <c r="W194" i="4" s="1"/>
  <c r="T194" i="4"/>
  <c r="AT13" i="4"/>
  <c r="AH194" i="4"/>
  <c r="AG194" i="4"/>
  <c r="X194" i="4"/>
  <c r="S194" i="4"/>
  <c r="L174" i="4"/>
  <c r="M174" i="4" s="1"/>
  <c r="O174" i="4" s="1"/>
  <c r="P174" i="4" s="1"/>
  <c r="Q174" i="4" s="1"/>
  <c r="W174" i="4" s="1"/>
  <c r="T174" i="4"/>
  <c r="X174" i="4"/>
  <c r="S174" i="4"/>
  <c r="AH174" i="4"/>
  <c r="L214" i="4"/>
  <c r="M214" i="4" s="1"/>
  <c r="O214" i="4" s="1"/>
  <c r="P214" i="4" s="1"/>
  <c r="Q214" i="4" s="1"/>
  <c r="W214" i="4" s="1"/>
  <c r="T214" i="4"/>
  <c r="X214" i="4"/>
  <c r="S214" i="4"/>
  <c r="AH214" i="4"/>
  <c r="AU13" i="4"/>
  <c r="AG214" i="4"/>
  <c r="L69" i="4"/>
  <c r="M69" i="4" s="1"/>
  <c r="O69" i="4" s="1"/>
  <c r="P69" i="4" s="1"/>
  <c r="Q69" i="4" s="1"/>
  <c r="W69" i="4" s="1"/>
  <c r="T69" i="4"/>
  <c r="AN8" i="4"/>
  <c r="AH69" i="4"/>
  <c r="AG69" i="4"/>
  <c r="X69" i="4"/>
  <c r="S69" i="4"/>
  <c r="L109" i="4"/>
  <c r="M109" i="4" s="1"/>
  <c r="O109" i="4" s="1"/>
  <c r="P109" i="4" s="1"/>
  <c r="Q109" i="4" s="1"/>
  <c r="W109" i="4" s="1"/>
  <c r="T109" i="4"/>
  <c r="AP8" i="4"/>
  <c r="AH109" i="4"/>
  <c r="AG109" i="4"/>
  <c r="X109" i="4"/>
  <c r="S109" i="4"/>
  <c r="L189" i="4"/>
  <c r="M189" i="4" s="1"/>
  <c r="O189" i="4" s="1"/>
  <c r="P189" i="4" s="1"/>
  <c r="Q189" i="4" s="1"/>
  <c r="W189" i="4" s="1"/>
  <c r="T189" i="4"/>
  <c r="AG189" i="4"/>
  <c r="AT8" i="4"/>
  <c r="AH189" i="4"/>
  <c r="S189" i="4"/>
  <c r="X189" i="4"/>
  <c r="L209" i="4"/>
  <c r="M209" i="4" s="1"/>
  <c r="O209" i="4" s="1"/>
  <c r="P209" i="4" s="1"/>
  <c r="Q209" i="4" s="1"/>
  <c r="W209" i="4" s="1"/>
  <c r="T209" i="4"/>
  <c r="AG209" i="4"/>
  <c r="AU8" i="4"/>
  <c r="AH209" i="4"/>
  <c r="S209" i="4"/>
  <c r="X209" i="4"/>
  <c r="I219" i="4"/>
  <c r="AE219" i="4"/>
  <c r="AA219" i="4"/>
  <c r="R219" i="4"/>
  <c r="I212" i="4"/>
  <c r="R212" i="4"/>
  <c r="AA212" i="4"/>
  <c r="AE212" i="4"/>
  <c r="I12" i="4"/>
  <c r="AE12" i="4"/>
  <c r="R12" i="4"/>
  <c r="AA12" i="4"/>
  <c r="I32" i="4"/>
  <c r="AE32" i="4" s="1"/>
  <c r="R32" i="4"/>
  <c r="AA32" i="4"/>
  <c r="I72" i="4"/>
  <c r="AE72" i="4"/>
  <c r="R72" i="4"/>
  <c r="AA72" i="4"/>
  <c r="I92" i="4"/>
  <c r="AE92" i="4" s="1"/>
  <c r="R92" i="4"/>
  <c r="AA92" i="4"/>
  <c r="I52" i="4"/>
  <c r="AE52" i="4"/>
  <c r="R52" i="4"/>
  <c r="AA52" i="4"/>
  <c r="I112" i="4"/>
  <c r="AE112" i="4"/>
  <c r="AA112" i="4"/>
  <c r="R112" i="4"/>
  <c r="I11" i="4"/>
  <c r="AE11" i="4"/>
  <c r="AA11" i="4"/>
  <c r="R11" i="4"/>
  <c r="I31" i="4"/>
  <c r="AE31" i="4"/>
  <c r="AA31" i="4"/>
  <c r="R31" i="4"/>
  <c r="I71" i="4"/>
  <c r="AA71" i="4"/>
  <c r="R71" i="4"/>
  <c r="AE71" i="4"/>
  <c r="I91" i="4"/>
  <c r="AE91" i="4" s="1"/>
  <c r="R91" i="4"/>
  <c r="AA91" i="4"/>
  <c r="Z176" i="4"/>
  <c r="AF176" i="4" s="1"/>
  <c r="U27" i="4" l="1"/>
  <c r="Y27" i="4" s="1"/>
  <c r="Z27" i="4" s="1"/>
  <c r="AF27" i="4" s="1"/>
  <c r="AI27" i="4" s="1"/>
  <c r="U47" i="4"/>
  <c r="Y47" i="4" s="1"/>
  <c r="Z47" i="4" s="1"/>
  <c r="AF47" i="4" s="1"/>
  <c r="AI47" i="4" s="1"/>
  <c r="U87" i="4"/>
  <c r="Y87" i="4" s="1"/>
  <c r="Z87" i="4" s="1"/>
  <c r="AF87" i="4" s="1"/>
  <c r="AI87" i="4" s="1"/>
  <c r="U127" i="4"/>
  <c r="Y127" i="4" s="1"/>
  <c r="Z127" i="4" s="1"/>
  <c r="AF127" i="4" s="1"/>
  <c r="AI127" i="4" s="1"/>
  <c r="U147" i="4"/>
  <c r="Y147" i="4" s="1"/>
  <c r="Z147" i="4" s="1"/>
  <c r="AF147" i="4" s="1"/>
  <c r="AI147" i="4" s="1"/>
  <c r="U26" i="4"/>
  <c r="Y26" i="4" s="1"/>
  <c r="Z26" i="4" s="1"/>
  <c r="AF26" i="4" s="1"/>
  <c r="AI26" i="4" s="1"/>
  <c r="U46" i="4"/>
  <c r="Y46" i="4" s="1"/>
  <c r="Z46" i="4" s="1"/>
  <c r="AF46" i="4" s="1"/>
  <c r="AI46" i="4" s="1"/>
  <c r="U86" i="4"/>
  <c r="Y86" i="4" s="1"/>
  <c r="Z86" i="4" s="1"/>
  <c r="AF86" i="4" s="1"/>
  <c r="AI86" i="4" s="1"/>
  <c r="U126" i="4"/>
  <c r="Y126" i="4" s="1"/>
  <c r="Z126" i="4" s="1"/>
  <c r="AF126" i="4" s="1"/>
  <c r="AI126" i="4" s="1"/>
  <c r="U146" i="4"/>
  <c r="Y146" i="4" s="1"/>
  <c r="Z146" i="4" s="1"/>
  <c r="AF146" i="4" s="1"/>
  <c r="AI146" i="4" s="1"/>
  <c r="U21" i="4"/>
  <c r="Y21" i="4" s="1"/>
  <c r="Z21" i="4" s="1"/>
  <c r="AF21" i="4" s="1"/>
  <c r="AI21" i="4" s="1"/>
  <c r="U41" i="4"/>
  <c r="Y41" i="4" s="1"/>
  <c r="Z41" i="4" s="1"/>
  <c r="AF41" i="4" s="1"/>
  <c r="AI41" i="4" s="1"/>
  <c r="U141" i="4"/>
  <c r="Y141" i="4" s="1"/>
  <c r="Z141" i="4" s="1"/>
  <c r="AF141" i="4" s="1"/>
  <c r="AI141" i="4" s="1"/>
  <c r="U201" i="4"/>
  <c r="Y201" i="4" s="1"/>
  <c r="Z201" i="4" s="1"/>
  <c r="AF201" i="4" s="1"/>
  <c r="AI201" i="4" s="1"/>
  <c r="U20" i="4"/>
  <c r="Y20" i="4" s="1"/>
  <c r="Z20" i="4" s="1"/>
  <c r="AF20" i="4" s="1"/>
  <c r="AI20" i="4" s="1"/>
  <c r="U40" i="4"/>
  <c r="Y40" i="4" s="1"/>
  <c r="Z40" i="4" s="1"/>
  <c r="AF40" i="4" s="1"/>
  <c r="AI40" i="4" s="1"/>
  <c r="U100" i="4"/>
  <c r="Y100" i="4" s="1"/>
  <c r="Z100" i="4" s="1"/>
  <c r="AF100" i="4" s="1"/>
  <c r="AI100" i="4" s="1"/>
  <c r="U140" i="4"/>
  <c r="Y140" i="4" s="1"/>
  <c r="Z140" i="4" s="1"/>
  <c r="AF140" i="4" s="1"/>
  <c r="AI140" i="4" s="1"/>
  <c r="U200" i="4"/>
  <c r="Y200" i="4" s="1"/>
  <c r="Z200" i="4" s="1"/>
  <c r="AF200" i="4" s="1"/>
  <c r="AI200" i="4" s="1"/>
  <c r="U220" i="4"/>
  <c r="Y220" i="4"/>
  <c r="Z220" i="4" s="1"/>
  <c r="AF220" i="4" s="1"/>
  <c r="AI220" i="4" s="1"/>
  <c r="U180" i="4"/>
  <c r="Y180" i="4" s="1"/>
  <c r="Z180" i="4" s="1"/>
  <c r="AF180" i="4" s="1"/>
  <c r="AI180" i="4" s="1"/>
  <c r="U160" i="4"/>
  <c r="Y160" i="4"/>
  <c r="Z160" i="4" s="1"/>
  <c r="AF160" i="4" s="1"/>
  <c r="AI160" i="4" s="1"/>
  <c r="U18" i="4"/>
  <c r="Y18" i="4" s="1"/>
  <c r="Z18" i="4" s="1"/>
  <c r="AF18" i="4" s="1"/>
  <c r="AI18" i="4" s="1"/>
  <c r="U38" i="4"/>
  <c r="Y38" i="4" s="1"/>
  <c r="Z38" i="4" s="1"/>
  <c r="AF38" i="4" s="1"/>
  <c r="AI38" i="4" s="1"/>
  <c r="U98" i="4"/>
  <c r="Y98" i="4" s="1"/>
  <c r="Z98" i="4" s="1"/>
  <c r="AF98" i="4" s="1"/>
  <c r="AI98" i="4" s="1"/>
  <c r="U138" i="4"/>
  <c r="Y138" i="4" s="1"/>
  <c r="Z138" i="4" s="1"/>
  <c r="AF138" i="4" s="1"/>
  <c r="AI138" i="4" s="1"/>
  <c r="U198" i="4"/>
  <c r="Y198" i="4" s="1"/>
  <c r="Z198" i="4" s="1"/>
  <c r="AF198" i="4" s="1"/>
  <c r="AI198" i="4" s="1"/>
  <c r="U16" i="4"/>
  <c r="Y16" i="4" s="1"/>
  <c r="Z16" i="4" s="1"/>
  <c r="AF16" i="4" s="1"/>
  <c r="U36" i="4"/>
  <c r="Y36" i="4" s="1"/>
  <c r="Z36" i="4" s="1"/>
  <c r="AF36" i="4" s="1"/>
  <c r="AI36" i="4" s="1"/>
  <c r="U96" i="4"/>
  <c r="Y96" i="4" s="1"/>
  <c r="Z96" i="4" s="1"/>
  <c r="AF96" i="4" s="1"/>
  <c r="AI96" i="4" s="1"/>
  <c r="U136" i="4"/>
  <c r="Y136" i="4" s="1"/>
  <c r="Z136" i="4" s="1"/>
  <c r="AF136" i="4" s="1"/>
  <c r="U196" i="4"/>
  <c r="Y196" i="4" s="1"/>
  <c r="Z196" i="4" s="1"/>
  <c r="AF196" i="4" s="1"/>
  <c r="AI196" i="4" s="1"/>
  <c r="AG116" i="4"/>
  <c r="AP15" i="4"/>
  <c r="AI116" i="4"/>
  <c r="G16" i="1"/>
  <c r="P7" i="4"/>
  <c r="Q7" i="4" s="1"/>
  <c r="U7" i="4"/>
  <c r="Y7" i="4"/>
  <c r="C62" i="6" s="1"/>
  <c r="G15" i="1"/>
  <c r="U15" i="4"/>
  <c r="Y15" i="4" s="1"/>
  <c r="Z15" i="4" s="1"/>
  <c r="AF15" i="4" s="1"/>
  <c r="U35" i="4"/>
  <c r="Y35" i="4" s="1"/>
  <c r="Z35" i="4" s="1"/>
  <c r="AF35" i="4" s="1"/>
  <c r="AI35" i="4" s="1"/>
  <c r="U95" i="4"/>
  <c r="Y95" i="4" s="1"/>
  <c r="Z95" i="4" s="1"/>
  <c r="AF95" i="4" s="1"/>
  <c r="AI95" i="4" s="1"/>
  <c r="U135" i="4"/>
  <c r="Y135" i="4" s="1"/>
  <c r="Z135" i="4" s="1"/>
  <c r="AF135" i="4" s="1"/>
  <c r="U195" i="4"/>
  <c r="Y195" i="4" s="1"/>
  <c r="Z195" i="4" s="1"/>
  <c r="AF195" i="4" s="1"/>
  <c r="AI195" i="4" s="1"/>
  <c r="AR14" i="4"/>
  <c r="AG155" i="4"/>
  <c r="AI155" i="4"/>
  <c r="AG115" i="4"/>
  <c r="AP14" i="4"/>
  <c r="AI115" i="4"/>
  <c r="AG175" i="4"/>
  <c r="AS14" i="4"/>
  <c r="AI175" i="4"/>
  <c r="U14" i="4"/>
  <c r="Y14" i="4" s="1"/>
  <c r="Z14" i="4" s="1"/>
  <c r="AF14" i="4" s="1"/>
  <c r="U34" i="4"/>
  <c r="Y34" i="4" s="1"/>
  <c r="Z34" i="4" s="1"/>
  <c r="AF34" i="4" s="1"/>
  <c r="AI34" i="4" s="1"/>
  <c r="U94" i="4"/>
  <c r="Y94" i="4" s="1"/>
  <c r="Z94" i="4" s="1"/>
  <c r="AF94" i="4" s="1"/>
  <c r="AI94" i="4" s="1"/>
  <c r="U134" i="4"/>
  <c r="Y134" i="4" s="1"/>
  <c r="Z134" i="4" s="1"/>
  <c r="AF134" i="4" s="1"/>
  <c r="U10" i="4"/>
  <c r="Y10" i="4" s="1"/>
  <c r="Z10" i="4" s="1"/>
  <c r="AF10" i="4" s="1"/>
  <c r="AI10" i="4" s="1"/>
  <c r="U30" i="4"/>
  <c r="Y30" i="4" s="1"/>
  <c r="Z30" i="4" s="1"/>
  <c r="AF30" i="4" s="1"/>
  <c r="AI30" i="4" s="1"/>
  <c r="U90" i="4"/>
  <c r="Y90" i="4" s="1"/>
  <c r="Z90" i="4" s="1"/>
  <c r="AF90" i="4" s="1"/>
  <c r="AI90" i="4" s="1"/>
  <c r="U130" i="4"/>
  <c r="Y130" i="4" s="1"/>
  <c r="Z130" i="4" s="1"/>
  <c r="AF130" i="4" s="1"/>
  <c r="AI130" i="4" s="1"/>
  <c r="U150" i="4"/>
  <c r="Y150" i="4" s="1"/>
  <c r="Z150" i="4" s="1"/>
  <c r="AF150" i="4" s="1"/>
  <c r="AI150" i="4" s="1"/>
  <c r="U9" i="4"/>
  <c r="Y9" i="4" s="1"/>
  <c r="Z9" i="4" s="1"/>
  <c r="AF9" i="4" s="1"/>
  <c r="AI9" i="4" s="1"/>
  <c r="U29" i="4"/>
  <c r="Y29" i="4" s="1"/>
  <c r="Z29" i="4" s="1"/>
  <c r="AF29" i="4" s="1"/>
  <c r="AI29" i="4" s="1"/>
  <c r="U89" i="4"/>
  <c r="Y89" i="4" s="1"/>
  <c r="Z89" i="4" s="1"/>
  <c r="AF89" i="4" s="1"/>
  <c r="AI89" i="4" s="1"/>
  <c r="U129" i="4"/>
  <c r="Y129" i="4" s="1"/>
  <c r="Z129" i="4" s="1"/>
  <c r="AF129" i="4" s="1"/>
  <c r="AI129" i="4" s="1"/>
  <c r="U149" i="4"/>
  <c r="Y149" i="4" s="1"/>
  <c r="Z149" i="4" s="1"/>
  <c r="AF149" i="4" s="1"/>
  <c r="AI149" i="4" s="1"/>
  <c r="X165" i="4"/>
  <c r="S165" i="4"/>
  <c r="AH165" i="4"/>
  <c r="AG165" i="4"/>
  <c r="AR24" i="4"/>
  <c r="L165" i="4"/>
  <c r="M165" i="4" s="1"/>
  <c r="O165" i="4" s="1"/>
  <c r="P165" i="4" s="1"/>
  <c r="Q165" i="4" s="1"/>
  <c r="W165" i="4" s="1"/>
  <c r="T165" i="4"/>
  <c r="S225" i="4"/>
  <c r="X225" i="4"/>
  <c r="AG225" i="4"/>
  <c r="AU24" i="4"/>
  <c r="AH225" i="4"/>
  <c r="L225" i="4"/>
  <c r="M225" i="4" s="1"/>
  <c r="O225" i="4" s="1"/>
  <c r="P225" i="4" s="1"/>
  <c r="Q225" i="4" s="1"/>
  <c r="W225" i="4" s="1"/>
  <c r="T225" i="4"/>
  <c r="L205" i="4"/>
  <c r="M205" i="4" s="1"/>
  <c r="O205" i="4" s="1"/>
  <c r="P205" i="4" s="1"/>
  <c r="Q205" i="4" s="1"/>
  <c r="W205" i="4" s="1"/>
  <c r="T205" i="4"/>
  <c r="AH205" i="4"/>
  <c r="AT24" i="4"/>
  <c r="AG205" i="4"/>
  <c r="S205" i="4"/>
  <c r="X205" i="4"/>
  <c r="X25" i="4"/>
  <c r="S25" i="4"/>
  <c r="AK24" i="4"/>
  <c r="AH25" i="4"/>
  <c r="AG25" i="4"/>
  <c r="L25" i="4"/>
  <c r="M25" i="4" s="1"/>
  <c r="O25" i="4" s="1"/>
  <c r="P25" i="4" s="1"/>
  <c r="Q25" i="4" s="1"/>
  <c r="W25" i="4" s="1"/>
  <c r="T25" i="4"/>
  <c r="X45" i="4"/>
  <c r="S45" i="4"/>
  <c r="L45" i="4"/>
  <c r="M45" i="4" s="1"/>
  <c r="O45" i="4" s="1"/>
  <c r="P45" i="4" s="1"/>
  <c r="Q45" i="4" s="1"/>
  <c r="W45" i="4" s="1"/>
  <c r="T45" i="4"/>
  <c r="AL24" i="4"/>
  <c r="AH45" i="4"/>
  <c r="AG45" i="4"/>
  <c r="AM24" i="4"/>
  <c r="AH65" i="4"/>
  <c r="AG65" i="4"/>
  <c r="X65" i="4"/>
  <c r="S65" i="4"/>
  <c r="L65" i="4"/>
  <c r="M65" i="4" s="1"/>
  <c r="O65" i="4" s="1"/>
  <c r="P65" i="4" s="1"/>
  <c r="Q65" i="4" s="1"/>
  <c r="W65" i="4" s="1"/>
  <c r="T65" i="4"/>
  <c r="X85" i="4"/>
  <c r="S85" i="4"/>
  <c r="AN24" i="4"/>
  <c r="AH85" i="4"/>
  <c r="AG85" i="4"/>
  <c r="L85" i="4"/>
  <c r="M85" i="4" s="1"/>
  <c r="O85" i="4" s="1"/>
  <c r="P85" i="4" s="1"/>
  <c r="Q85" i="4" s="1"/>
  <c r="W85" i="4" s="1"/>
  <c r="T85" i="4"/>
  <c r="X105" i="4"/>
  <c r="S105" i="4"/>
  <c r="AO24" i="4"/>
  <c r="AH105" i="4"/>
  <c r="AG105" i="4"/>
  <c r="L105" i="4"/>
  <c r="M105" i="4" s="1"/>
  <c r="O105" i="4" s="1"/>
  <c r="P105" i="4" s="1"/>
  <c r="Q105" i="4" s="1"/>
  <c r="W105" i="4" s="1"/>
  <c r="T105" i="4"/>
  <c r="X125" i="4"/>
  <c r="S125" i="4"/>
  <c r="L125" i="4"/>
  <c r="M125" i="4" s="1"/>
  <c r="O125" i="4" s="1"/>
  <c r="P125" i="4" s="1"/>
  <c r="Q125" i="4" s="1"/>
  <c r="W125" i="4" s="1"/>
  <c r="T125" i="4"/>
  <c r="AP24" i="4"/>
  <c r="AH125" i="4"/>
  <c r="AG125" i="4"/>
  <c r="X145" i="4"/>
  <c r="S145" i="4"/>
  <c r="L145" i="4"/>
  <c r="M145" i="4" s="1"/>
  <c r="O145" i="4" s="1"/>
  <c r="P145" i="4" s="1"/>
  <c r="Q145" i="4" s="1"/>
  <c r="W145" i="4" s="1"/>
  <c r="T145" i="4"/>
  <c r="AQ24" i="4"/>
  <c r="AH145" i="4"/>
  <c r="AG145" i="4"/>
  <c r="S185" i="4"/>
  <c r="X185" i="4"/>
  <c r="AS24" i="4"/>
  <c r="AH185" i="4"/>
  <c r="AG185" i="4"/>
  <c r="L185" i="4"/>
  <c r="M185" i="4" s="1"/>
  <c r="O185" i="4" s="1"/>
  <c r="P185" i="4" s="1"/>
  <c r="Q185" i="4" s="1"/>
  <c r="W185" i="4" s="1"/>
  <c r="T185" i="4"/>
  <c r="AS23" i="4"/>
  <c r="AH184" i="4"/>
  <c r="AG184" i="4"/>
  <c r="X184" i="4"/>
  <c r="S184" i="4"/>
  <c r="L184" i="4"/>
  <c r="M184" i="4" s="1"/>
  <c r="O184" i="4" s="1"/>
  <c r="P184" i="4" s="1"/>
  <c r="Q184" i="4" s="1"/>
  <c r="W184" i="4" s="1"/>
  <c r="T184" i="4"/>
  <c r="X224" i="4"/>
  <c r="S224" i="4"/>
  <c r="AU23" i="4"/>
  <c r="AH224" i="4"/>
  <c r="AG224" i="4"/>
  <c r="L224" i="4"/>
  <c r="M224" i="4" s="1"/>
  <c r="O224" i="4" s="1"/>
  <c r="P224" i="4" s="1"/>
  <c r="Q224" i="4" s="1"/>
  <c r="W224" i="4" s="1"/>
  <c r="T224" i="4"/>
  <c r="X164" i="4"/>
  <c r="S164" i="4"/>
  <c r="AH164" i="4"/>
  <c r="AR23" i="4"/>
  <c r="AG164" i="4"/>
  <c r="L164" i="4"/>
  <c r="M164" i="4" s="1"/>
  <c r="O164" i="4" s="1"/>
  <c r="P164" i="4" s="1"/>
  <c r="Q164" i="4" s="1"/>
  <c r="W164" i="4" s="1"/>
  <c r="T164" i="4"/>
  <c r="X24" i="4"/>
  <c r="S24" i="4"/>
  <c r="AK23" i="4"/>
  <c r="AH24" i="4"/>
  <c r="AG24" i="4"/>
  <c r="L24" i="4"/>
  <c r="M24" i="4" s="1"/>
  <c r="O24" i="4" s="1"/>
  <c r="P24" i="4" s="1"/>
  <c r="Q24" i="4" s="1"/>
  <c r="W24" i="4" s="1"/>
  <c r="T24" i="4"/>
  <c r="X44" i="4"/>
  <c r="S44" i="4"/>
  <c r="L44" i="4"/>
  <c r="M44" i="4" s="1"/>
  <c r="O44" i="4" s="1"/>
  <c r="P44" i="4" s="1"/>
  <c r="Q44" i="4" s="1"/>
  <c r="W44" i="4" s="1"/>
  <c r="T44" i="4"/>
  <c r="AL23" i="4"/>
  <c r="AH44" i="4"/>
  <c r="AG44" i="4"/>
  <c r="X64" i="4"/>
  <c r="S64" i="4"/>
  <c r="AM23" i="4"/>
  <c r="AH64" i="4"/>
  <c r="AG64" i="4"/>
  <c r="L64" i="4"/>
  <c r="M64" i="4" s="1"/>
  <c r="O64" i="4" s="1"/>
  <c r="P64" i="4" s="1"/>
  <c r="Q64" i="4" s="1"/>
  <c r="W64" i="4" s="1"/>
  <c r="T64" i="4"/>
  <c r="X84" i="4"/>
  <c r="S84" i="4"/>
  <c r="AN23" i="4"/>
  <c r="AH84" i="4"/>
  <c r="AG84" i="4"/>
  <c r="L84" i="4"/>
  <c r="M84" i="4" s="1"/>
  <c r="O84" i="4" s="1"/>
  <c r="P84" i="4" s="1"/>
  <c r="Q84" i="4" s="1"/>
  <c r="W84" i="4" s="1"/>
  <c r="T84" i="4"/>
  <c r="X104" i="4"/>
  <c r="S104" i="4"/>
  <c r="AO23" i="4"/>
  <c r="AH104" i="4"/>
  <c r="AG104" i="4"/>
  <c r="L104" i="4"/>
  <c r="M104" i="4" s="1"/>
  <c r="O104" i="4" s="1"/>
  <c r="P104" i="4" s="1"/>
  <c r="Q104" i="4" s="1"/>
  <c r="W104" i="4" s="1"/>
  <c r="T104" i="4"/>
  <c r="X124" i="4"/>
  <c r="S124" i="4"/>
  <c r="AP23" i="4"/>
  <c r="AH124" i="4"/>
  <c r="AG124" i="4"/>
  <c r="L124" i="4"/>
  <c r="M124" i="4" s="1"/>
  <c r="O124" i="4" s="1"/>
  <c r="P124" i="4" s="1"/>
  <c r="Q124" i="4" s="1"/>
  <c r="W124" i="4" s="1"/>
  <c r="T124" i="4"/>
  <c r="X144" i="4"/>
  <c r="S144" i="4"/>
  <c r="L144" i="4"/>
  <c r="M144" i="4" s="1"/>
  <c r="O144" i="4" s="1"/>
  <c r="P144" i="4" s="1"/>
  <c r="Q144" i="4" s="1"/>
  <c r="W144" i="4" s="1"/>
  <c r="T144" i="4"/>
  <c r="AQ23" i="4"/>
  <c r="AH144" i="4"/>
  <c r="AG144" i="4"/>
  <c r="X204" i="4"/>
  <c r="S204" i="4"/>
  <c r="L204" i="4"/>
  <c r="M204" i="4" s="1"/>
  <c r="O204" i="4" s="1"/>
  <c r="P204" i="4" s="1"/>
  <c r="Q204" i="4" s="1"/>
  <c r="W204" i="4" s="1"/>
  <c r="T204" i="4"/>
  <c r="AT23" i="4"/>
  <c r="AH204" i="4"/>
  <c r="AG204" i="4"/>
  <c r="AR22" i="4"/>
  <c r="AH163" i="4"/>
  <c r="AG163" i="4"/>
  <c r="X163" i="4"/>
  <c r="S163" i="4"/>
  <c r="L163" i="4"/>
  <c r="M163" i="4" s="1"/>
  <c r="O163" i="4" s="1"/>
  <c r="P163" i="4" s="1"/>
  <c r="Q163" i="4" s="1"/>
  <c r="W163" i="4" s="1"/>
  <c r="T163" i="4"/>
  <c r="X223" i="4"/>
  <c r="S223" i="4"/>
  <c r="AU22" i="4"/>
  <c r="AH223" i="4"/>
  <c r="AG223" i="4"/>
  <c r="L223" i="4"/>
  <c r="M223" i="4" s="1"/>
  <c r="O223" i="4" s="1"/>
  <c r="P223" i="4" s="1"/>
  <c r="Q223" i="4" s="1"/>
  <c r="W223" i="4" s="1"/>
  <c r="T223" i="4"/>
  <c r="X23" i="4"/>
  <c r="S23" i="4"/>
  <c r="AK22" i="4"/>
  <c r="AH23" i="4"/>
  <c r="AG23" i="4"/>
  <c r="L23" i="4"/>
  <c r="M23" i="4" s="1"/>
  <c r="O23" i="4" s="1"/>
  <c r="P23" i="4" s="1"/>
  <c r="Q23" i="4" s="1"/>
  <c r="W23" i="4" s="1"/>
  <c r="T23" i="4"/>
  <c r="X43" i="4"/>
  <c r="S43" i="4"/>
  <c r="L43" i="4"/>
  <c r="M43" i="4" s="1"/>
  <c r="O43" i="4" s="1"/>
  <c r="P43" i="4" s="1"/>
  <c r="Q43" i="4" s="1"/>
  <c r="W43" i="4" s="1"/>
  <c r="T43" i="4"/>
  <c r="AL22" i="4"/>
  <c r="AH43" i="4"/>
  <c r="AG43" i="4"/>
  <c r="X63" i="4"/>
  <c r="S63" i="4"/>
  <c r="AM22" i="4"/>
  <c r="AH63" i="4"/>
  <c r="AG63" i="4"/>
  <c r="L63" i="4"/>
  <c r="M63" i="4" s="1"/>
  <c r="O63" i="4" s="1"/>
  <c r="P63" i="4" s="1"/>
  <c r="Q63" i="4" s="1"/>
  <c r="W63" i="4" s="1"/>
  <c r="T63" i="4"/>
  <c r="AN22" i="4"/>
  <c r="AH83" i="4"/>
  <c r="AG83" i="4"/>
  <c r="X83" i="4"/>
  <c r="S83" i="4"/>
  <c r="L83" i="4"/>
  <c r="M83" i="4" s="1"/>
  <c r="O83" i="4" s="1"/>
  <c r="P83" i="4" s="1"/>
  <c r="Q83" i="4" s="1"/>
  <c r="W83" i="4" s="1"/>
  <c r="T83" i="4"/>
  <c r="AO22" i="4"/>
  <c r="AH103" i="4"/>
  <c r="AG103" i="4"/>
  <c r="X103" i="4"/>
  <c r="S103" i="4"/>
  <c r="L103" i="4"/>
  <c r="M103" i="4" s="1"/>
  <c r="O103" i="4" s="1"/>
  <c r="P103" i="4" s="1"/>
  <c r="Q103" i="4" s="1"/>
  <c r="W103" i="4" s="1"/>
  <c r="T103" i="4"/>
  <c r="AP22" i="4"/>
  <c r="AH123" i="4"/>
  <c r="AG123" i="4"/>
  <c r="X123" i="4"/>
  <c r="S123" i="4"/>
  <c r="L123" i="4"/>
  <c r="M123" i="4" s="1"/>
  <c r="O123" i="4" s="1"/>
  <c r="P123" i="4" s="1"/>
  <c r="Q123" i="4" s="1"/>
  <c r="W123" i="4" s="1"/>
  <c r="T123" i="4"/>
  <c r="X143" i="4"/>
  <c r="S143" i="4"/>
  <c r="L143" i="4"/>
  <c r="M143" i="4" s="1"/>
  <c r="O143" i="4" s="1"/>
  <c r="P143" i="4" s="1"/>
  <c r="Q143" i="4" s="1"/>
  <c r="W143" i="4" s="1"/>
  <c r="T143" i="4"/>
  <c r="AQ22" i="4"/>
  <c r="AH143" i="4"/>
  <c r="AG143" i="4"/>
  <c r="X203" i="4"/>
  <c r="S203" i="4"/>
  <c r="L203" i="4"/>
  <c r="M203" i="4" s="1"/>
  <c r="O203" i="4" s="1"/>
  <c r="P203" i="4" s="1"/>
  <c r="Q203" i="4" s="1"/>
  <c r="W203" i="4" s="1"/>
  <c r="T203" i="4"/>
  <c r="AT22" i="4"/>
  <c r="AH203" i="4"/>
  <c r="AG203" i="4"/>
  <c r="S183" i="4"/>
  <c r="X183" i="4"/>
  <c r="AS22" i="4"/>
  <c r="AH183" i="4"/>
  <c r="AG183" i="4"/>
  <c r="L183" i="4"/>
  <c r="M183" i="4" s="1"/>
  <c r="O183" i="4" s="1"/>
  <c r="P183" i="4" s="1"/>
  <c r="Q183" i="4" s="1"/>
  <c r="W183" i="4" s="1"/>
  <c r="T183" i="4"/>
  <c r="X22" i="4"/>
  <c r="S22" i="4"/>
  <c r="AK21" i="4"/>
  <c r="AH22" i="4"/>
  <c r="AG22" i="4"/>
  <c r="L22" i="4"/>
  <c r="M22" i="4" s="1"/>
  <c r="O22" i="4" s="1"/>
  <c r="P22" i="4" s="1"/>
  <c r="Q22" i="4" s="1"/>
  <c r="W22" i="4" s="1"/>
  <c r="T22" i="4"/>
  <c r="X42" i="4"/>
  <c r="S42" i="4"/>
  <c r="L42" i="4"/>
  <c r="M42" i="4" s="1"/>
  <c r="O42" i="4" s="1"/>
  <c r="P42" i="4" s="1"/>
  <c r="Q42" i="4" s="1"/>
  <c r="W42" i="4" s="1"/>
  <c r="T42" i="4"/>
  <c r="AL21" i="4"/>
  <c r="AH42" i="4"/>
  <c r="AG42" i="4"/>
  <c r="AM21" i="4"/>
  <c r="AH62" i="4"/>
  <c r="AG62" i="4"/>
  <c r="X62" i="4"/>
  <c r="S62" i="4"/>
  <c r="L62" i="4"/>
  <c r="M62" i="4" s="1"/>
  <c r="O62" i="4" s="1"/>
  <c r="P62" i="4" s="1"/>
  <c r="Q62" i="4" s="1"/>
  <c r="W62" i="4" s="1"/>
  <c r="T62" i="4"/>
  <c r="X82" i="4"/>
  <c r="S82" i="4"/>
  <c r="AN21" i="4"/>
  <c r="AH82" i="4"/>
  <c r="AG82" i="4"/>
  <c r="L82" i="4"/>
  <c r="M82" i="4" s="1"/>
  <c r="O82" i="4" s="1"/>
  <c r="P82" i="4" s="1"/>
  <c r="Q82" i="4" s="1"/>
  <c r="W82" i="4" s="1"/>
  <c r="T82" i="4"/>
  <c r="X102" i="4"/>
  <c r="S102" i="4"/>
  <c r="AO21" i="4"/>
  <c r="AH102" i="4"/>
  <c r="AG102" i="4"/>
  <c r="L102" i="4"/>
  <c r="M102" i="4" s="1"/>
  <c r="O102" i="4" s="1"/>
  <c r="P102" i="4" s="1"/>
  <c r="Q102" i="4" s="1"/>
  <c r="W102" i="4" s="1"/>
  <c r="T102" i="4"/>
  <c r="X122" i="4"/>
  <c r="S122" i="4"/>
  <c r="AP21" i="4"/>
  <c r="AH122" i="4"/>
  <c r="AG122" i="4"/>
  <c r="L122" i="4"/>
  <c r="M122" i="4" s="1"/>
  <c r="O122" i="4" s="1"/>
  <c r="P122" i="4" s="1"/>
  <c r="Q122" i="4" s="1"/>
  <c r="W122" i="4" s="1"/>
  <c r="T122" i="4"/>
  <c r="X142" i="4"/>
  <c r="S142" i="4"/>
  <c r="L142" i="4"/>
  <c r="M142" i="4" s="1"/>
  <c r="O142" i="4" s="1"/>
  <c r="P142" i="4" s="1"/>
  <c r="Q142" i="4" s="1"/>
  <c r="W142" i="4" s="1"/>
  <c r="T142" i="4"/>
  <c r="AQ21" i="4"/>
  <c r="AH142" i="4"/>
  <c r="AG142" i="4"/>
  <c r="X202" i="4"/>
  <c r="S202" i="4"/>
  <c r="L202" i="4"/>
  <c r="M202" i="4" s="1"/>
  <c r="O202" i="4" s="1"/>
  <c r="P202" i="4" s="1"/>
  <c r="Q202" i="4" s="1"/>
  <c r="W202" i="4" s="1"/>
  <c r="T202" i="4"/>
  <c r="AT21" i="4"/>
  <c r="AH202" i="4"/>
  <c r="AG202" i="4"/>
  <c r="AH182" i="4"/>
  <c r="AS21" i="4"/>
  <c r="AG182" i="4"/>
  <c r="X182" i="4"/>
  <c r="S182" i="4"/>
  <c r="L182" i="4"/>
  <c r="M182" i="4" s="1"/>
  <c r="O182" i="4" s="1"/>
  <c r="P182" i="4" s="1"/>
  <c r="Q182" i="4" s="1"/>
  <c r="W182" i="4" s="1"/>
  <c r="T182" i="4"/>
  <c r="X162" i="4"/>
  <c r="S162" i="4"/>
  <c r="AR21" i="4"/>
  <c r="AH162" i="4"/>
  <c r="AG162" i="4"/>
  <c r="L162" i="4"/>
  <c r="M162" i="4" s="1"/>
  <c r="O162" i="4" s="1"/>
  <c r="P162" i="4" s="1"/>
  <c r="Q162" i="4" s="1"/>
  <c r="W162" i="4" s="1"/>
  <c r="T162" i="4"/>
  <c r="X222" i="4"/>
  <c r="S222" i="4"/>
  <c r="AU21" i="4"/>
  <c r="AH222" i="4"/>
  <c r="AG222" i="4"/>
  <c r="L222" i="4"/>
  <c r="M222" i="4" s="1"/>
  <c r="O222" i="4" s="1"/>
  <c r="P222" i="4" s="1"/>
  <c r="Q222" i="4" s="1"/>
  <c r="W222" i="4" s="1"/>
  <c r="T222" i="4"/>
  <c r="X159" i="4"/>
  <c r="S159" i="4"/>
  <c r="AR18" i="4"/>
  <c r="AH159" i="4"/>
  <c r="AG159" i="4"/>
  <c r="L159" i="4"/>
  <c r="M159" i="4" s="1"/>
  <c r="O159" i="4" s="1"/>
  <c r="P159" i="4" s="1"/>
  <c r="Q159" i="4" s="1"/>
  <c r="W159" i="4" s="1"/>
  <c r="T159" i="4"/>
  <c r="U199" i="4"/>
  <c r="Y199" i="4" s="1"/>
  <c r="Z199" i="4" s="1"/>
  <c r="AF199" i="4" s="1"/>
  <c r="AI199" i="4" s="1"/>
  <c r="U139" i="4"/>
  <c r="Y139" i="4" s="1"/>
  <c r="Z139" i="4" s="1"/>
  <c r="AF139" i="4" s="1"/>
  <c r="AI139" i="4" s="1"/>
  <c r="U119" i="4"/>
  <c r="Y119" i="4" s="1"/>
  <c r="Z119" i="4" s="1"/>
  <c r="AF119" i="4" s="1"/>
  <c r="AI119" i="4" s="1"/>
  <c r="U99" i="4"/>
  <c r="Y99" i="4" s="1"/>
  <c r="Z99" i="4" s="1"/>
  <c r="AF99" i="4" s="1"/>
  <c r="AI99" i="4" s="1"/>
  <c r="U79" i="4"/>
  <c r="Y79" i="4" s="1"/>
  <c r="Z79" i="4" s="1"/>
  <c r="AF79" i="4" s="1"/>
  <c r="AI79" i="4" s="1"/>
  <c r="U59" i="4"/>
  <c r="Y59" i="4" s="1"/>
  <c r="Z59" i="4" s="1"/>
  <c r="AF59" i="4" s="1"/>
  <c r="AI59" i="4" s="1"/>
  <c r="U39" i="4"/>
  <c r="Y39" i="4" s="1"/>
  <c r="Z39" i="4" s="1"/>
  <c r="AF39" i="4" s="1"/>
  <c r="AI39" i="4" s="1"/>
  <c r="U19" i="4"/>
  <c r="Y19" i="4" s="1"/>
  <c r="Z19" i="4" s="1"/>
  <c r="AF19" i="4" s="1"/>
  <c r="AI19" i="4" s="1"/>
  <c r="U179" i="4"/>
  <c r="Y179" i="4" s="1"/>
  <c r="Z179" i="4" s="1"/>
  <c r="AF179" i="4" s="1"/>
  <c r="AI179" i="4" s="1"/>
  <c r="AR16" i="4"/>
  <c r="AH157" i="4"/>
  <c r="AG157" i="4"/>
  <c r="X157" i="4"/>
  <c r="S157" i="4"/>
  <c r="L157" i="4"/>
  <c r="M157" i="4" s="1"/>
  <c r="O157" i="4" s="1"/>
  <c r="P157" i="4" s="1"/>
  <c r="Q157" i="4" s="1"/>
  <c r="W157" i="4" s="1"/>
  <c r="T157" i="4"/>
  <c r="AH217" i="4"/>
  <c r="AU16" i="4"/>
  <c r="AG217" i="4"/>
  <c r="X217" i="4"/>
  <c r="S217" i="4"/>
  <c r="L217" i="4"/>
  <c r="M217" i="4" s="1"/>
  <c r="O217" i="4" s="1"/>
  <c r="P217" i="4" s="1"/>
  <c r="Q217" i="4" s="1"/>
  <c r="W217" i="4" s="1"/>
  <c r="T217" i="4"/>
  <c r="AG177" i="4"/>
  <c r="AS16" i="4"/>
  <c r="AH177" i="4"/>
  <c r="S177" i="4"/>
  <c r="X177" i="4"/>
  <c r="L177" i="4"/>
  <c r="M177" i="4" s="1"/>
  <c r="O177" i="4" s="1"/>
  <c r="P177" i="4" s="1"/>
  <c r="Q177" i="4" s="1"/>
  <c r="W177" i="4" s="1"/>
  <c r="T177" i="4"/>
  <c r="X17" i="4"/>
  <c r="S17" i="4"/>
  <c r="AK16" i="4"/>
  <c r="AH17" i="4"/>
  <c r="AG17" i="4"/>
  <c r="L17" i="4"/>
  <c r="M17" i="4" s="1"/>
  <c r="O17" i="4" s="1"/>
  <c r="P17" i="4" s="1"/>
  <c r="Q17" i="4" s="1"/>
  <c r="W17" i="4" s="1"/>
  <c r="T17" i="4"/>
  <c r="X37" i="4"/>
  <c r="S37" i="4"/>
  <c r="AL16" i="4"/>
  <c r="AH37" i="4"/>
  <c r="AG37" i="4"/>
  <c r="L37" i="4"/>
  <c r="M37" i="4" s="1"/>
  <c r="O37" i="4" s="1"/>
  <c r="P37" i="4" s="1"/>
  <c r="Q37" i="4" s="1"/>
  <c r="W37" i="4" s="1"/>
  <c r="T37" i="4"/>
  <c r="X77" i="4"/>
  <c r="S77" i="4"/>
  <c r="AN16" i="4"/>
  <c r="AH77" i="4"/>
  <c r="AG77" i="4"/>
  <c r="L77" i="4"/>
  <c r="M77" i="4" s="1"/>
  <c r="O77" i="4" s="1"/>
  <c r="P77" i="4" s="1"/>
  <c r="Q77" i="4" s="1"/>
  <c r="W77" i="4" s="1"/>
  <c r="T77" i="4"/>
  <c r="X97" i="4"/>
  <c r="S97" i="4"/>
  <c r="L97" i="4"/>
  <c r="M97" i="4" s="1"/>
  <c r="O97" i="4" s="1"/>
  <c r="P97" i="4" s="1"/>
  <c r="Q97" i="4" s="1"/>
  <c r="W97" i="4" s="1"/>
  <c r="T97" i="4"/>
  <c r="AO16" i="4"/>
  <c r="AH97" i="4"/>
  <c r="AG97" i="4"/>
  <c r="AM16" i="4"/>
  <c r="AH57" i="4"/>
  <c r="AG57" i="4"/>
  <c r="S57" i="4"/>
  <c r="X57" i="4"/>
  <c r="L57" i="4"/>
  <c r="M57" i="4" s="1"/>
  <c r="O57" i="4" s="1"/>
  <c r="P57" i="4" s="1"/>
  <c r="Q57" i="4" s="1"/>
  <c r="W57" i="4" s="1"/>
  <c r="T57" i="4"/>
  <c r="AP16" i="4"/>
  <c r="AH117" i="4"/>
  <c r="AG117" i="4"/>
  <c r="X117" i="4"/>
  <c r="S117" i="4"/>
  <c r="L117" i="4"/>
  <c r="M117" i="4" s="1"/>
  <c r="O117" i="4" s="1"/>
  <c r="P117" i="4" s="1"/>
  <c r="Q117" i="4" s="1"/>
  <c r="W117" i="4" s="1"/>
  <c r="T117" i="4"/>
  <c r="X137" i="4"/>
  <c r="S137" i="4"/>
  <c r="L137" i="4"/>
  <c r="M137" i="4" s="1"/>
  <c r="O137" i="4" s="1"/>
  <c r="P137" i="4" s="1"/>
  <c r="Q137" i="4" s="1"/>
  <c r="W137" i="4" s="1"/>
  <c r="T137" i="4"/>
  <c r="AQ16" i="4"/>
  <c r="AH137" i="4"/>
  <c r="AG137" i="4"/>
  <c r="X197" i="4"/>
  <c r="S197" i="4"/>
  <c r="L197" i="4"/>
  <c r="M197" i="4" s="1"/>
  <c r="O197" i="4" s="1"/>
  <c r="P197" i="4" s="1"/>
  <c r="Q197" i="4" s="1"/>
  <c r="W197" i="4" s="1"/>
  <c r="T197" i="4"/>
  <c r="AT16" i="4"/>
  <c r="AH197" i="4"/>
  <c r="AG197" i="4"/>
  <c r="X173" i="4"/>
  <c r="S173" i="4"/>
  <c r="AH173" i="4"/>
  <c r="L173" i="4"/>
  <c r="M173" i="4" s="1"/>
  <c r="O173" i="4" s="1"/>
  <c r="P173" i="4" s="1"/>
  <c r="Q173" i="4" s="1"/>
  <c r="W173" i="4" s="1"/>
  <c r="T173" i="4"/>
  <c r="AU12" i="4"/>
  <c r="AH213" i="4"/>
  <c r="AG213" i="4"/>
  <c r="X213" i="4"/>
  <c r="S213" i="4"/>
  <c r="L213" i="4"/>
  <c r="M213" i="4" s="1"/>
  <c r="O213" i="4" s="1"/>
  <c r="P213" i="4" s="1"/>
  <c r="Q213" i="4" s="1"/>
  <c r="W213" i="4" s="1"/>
  <c r="T213" i="4"/>
  <c r="X13" i="4"/>
  <c r="S13" i="4"/>
  <c r="AK12" i="4"/>
  <c r="AH13" i="4"/>
  <c r="AG13" i="4"/>
  <c r="L13" i="4"/>
  <c r="M13" i="4" s="1"/>
  <c r="O13" i="4" s="1"/>
  <c r="P13" i="4" s="1"/>
  <c r="Q13" i="4" s="1"/>
  <c r="W13" i="4" s="1"/>
  <c r="T13" i="4"/>
  <c r="X33" i="4"/>
  <c r="S33" i="4"/>
  <c r="AL12" i="4"/>
  <c r="AH33" i="4"/>
  <c r="AG33" i="4"/>
  <c r="L33" i="4"/>
  <c r="M33" i="4" s="1"/>
  <c r="O33" i="4" s="1"/>
  <c r="P33" i="4" s="1"/>
  <c r="Q33" i="4" s="1"/>
  <c r="W33" i="4" s="1"/>
  <c r="T33" i="4"/>
  <c r="AN12" i="4"/>
  <c r="AH73" i="4"/>
  <c r="AG73" i="4"/>
  <c r="X73" i="4"/>
  <c r="S73" i="4"/>
  <c r="L73" i="4"/>
  <c r="M73" i="4" s="1"/>
  <c r="O73" i="4" s="1"/>
  <c r="P73" i="4" s="1"/>
  <c r="Q73" i="4" s="1"/>
  <c r="W73" i="4" s="1"/>
  <c r="T73" i="4"/>
  <c r="X93" i="4"/>
  <c r="S93" i="4"/>
  <c r="L93" i="4"/>
  <c r="M93" i="4" s="1"/>
  <c r="O93" i="4" s="1"/>
  <c r="P93" i="4" s="1"/>
  <c r="Q93" i="4" s="1"/>
  <c r="W93" i="4" s="1"/>
  <c r="T93" i="4"/>
  <c r="AO12" i="4"/>
  <c r="AH93" i="4"/>
  <c r="AG93" i="4"/>
  <c r="AP12" i="4"/>
  <c r="AH113" i="4"/>
  <c r="AG113" i="4"/>
  <c r="X113" i="4"/>
  <c r="S113" i="4"/>
  <c r="L113" i="4"/>
  <c r="M113" i="4" s="1"/>
  <c r="O113" i="4" s="1"/>
  <c r="P113" i="4" s="1"/>
  <c r="Q113" i="4" s="1"/>
  <c r="W113" i="4" s="1"/>
  <c r="T113" i="4"/>
  <c r="X133" i="4"/>
  <c r="S133" i="4"/>
  <c r="L133" i="4"/>
  <c r="M133" i="4" s="1"/>
  <c r="O133" i="4" s="1"/>
  <c r="P133" i="4" s="1"/>
  <c r="Q133" i="4" s="1"/>
  <c r="W133" i="4" s="1"/>
  <c r="T133" i="4"/>
  <c r="AH133" i="4"/>
  <c r="L153" i="4"/>
  <c r="M153" i="4" s="1"/>
  <c r="O153" i="4" s="1"/>
  <c r="P153" i="4" s="1"/>
  <c r="Q153" i="4" s="1"/>
  <c r="W153" i="4" s="1"/>
  <c r="T153" i="4"/>
  <c r="AR12" i="4"/>
  <c r="AH153" i="4"/>
  <c r="AG153" i="4"/>
  <c r="X153" i="4"/>
  <c r="S153" i="4"/>
  <c r="X53" i="4"/>
  <c r="S53" i="4"/>
  <c r="AM12" i="4"/>
  <c r="AG53" i="4"/>
  <c r="AH53" i="4"/>
  <c r="L53" i="4"/>
  <c r="M53" i="4" s="1"/>
  <c r="O53" i="4" s="1"/>
  <c r="P53" i="4" s="1"/>
  <c r="Q53" i="4" s="1"/>
  <c r="W53" i="4" s="1"/>
  <c r="T53" i="4"/>
  <c r="AT12" i="4"/>
  <c r="AH193" i="4"/>
  <c r="AG193" i="4"/>
  <c r="X193" i="4"/>
  <c r="S193" i="4"/>
  <c r="L193" i="4"/>
  <c r="M193" i="4" s="1"/>
  <c r="O193" i="4" s="1"/>
  <c r="P193" i="4" s="1"/>
  <c r="Q193" i="4" s="1"/>
  <c r="W193" i="4" s="1"/>
  <c r="T193" i="4"/>
  <c r="U192" i="4"/>
  <c r="Y192" i="4" s="1"/>
  <c r="Z192" i="4" s="1"/>
  <c r="AF192" i="4" s="1"/>
  <c r="AI192" i="4" s="1"/>
  <c r="U172" i="4"/>
  <c r="Y172" i="4" s="1"/>
  <c r="Z172" i="4" s="1"/>
  <c r="AF172" i="4" s="1"/>
  <c r="AI172" i="4" s="1"/>
  <c r="U152" i="4"/>
  <c r="Y152" i="4" s="1"/>
  <c r="Z152" i="4" s="1"/>
  <c r="AF152" i="4" s="1"/>
  <c r="AI152" i="4" s="1"/>
  <c r="U132" i="4"/>
  <c r="Y132" i="4" s="1"/>
  <c r="Z132" i="4" s="1"/>
  <c r="AF132" i="4" s="1"/>
  <c r="AI132" i="4" s="1"/>
  <c r="U191" i="4"/>
  <c r="Y191" i="4" s="1"/>
  <c r="Z191" i="4" s="1"/>
  <c r="AF191" i="4" s="1"/>
  <c r="AI191" i="4" s="1"/>
  <c r="U211" i="4"/>
  <c r="Y211" i="4" s="1"/>
  <c r="Z211" i="4" s="1"/>
  <c r="AF211" i="4" s="1"/>
  <c r="AI211" i="4" s="1"/>
  <c r="U171" i="4"/>
  <c r="Y171" i="4" s="1"/>
  <c r="Z171" i="4" s="1"/>
  <c r="AF171" i="4" s="1"/>
  <c r="AI171" i="4" s="1"/>
  <c r="U51" i="4"/>
  <c r="Y51" i="4" s="1"/>
  <c r="Z51" i="4" s="1"/>
  <c r="AF51" i="4" s="1"/>
  <c r="AI51" i="4" s="1"/>
  <c r="U151" i="4"/>
  <c r="Y151" i="4" s="1"/>
  <c r="Z151" i="4" s="1"/>
  <c r="AF151" i="4" s="1"/>
  <c r="AI151" i="4" s="1"/>
  <c r="U131" i="4"/>
  <c r="Y131" i="4" s="1"/>
  <c r="Z131" i="4" s="1"/>
  <c r="AF131" i="4" s="1"/>
  <c r="AI131" i="4" s="1"/>
  <c r="U111" i="4"/>
  <c r="Y111" i="4" s="1"/>
  <c r="Z111" i="4" s="1"/>
  <c r="AF111" i="4" s="1"/>
  <c r="AI111" i="4" s="1"/>
  <c r="S168" i="4"/>
  <c r="X168" i="4"/>
  <c r="AS7" i="4"/>
  <c r="AH168" i="4"/>
  <c r="AG168" i="4"/>
  <c r="L168" i="4"/>
  <c r="M168" i="4" s="1"/>
  <c r="O168" i="4" s="1"/>
  <c r="P168" i="4" s="1"/>
  <c r="Q168" i="4" s="1"/>
  <c r="W168" i="4" s="1"/>
  <c r="T168" i="4"/>
  <c r="S188" i="4"/>
  <c r="X188" i="4"/>
  <c r="AT7" i="4"/>
  <c r="AH188" i="4"/>
  <c r="AG188" i="4"/>
  <c r="L188" i="4"/>
  <c r="M188" i="4" s="1"/>
  <c r="O188" i="4" s="1"/>
  <c r="P188" i="4" s="1"/>
  <c r="Q188" i="4" s="1"/>
  <c r="W188" i="4" s="1"/>
  <c r="T188" i="4"/>
  <c r="AU7" i="4"/>
  <c r="AH208" i="4"/>
  <c r="AG208" i="4"/>
  <c r="S208" i="4"/>
  <c r="X208" i="4"/>
  <c r="L208" i="4"/>
  <c r="M208" i="4" s="1"/>
  <c r="O208" i="4" s="1"/>
  <c r="P208" i="4" s="1"/>
  <c r="Q208" i="4" s="1"/>
  <c r="W208" i="4" s="1"/>
  <c r="T208" i="4"/>
  <c r="X8" i="4"/>
  <c r="S8" i="4"/>
  <c r="AK7" i="4"/>
  <c r="F4" i="4"/>
  <c r="AH8" i="4"/>
  <c r="AG8" i="4"/>
  <c r="L8" i="4"/>
  <c r="M8" i="4" s="1"/>
  <c r="O8" i="4" s="1"/>
  <c r="P8" i="4" s="1"/>
  <c r="Q8" i="4" s="1"/>
  <c r="W8" i="4" s="1"/>
  <c r="T8" i="4"/>
  <c r="X28" i="4"/>
  <c r="S28" i="4"/>
  <c r="L28" i="4"/>
  <c r="M28" i="4" s="1"/>
  <c r="O28" i="4" s="1"/>
  <c r="P28" i="4" s="1"/>
  <c r="Q28" i="4" s="1"/>
  <c r="W28" i="4" s="1"/>
  <c r="T28" i="4"/>
  <c r="AL7" i="4"/>
  <c r="AH28" i="4"/>
  <c r="AG28" i="4"/>
  <c r="X48" i="4"/>
  <c r="S48" i="4"/>
  <c r="L48" i="4"/>
  <c r="M48" i="4" s="1"/>
  <c r="O48" i="4" s="1"/>
  <c r="P48" i="4" s="1"/>
  <c r="Q48" i="4" s="1"/>
  <c r="W48" i="4" s="1"/>
  <c r="T48" i="4"/>
  <c r="AM7" i="4"/>
  <c r="AH48" i="4"/>
  <c r="AG48" i="4"/>
  <c r="AN7" i="4"/>
  <c r="AH68" i="4"/>
  <c r="AG68" i="4"/>
  <c r="X68" i="4"/>
  <c r="S68" i="4"/>
  <c r="L68" i="4"/>
  <c r="M68" i="4" s="1"/>
  <c r="O68" i="4" s="1"/>
  <c r="P68" i="4" s="1"/>
  <c r="Q68" i="4" s="1"/>
  <c r="W68" i="4" s="1"/>
  <c r="T68" i="4"/>
  <c r="X88" i="4"/>
  <c r="S88" i="4"/>
  <c r="L88" i="4"/>
  <c r="M88" i="4" s="1"/>
  <c r="O88" i="4" s="1"/>
  <c r="P88" i="4" s="1"/>
  <c r="Q88" i="4" s="1"/>
  <c r="W88" i="4" s="1"/>
  <c r="T88" i="4"/>
  <c r="AO7" i="4"/>
  <c r="AH88" i="4"/>
  <c r="AG88" i="4"/>
  <c r="AP7" i="4"/>
  <c r="AH108" i="4"/>
  <c r="AG108" i="4"/>
  <c r="X108" i="4"/>
  <c r="S108" i="4"/>
  <c r="L108" i="4"/>
  <c r="M108" i="4" s="1"/>
  <c r="O108" i="4" s="1"/>
  <c r="P108" i="4" s="1"/>
  <c r="Q108" i="4" s="1"/>
  <c r="W108" i="4" s="1"/>
  <c r="T108" i="4"/>
  <c r="X128" i="4"/>
  <c r="S128" i="4"/>
  <c r="L128" i="4"/>
  <c r="M128" i="4" s="1"/>
  <c r="O128" i="4" s="1"/>
  <c r="P128" i="4" s="1"/>
  <c r="Q128" i="4" s="1"/>
  <c r="W128" i="4" s="1"/>
  <c r="T128" i="4"/>
  <c r="AQ7" i="4"/>
  <c r="AH128" i="4"/>
  <c r="AG128" i="4"/>
  <c r="X148" i="4"/>
  <c r="S148" i="4"/>
  <c r="L148" i="4"/>
  <c r="M148" i="4" s="1"/>
  <c r="O148" i="4" s="1"/>
  <c r="P148" i="4" s="1"/>
  <c r="Q148" i="4" s="1"/>
  <c r="W148" i="4" s="1"/>
  <c r="T148" i="4"/>
  <c r="AR7" i="4"/>
  <c r="AH148" i="4"/>
  <c r="AG148" i="4"/>
  <c r="U226" i="4"/>
  <c r="Y226" i="4" s="1"/>
  <c r="Z226" i="4" s="1"/>
  <c r="AF226" i="4" s="1"/>
  <c r="AI226" i="4" s="1"/>
  <c r="U216" i="4"/>
  <c r="Y216" i="4"/>
  <c r="Z216" i="4" s="1"/>
  <c r="AF216" i="4" s="1"/>
  <c r="AI216" i="4" s="1"/>
  <c r="U156" i="4"/>
  <c r="Y156" i="4" s="1"/>
  <c r="Z156" i="4" s="1"/>
  <c r="AF156" i="4" s="1"/>
  <c r="U194" i="4"/>
  <c r="Y194" i="4" s="1"/>
  <c r="Z194" i="4" s="1"/>
  <c r="AF194" i="4" s="1"/>
  <c r="AI194" i="4" s="1"/>
  <c r="U174" i="4"/>
  <c r="Y174" i="4" s="1"/>
  <c r="Z174" i="4" s="1"/>
  <c r="AF174" i="4" s="1"/>
  <c r="U214" i="4"/>
  <c r="Y214" i="4" s="1"/>
  <c r="Z214" i="4" s="1"/>
  <c r="AF214" i="4" s="1"/>
  <c r="AI214" i="4" s="1"/>
  <c r="U69" i="4"/>
  <c r="Y69" i="4" s="1"/>
  <c r="Z69" i="4" s="1"/>
  <c r="AF69" i="4" s="1"/>
  <c r="AI69" i="4" s="1"/>
  <c r="U109" i="4"/>
  <c r="Y109" i="4" s="1"/>
  <c r="Z109" i="4" s="1"/>
  <c r="AF109" i="4" s="1"/>
  <c r="AI109" i="4" s="1"/>
  <c r="U189" i="4"/>
  <c r="Y189" i="4"/>
  <c r="Z189" i="4" s="1"/>
  <c r="AF189" i="4" s="1"/>
  <c r="AI189" i="4" s="1"/>
  <c r="U209" i="4"/>
  <c r="Y209" i="4" s="1"/>
  <c r="Z209" i="4" s="1"/>
  <c r="AF209" i="4" s="1"/>
  <c r="AI209" i="4" s="1"/>
  <c r="L219" i="4"/>
  <c r="M219" i="4" s="1"/>
  <c r="O219" i="4" s="1"/>
  <c r="P219" i="4" s="1"/>
  <c r="Q219" i="4" s="1"/>
  <c r="W219" i="4" s="1"/>
  <c r="T219" i="4"/>
  <c r="AU18" i="4"/>
  <c r="AH219" i="4"/>
  <c r="AG219" i="4"/>
  <c r="X219" i="4"/>
  <c r="S219" i="4"/>
  <c r="L212" i="4"/>
  <c r="M212" i="4" s="1"/>
  <c r="O212" i="4" s="1"/>
  <c r="P212" i="4" s="1"/>
  <c r="Q212" i="4" s="1"/>
  <c r="W212" i="4" s="1"/>
  <c r="T212" i="4"/>
  <c r="S212" i="4"/>
  <c r="X212" i="4"/>
  <c r="AU11" i="4"/>
  <c r="AH212" i="4"/>
  <c r="AG212" i="4"/>
  <c r="L12" i="4"/>
  <c r="M12" i="4" s="1"/>
  <c r="O12" i="4" s="1"/>
  <c r="P12" i="4" s="1"/>
  <c r="Q12" i="4" s="1"/>
  <c r="W12" i="4" s="1"/>
  <c r="T12" i="4"/>
  <c r="AK11" i="4"/>
  <c r="AH12" i="4"/>
  <c r="AG12" i="4"/>
  <c r="X12" i="4"/>
  <c r="S12" i="4"/>
  <c r="AL11" i="4"/>
  <c r="AH32" i="4"/>
  <c r="AG32" i="4"/>
  <c r="L32" i="4"/>
  <c r="M32" i="4" s="1"/>
  <c r="O32" i="4" s="1"/>
  <c r="P32" i="4" s="1"/>
  <c r="Q32" i="4" s="1"/>
  <c r="W32" i="4" s="1"/>
  <c r="T32" i="4"/>
  <c r="X32" i="4"/>
  <c r="S32" i="4"/>
  <c r="L72" i="4"/>
  <c r="M72" i="4" s="1"/>
  <c r="O72" i="4" s="1"/>
  <c r="P72" i="4" s="1"/>
  <c r="Q72" i="4" s="1"/>
  <c r="W72" i="4" s="1"/>
  <c r="T72" i="4"/>
  <c r="AN11" i="4"/>
  <c r="AH72" i="4"/>
  <c r="AG72" i="4"/>
  <c r="X72" i="4"/>
  <c r="S72" i="4"/>
  <c r="AO11" i="4"/>
  <c r="AH92" i="4"/>
  <c r="AG92" i="4"/>
  <c r="L92" i="4"/>
  <c r="M92" i="4" s="1"/>
  <c r="O92" i="4" s="1"/>
  <c r="P92" i="4" s="1"/>
  <c r="Q92" i="4" s="1"/>
  <c r="W92" i="4" s="1"/>
  <c r="T92" i="4"/>
  <c r="X92" i="4"/>
  <c r="S92" i="4"/>
  <c r="L52" i="4"/>
  <c r="M52" i="4" s="1"/>
  <c r="O52" i="4" s="1"/>
  <c r="P52" i="4" s="1"/>
  <c r="Q52" i="4" s="1"/>
  <c r="W52" i="4" s="1"/>
  <c r="T52" i="4"/>
  <c r="AM11" i="4"/>
  <c r="AH52" i="4"/>
  <c r="AG52" i="4"/>
  <c r="S52" i="4"/>
  <c r="X52" i="4"/>
  <c r="L112" i="4"/>
  <c r="M112" i="4" s="1"/>
  <c r="O112" i="4" s="1"/>
  <c r="P112" i="4" s="1"/>
  <c r="Q112" i="4" s="1"/>
  <c r="W112" i="4" s="1"/>
  <c r="T112" i="4"/>
  <c r="AP11" i="4"/>
  <c r="AH112" i="4"/>
  <c r="AG112" i="4"/>
  <c r="X112" i="4"/>
  <c r="S112" i="4"/>
  <c r="L11" i="4"/>
  <c r="M11" i="4" s="1"/>
  <c r="O11" i="4" s="1"/>
  <c r="P11" i="4" s="1"/>
  <c r="Q11" i="4" s="1"/>
  <c r="W11" i="4" s="1"/>
  <c r="T11" i="4"/>
  <c r="AK10" i="4"/>
  <c r="AH11" i="4"/>
  <c r="AG11" i="4"/>
  <c r="X11" i="4"/>
  <c r="S11" i="4"/>
  <c r="L31" i="4"/>
  <c r="M31" i="4" s="1"/>
  <c r="O31" i="4" s="1"/>
  <c r="P31" i="4" s="1"/>
  <c r="Q31" i="4" s="1"/>
  <c r="W31" i="4" s="1"/>
  <c r="T31" i="4"/>
  <c r="AL10" i="4"/>
  <c r="AH31" i="4"/>
  <c r="AG31" i="4"/>
  <c r="X31" i="4"/>
  <c r="S31" i="4"/>
  <c r="L71" i="4"/>
  <c r="M71" i="4" s="1"/>
  <c r="O71" i="4" s="1"/>
  <c r="P71" i="4" s="1"/>
  <c r="Q71" i="4" s="1"/>
  <c r="W71" i="4" s="1"/>
  <c r="T71" i="4"/>
  <c r="X71" i="4"/>
  <c r="S71" i="4"/>
  <c r="AN10" i="4"/>
  <c r="AH71" i="4"/>
  <c r="AG71" i="4"/>
  <c r="AO10" i="4"/>
  <c r="AH91" i="4"/>
  <c r="AG91" i="4"/>
  <c r="L91" i="4"/>
  <c r="M91" i="4" s="1"/>
  <c r="O91" i="4" s="1"/>
  <c r="P91" i="4" s="1"/>
  <c r="Q91" i="4" s="1"/>
  <c r="W91" i="4" s="1"/>
  <c r="T91" i="4"/>
  <c r="X91" i="4"/>
  <c r="S91" i="4"/>
  <c r="AG176" i="4"/>
  <c r="AS15" i="4"/>
  <c r="AI176" i="4"/>
  <c r="AI16" i="4" l="1"/>
  <c r="AK15" i="4"/>
  <c r="AG16" i="4"/>
  <c r="AI15" i="4"/>
  <c r="AK14" i="4"/>
  <c r="AG15" i="4"/>
  <c r="AI14" i="4"/>
  <c r="AK13" i="4"/>
  <c r="AG14" i="4"/>
  <c r="G17" i="1"/>
  <c r="W7" i="4"/>
  <c r="U165" i="4"/>
  <c r="Y165" i="4" s="1"/>
  <c r="Z165" i="4" s="1"/>
  <c r="AF165" i="4" s="1"/>
  <c r="AI165" i="4" s="1"/>
  <c r="U225" i="4"/>
  <c r="Y225" i="4" s="1"/>
  <c r="Z225" i="4" s="1"/>
  <c r="AF225" i="4" s="1"/>
  <c r="AI225" i="4" s="1"/>
  <c r="U205" i="4"/>
  <c r="Y205" i="4"/>
  <c r="Z205" i="4" s="1"/>
  <c r="AF205" i="4" s="1"/>
  <c r="AI205" i="4" s="1"/>
  <c r="U25" i="4"/>
  <c r="Y25" i="4" s="1"/>
  <c r="Z25" i="4" s="1"/>
  <c r="AF25" i="4" s="1"/>
  <c r="AI25" i="4" s="1"/>
  <c r="U45" i="4"/>
  <c r="Y45" i="4" s="1"/>
  <c r="Z45" i="4" s="1"/>
  <c r="AF45" i="4" s="1"/>
  <c r="AI45" i="4" s="1"/>
  <c r="U65" i="4"/>
  <c r="Y65" i="4" s="1"/>
  <c r="Z65" i="4" s="1"/>
  <c r="AF65" i="4" s="1"/>
  <c r="AI65" i="4" s="1"/>
  <c r="U85" i="4"/>
  <c r="Y85" i="4" s="1"/>
  <c r="Z85" i="4" s="1"/>
  <c r="AF85" i="4" s="1"/>
  <c r="AI85" i="4" s="1"/>
  <c r="U105" i="4"/>
  <c r="Y105" i="4" s="1"/>
  <c r="Z105" i="4" s="1"/>
  <c r="AF105" i="4" s="1"/>
  <c r="AI105" i="4" s="1"/>
  <c r="U125" i="4"/>
  <c r="Y125" i="4" s="1"/>
  <c r="Z125" i="4" s="1"/>
  <c r="AF125" i="4" s="1"/>
  <c r="AI125" i="4" s="1"/>
  <c r="U145" i="4"/>
  <c r="Y145" i="4" s="1"/>
  <c r="Z145" i="4" s="1"/>
  <c r="AF145" i="4" s="1"/>
  <c r="AI145" i="4" s="1"/>
  <c r="U185" i="4"/>
  <c r="Y185" i="4" s="1"/>
  <c r="Z185" i="4" s="1"/>
  <c r="AF185" i="4" s="1"/>
  <c r="AI185" i="4" s="1"/>
  <c r="U184" i="4"/>
  <c r="Y184" i="4" s="1"/>
  <c r="Z184" i="4" s="1"/>
  <c r="AF184" i="4" s="1"/>
  <c r="AI184" i="4" s="1"/>
  <c r="U224" i="4"/>
  <c r="Y224" i="4" s="1"/>
  <c r="Z224" i="4" s="1"/>
  <c r="AF224" i="4" s="1"/>
  <c r="AI224" i="4" s="1"/>
  <c r="U164" i="4"/>
  <c r="Y164" i="4" s="1"/>
  <c r="Z164" i="4" s="1"/>
  <c r="AF164" i="4" s="1"/>
  <c r="AI164" i="4" s="1"/>
  <c r="U24" i="4"/>
  <c r="Y24" i="4" s="1"/>
  <c r="Z24" i="4" s="1"/>
  <c r="AF24" i="4" s="1"/>
  <c r="AI24" i="4" s="1"/>
  <c r="U44" i="4"/>
  <c r="Y44" i="4" s="1"/>
  <c r="Z44" i="4" s="1"/>
  <c r="AF44" i="4" s="1"/>
  <c r="AI44" i="4" s="1"/>
  <c r="U64" i="4"/>
  <c r="Y64" i="4" s="1"/>
  <c r="Z64" i="4" s="1"/>
  <c r="AF64" i="4" s="1"/>
  <c r="AI64" i="4" s="1"/>
  <c r="U84" i="4"/>
  <c r="Y84" i="4" s="1"/>
  <c r="Z84" i="4" s="1"/>
  <c r="AF84" i="4" s="1"/>
  <c r="AI84" i="4" s="1"/>
  <c r="U104" i="4"/>
  <c r="Y104" i="4" s="1"/>
  <c r="Z104" i="4" s="1"/>
  <c r="AF104" i="4" s="1"/>
  <c r="AI104" i="4" s="1"/>
  <c r="U124" i="4"/>
  <c r="Y124" i="4" s="1"/>
  <c r="Z124" i="4" s="1"/>
  <c r="AF124" i="4" s="1"/>
  <c r="AI124" i="4" s="1"/>
  <c r="U144" i="4"/>
  <c r="Y144" i="4" s="1"/>
  <c r="Z144" i="4" s="1"/>
  <c r="AF144" i="4" s="1"/>
  <c r="AI144" i="4" s="1"/>
  <c r="U204" i="4"/>
  <c r="Y204" i="4" s="1"/>
  <c r="Z204" i="4" s="1"/>
  <c r="AF204" i="4" s="1"/>
  <c r="AI204" i="4" s="1"/>
  <c r="U163" i="4"/>
  <c r="Y163" i="4"/>
  <c r="Z163" i="4" s="1"/>
  <c r="AF163" i="4" s="1"/>
  <c r="AI163" i="4" s="1"/>
  <c r="U223" i="4"/>
  <c r="Y223" i="4" s="1"/>
  <c r="Z223" i="4" s="1"/>
  <c r="AF223" i="4" s="1"/>
  <c r="AI223" i="4" s="1"/>
  <c r="U23" i="4"/>
  <c r="Y23" i="4" s="1"/>
  <c r="Z23" i="4" s="1"/>
  <c r="AF23" i="4" s="1"/>
  <c r="AI23" i="4" s="1"/>
  <c r="U43" i="4"/>
  <c r="Y43" i="4" s="1"/>
  <c r="Z43" i="4" s="1"/>
  <c r="AF43" i="4" s="1"/>
  <c r="AI43" i="4" s="1"/>
  <c r="U63" i="4"/>
  <c r="Y63" i="4" s="1"/>
  <c r="Z63" i="4" s="1"/>
  <c r="AF63" i="4" s="1"/>
  <c r="AI63" i="4" s="1"/>
  <c r="U83" i="4"/>
  <c r="Y83" i="4" s="1"/>
  <c r="Z83" i="4" s="1"/>
  <c r="AF83" i="4" s="1"/>
  <c r="AI83" i="4" s="1"/>
  <c r="U103" i="4"/>
  <c r="Y103" i="4" s="1"/>
  <c r="Z103" i="4" s="1"/>
  <c r="AF103" i="4" s="1"/>
  <c r="AI103" i="4" s="1"/>
  <c r="U123" i="4"/>
  <c r="Y123" i="4" s="1"/>
  <c r="Z123" i="4" s="1"/>
  <c r="AF123" i="4" s="1"/>
  <c r="AI123" i="4" s="1"/>
  <c r="U143" i="4"/>
  <c r="Y143" i="4" s="1"/>
  <c r="Z143" i="4" s="1"/>
  <c r="AF143" i="4" s="1"/>
  <c r="AI143" i="4" s="1"/>
  <c r="U203" i="4"/>
  <c r="Y203" i="4" s="1"/>
  <c r="Z203" i="4" s="1"/>
  <c r="AF203" i="4" s="1"/>
  <c r="AI203" i="4" s="1"/>
  <c r="U183" i="4"/>
  <c r="Y183" i="4"/>
  <c r="Z183" i="4" s="1"/>
  <c r="AF183" i="4" s="1"/>
  <c r="AI183" i="4" s="1"/>
  <c r="U22" i="4"/>
  <c r="Y22" i="4" s="1"/>
  <c r="Z22" i="4" s="1"/>
  <c r="AF22" i="4" s="1"/>
  <c r="AI22" i="4" s="1"/>
  <c r="U42" i="4"/>
  <c r="Y42" i="4" s="1"/>
  <c r="Z42" i="4" s="1"/>
  <c r="AF42" i="4" s="1"/>
  <c r="AI42" i="4" s="1"/>
  <c r="U62" i="4"/>
  <c r="Y62" i="4" s="1"/>
  <c r="Z62" i="4" s="1"/>
  <c r="AF62" i="4" s="1"/>
  <c r="AI62" i="4" s="1"/>
  <c r="U82" i="4"/>
  <c r="Y82" i="4" s="1"/>
  <c r="Z82" i="4" s="1"/>
  <c r="AF82" i="4" s="1"/>
  <c r="AI82" i="4" s="1"/>
  <c r="U102" i="4"/>
  <c r="Y102" i="4" s="1"/>
  <c r="Z102" i="4" s="1"/>
  <c r="AF102" i="4" s="1"/>
  <c r="AI102" i="4" s="1"/>
  <c r="U122" i="4"/>
  <c r="Y122" i="4" s="1"/>
  <c r="Z122" i="4" s="1"/>
  <c r="AF122" i="4" s="1"/>
  <c r="AI122" i="4" s="1"/>
  <c r="U142" i="4"/>
  <c r="Y142" i="4" s="1"/>
  <c r="Z142" i="4" s="1"/>
  <c r="AF142" i="4" s="1"/>
  <c r="AI142" i="4" s="1"/>
  <c r="U202" i="4"/>
  <c r="Y202" i="4" s="1"/>
  <c r="Z202" i="4" s="1"/>
  <c r="AF202" i="4" s="1"/>
  <c r="AI202" i="4" s="1"/>
  <c r="U182" i="4"/>
  <c r="Y182" i="4" s="1"/>
  <c r="Z182" i="4" s="1"/>
  <c r="AF182" i="4" s="1"/>
  <c r="AI182" i="4" s="1"/>
  <c r="U162" i="4"/>
  <c r="Y162" i="4" s="1"/>
  <c r="Z162" i="4" s="1"/>
  <c r="AF162" i="4" s="1"/>
  <c r="AI162" i="4" s="1"/>
  <c r="U222" i="4"/>
  <c r="Y222" i="4" s="1"/>
  <c r="Z222" i="4" s="1"/>
  <c r="AF222" i="4" s="1"/>
  <c r="AI222" i="4" s="1"/>
  <c r="U159" i="4"/>
  <c r="Y159" i="4"/>
  <c r="Z159" i="4" s="1"/>
  <c r="AF159" i="4" s="1"/>
  <c r="AI159" i="4" s="1"/>
  <c r="U157" i="4"/>
  <c r="Y157" i="4"/>
  <c r="Z157" i="4" s="1"/>
  <c r="AF157" i="4" s="1"/>
  <c r="AI157" i="4" s="1"/>
  <c r="U217" i="4"/>
  <c r="Y217" i="4" s="1"/>
  <c r="Z217" i="4" s="1"/>
  <c r="AF217" i="4" s="1"/>
  <c r="AI217" i="4" s="1"/>
  <c r="U177" i="4"/>
  <c r="Y177" i="4" s="1"/>
  <c r="Z177" i="4" s="1"/>
  <c r="AF177" i="4" s="1"/>
  <c r="AI177" i="4" s="1"/>
  <c r="U17" i="4"/>
  <c r="Y17" i="4" s="1"/>
  <c r="Z17" i="4" s="1"/>
  <c r="AF17" i="4" s="1"/>
  <c r="AI17" i="4" s="1"/>
  <c r="U37" i="4"/>
  <c r="Y37" i="4" s="1"/>
  <c r="Z37" i="4" s="1"/>
  <c r="AF37" i="4" s="1"/>
  <c r="AI37" i="4" s="1"/>
  <c r="U77" i="4"/>
  <c r="Y77" i="4" s="1"/>
  <c r="Z77" i="4" s="1"/>
  <c r="AF77" i="4" s="1"/>
  <c r="AI77" i="4" s="1"/>
  <c r="U97" i="4"/>
  <c r="Y97" i="4" s="1"/>
  <c r="Z97" i="4" s="1"/>
  <c r="AF97" i="4" s="1"/>
  <c r="AI97" i="4" s="1"/>
  <c r="U57" i="4"/>
  <c r="Y57" i="4"/>
  <c r="Z57" i="4" s="1"/>
  <c r="AF57" i="4" s="1"/>
  <c r="AI57" i="4" s="1"/>
  <c r="U117" i="4"/>
  <c r="Y117" i="4" s="1"/>
  <c r="Z117" i="4" s="1"/>
  <c r="AF117" i="4" s="1"/>
  <c r="AI117" i="4" s="1"/>
  <c r="U137" i="4"/>
  <c r="Y137" i="4" s="1"/>
  <c r="Z137" i="4" s="1"/>
  <c r="AF137" i="4" s="1"/>
  <c r="AI137" i="4" s="1"/>
  <c r="U197" i="4"/>
  <c r="Y197" i="4" s="1"/>
  <c r="Z197" i="4" s="1"/>
  <c r="AF197" i="4" s="1"/>
  <c r="AI197" i="4" s="1"/>
  <c r="U173" i="4"/>
  <c r="Y173" i="4" s="1"/>
  <c r="Z173" i="4" s="1"/>
  <c r="AF173" i="4" s="1"/>
  <c r="U213" i="4"/>
  <c r="Y213" i="4" s="1"/>
  <c r="Z213" i="4" s="1"/>
  <c r="AF213" i="4" s="1"/>
  <c r="AI213" i="4" s="1"/>
  <c r="U13" i="4"/>
  <c r="Y13" i="4" s="1"/>
  <c r="Z13" i="4" s="1"/>
  <c r="AF13" i="4" s="1"/>
  <c r="AI13" i="4" s="1"/>
  <c r="U33" i="4"/>
  <c r="Y33" i="4" s="1"/>
  <c r="Z33" i="4" s="1"/>
  <c r="AF33" i="4" s="1"/>
  <c r="AI33" i="4" s="1"/>
  <c r="U73" i="4"/>
  <c r="Y73" i="4" s="1"/>
  <c r="Z73" i="4" s="1"/>
  <c r="AF73" i="4" s="1"/>
  <c r="AI73" i="4" s="1"/>
  <c r="U93" i="4"/>
  <c r="Y93" i="4" s="1"/>
  <c r="Z93" i="4" s="1"/>
  <c r="AF93" i="4" s="1"/>
  <c r="AI93" i="4" s="1"/>
  <c r="U113" i="4"/>
  <c r="Y113" i="4" s="1"/>
  <c r="Z113" i="4" s="1"/>
  <c r="AF113" i="4" s="1"/>
  <c r="AI113" i="4" s="1"/>
  <c r="U133" i="4"/>
  <c r="Y133" i="4" s="1"/>
  <c r="Z133" i="4" s="1"/>
  <c r="AF133" i="4" s="1"/>
  <c r="U153" i="4"/>
  <c r="Y153" i="4" s="1"/>
  <c r="Z153" i="4" s="1"/>
  <c r="AF153" i="4" s="1"/>
  <c r="AI153" i="4" s="1"/>
  <c r="U53" i="4"/>
  <c r="Y53" i="4" s="1"/>
  <c r="Z53" i="4" s="1"/>
  <c r="AF53" i="4" s="1"/>
  <c r="AI53" i="4" s="1"/>
  <c r="U193" i="4"/>
  <c r="Y193" i="4" s="1"/>
  <c r="Z193" i="4" s="1"/>
  <c r="AF193" i="4" s="1"/>
  <c r="AI193" i="4" s="1"/>
  <c r="U168" i="4"/>
  <c r="Y168" i="4" s="1"/>
  <c r="Z168" i="4" s="1"/>
  <c r="AF168" i="4" s="1"/>
  <c r="AI168" i="4" s="1"/>
  <c r="U188" i="4"/>
  <c r="Y188" i="4" s="1"/>
  <c r="Z188" i="4" s="1"/>
  <c r="AF188" i="4" s="1"/>
  <c r="AI188" i="4" s="1"/>
  <c r="U208" i="4"/>
  <c r="Y208" i="4" s="1"/>
  <c r="Z208" i="4" s="1"/>
  <c r="AF208" i="4" s="1"/>
  <c r="AI208" i="4" s="1"/>
  <c r="A3" i="1"/>
  <c r="F4" i="1"/>
  <c r="E24" i="1"/>
  <c r="U8" i="4"/>
  <c r="Y8" i="4" s="1"/>
  <c r="Z8" i="4" s="1"/>
  <c r="AF8" i="4" s="1"/>
  <c r="AI8" i="4" s="1"/>
  <c r="U28" i="4"/>
  <c r="Y28" i="4" s="1"/>
  <c r="Z28" i="4" s="1"/>
  <c r="AF28" i="4" s="1"/>
  <c r="AI28" i="4" s="1"/>
  <c r="U48" i="4"/>
  <c r="Y48" i="4"/>
  <c r="Z48" i="4" s="1"/>
  <c r="AF48" i="4" s="1"/>
  <c r="AI48" i="4" s="1"/>
  <c r="U68" i="4"/>
  <c r="Y68" i="4" s="1"/>
  <c r="Z68" i="4" s="1"/>
  <c r="AF68" i="4" s="1"/>
  <c r="AI68" i="4" s="1"/>
  <c r="U88" i="4"/>
  <c r="Y88" i="4" s="1"/>
  <c r="Z88" i="4" s="1"/>
  <c r="AF88" i="4" s="1"/>
  <c r="AI88" i="4" s="1"/>
  <c r="U108" i="4"/>
  <c r="Y108" i="4" s="1"/>
  <c r="Z108" i="4" s="1"/>
  <c r="AF108" i="4" s="1"/>
  <c r="AI108" i="4" s="1"/>
  <c r="U128" i="4"/>
  <c r="Y128" i="4" s="1"/>
  <c r="Z128" i="4" s="1"/>
  <c r="AF128" i="4" s="1"/>
  <c r="AI128" i="4" s="1"/>
  <c r="U148" i="4"/>
  <c r="Y148" i="4" s="1"/>
  <c r="Z148" i="4" s="1"/>
  <c r="AF148" i="4" s="1"/>
  <c r="AI148" i="4" s="1"/>
  <c r="U219" i="4"/>
  <c r="Y219" i="4" s="1"/>
  <c r="Z219" i="4" s="1"/>
  <c r="AF219" i="4" s="1"/>
  <c r="AI219" i="4" s="1"/>
  <c r="U212" i="4"/>
  <c r="Y212" i="4"/>
  <c r="Z212" i="4" s="1"/>
  <c r="AF212" i="4" s="1"/>
  <c r="AI212" i="4" s="1"/>
  <c r="U12" i="4"/>
  <c r="Y12" i="4" s="1"/>
  <c r="Z12" i="4" s="1"/>
  <c r="AF12" i="4" s="1"/>
  <c r="AI12" i="4" s="1"/>
  <c r="U32" i="4"/>
  <c r="Y32" i="4" s="1"/>
  <c r="Z32" i="4" s="1"/>
  <c r="AF32" i="4" s="1"/>
  <c r="AI32" i="4" s="1"/>
  <c r="U72" i="4"/>
  <c r="Y72" i="4" s="1"/>
  <c r="Z72" i="4" s="1"/>
  <c r="AF72" i="4" s="1"/>
  <c r="AI72" i="4" s="1"/>
  <c r="U92" i="4"/>
  <c r="Y92" i="4" s="1"/>
  <c r="Z92" i="4" s="1"/>
  <c r="AF92" i="4" s="1"/>
  <c r="AI92" i="4" s="1"/>
  <c r="U52" i="4"/>
  <c r="Y52" i="4" s="1"/>
  <c r="Z52" i="4" s="1"/>
  <c r="AF52" i="4" s="1"/>
  <c r="AI52" i="4" s="1"/>
  <c r="U112" i="4"/>
  <c r="Y112" i="4" s="1"/>
  <c r="Z112" i="4" s="1"/>
  <c r="AF112" i="4" s="1"/>
  <c r="AI112" i="4" s="1"/>
  <c r="U11" i="4"/>
  <c r="Y11" i="4" s="1"/>
  <c r="Z11" i="4" s="1"/>
  <c r="AF11" i="4" s="1"/>
  <c r="AI11" i="4" s="1"/>
  <c r="U31" i="4"/>
  <c r="Y31" i="4" s="1"/>
  <c r="Z31" i="4" s="1"/>
  <c r="AF31" i="4" s="1"/>
  <c r="AI31" i="4" s="1"/>
  <c r="U71" i="4"/>
  <c r="Y71" i="4" s="1"/>
  <c r="Z71" i="4" s="1"/>
  <c r="AF71" i="4" s="1"/>
  <c r="AI71" i="4" s="1"/>
  <c r="U91" i="4"/>
  <c r="Y91" i="4" s="1"/>
  <c r="Z91" i="4" s="1"/>
  <c r="AF91" i="4" s="1"/>
  <c r="AI91" i="4" s="1"/>
  <c r="AQ15" i="4"/>
  <c r="AG136" i="4"/>
  <c r="AI136" i="4"/>
  <c r="AQ14" i="4"/>
  <c r="AG135" i="4"/>
  <c r="AI135" i="4"/>
  <c r="AQ13" i="4"/>
  <c r="AG134" i="4"/>
  <c r="AI134" i="4"/>
  <c r="AG156" i="4"/>
  <c r="AR15" i="4"/>
  <c r="AI156" i="4"/>
  <c r="AG174" i="4"/>
  <c r="AS13" i="4"/>
  <c r="AI174" i="4"/>
  <c r="Z7" i="4" l="1"/>
  <c r="C60" i="6"/>
  <c r="AG173" i="4"/>
  <c r="AI173" i="4"/>
  <c r="AS12" i="4"/>
  <c r="AG133" i="4"/>
  <c r="AQ12" i="4"/>
  <c r="AI133" i="4"/>
  <c r="G22" i="1" l="1"/>
  <c r="G21" i="1"/>
  <c r="AF7" i="4"/>
  <c r="B85" i="6"/>
  <c r="B84" i="6"/>
  <c r="B86" i="6"/>
  <c r="B4" i="4"/>
  <c r="D4" i="4" s="1"/>
  <c r="F23" i="1" s="1"/>
  <c r="B82" i="6"/>
  <c r="B83" i="6"/>
  <c r="N85" i="6" l="1"/>
  <c r="M85" i="6"/>
  <c r="L30" i="1" s="1"/>
  <c r="L85" i="6"/>
  <c r="K30" i="1" s="1"/>
  <c r="K85" i="6"/>
  <c r="J85" i="6"/>
  <c r="I85" i="6"/>
  <c r="H85" i="6"/>
  <c r="G85" i="6"/>
  <c r="J30" i="1" s="1"/>
  <c r="F85" i="6"/>
  <c r="I30" i="1" s="1"/>
  <c r="E85" i="6"/>
  <c r="H30" i="1" s="1"/>
  <c r="D85" i="6"/>
  <c r="G30" i="1" s="1"/>
  <c r="C85" i="6"/>
  <c r="F30" i="1" s="1"/>
  <c r="N84" i="6"/>
  <c r="M84" i="6"/>
  <c r="L29" i="1" s="1"/>
  <c r="L84" i="6"/>
  <c r="K29" i="1" s="1"/>
  <c r="K84" i="6"/>
  <c r="J84" i="6"/>
  <c r="I84" i="6"/>
  <c r="H84" i="6"/>
  <c r="G84" i="6"/>
  <c r="J29" i="1" s="1"/>
  <c r="F84" i="6"/>
  <c r="I29" i="1" s="1"/>
  <c r="E84" i="6"/>
  <c r="H29" i="1" s="1"/>
  <c r="D84" i="6"/>
  <c r="G29" i="1" s="1"/>
  <c r="C84" i="6"/>
  <c r="F29" i="1" s="1"/>
  <c r="N86" i="6"/>
  <c r="M86" i="6"/>
  <c r="L31" i="1" s="1"/>
  <c r="L86" i="6"/>
  <c r="K31" i="1" s="1"/>
  <c r="K86" i="6"/>
  <c r="J86" i="6"/>
  <c r="I86" i="6"/>
  <c r="H86" i="6"/>
  <c r="G86" i="6"/>
  <c r="J31" i="1" s="1"/>
  <c r="F86" i="6"/>
  <c r="I31" i="1" s="1"/>
  <c r="E86" i="6"/>
  <c r="H31" i="1" s="1"/>
  <c r="D86" i="6"/>
  <c r="G31" i="1" s="1"/>
  <c r="C86" i="6"/>
  <c r="F31" i="1" s="1"/>
  <c r="F22" i="1"/>
  <c r="F21" i="1"/>
  <c r="F20" i="1"/>
  <c r="F19" i="1"/>
  <c r="F18" i="1"/>
  <c r="F17" i="1"/>
  <c r="F16" i="1"/>
  <c r="F15" i="1"/>
  <c r="F14" i="1"/>
  <c r="F13" i="1"/>
  <c r="F12" i="1"/>
  <c r="F11" i="1"/>
  <c r="F10" i="1"/>
  <c r="F9" i="1"/>
  <c r="F8" i="1"/>
  <c r="F7" i="1"/>
  <c r="F6" i="1"/>
  <c r="F5" i="1"/>
  <c r="B61" i="6"/>
  <c r="B60" i="6"/>
  <c r="B30" i="6"/>
  <c r="C29" i="6"/>
  <c r="C28" i="6"/>
  <c r="B27" i="6"/>
  <c r="B26" i="6"/>
  <c r="B25" i="6"/>
  <c r="E20" i="6"/>
  <c r="D20" i="6"/>
  <c r="C20" i="6"/>
  <c r="B3" i="6"/>
  <c r="J12" i="7"/>
  <c r="B7" i="7"/>
  <c r="B6" i="7"/>
  <c r="B5" i="7"/>
  <c r="B4" i="7"/>
  <c r="B62" i="6"/>
  <c r="B59" i="6"/>
  <c r="C30" i="6"/>
  <c r="B29" i="6"/>
  <c r="B28" i="6"/>
  <c r="C27" i="6"/>
  <c r="C26" i="6"/>
  <c r="B4" i="6"/>
  <c r="N82" i="6"/>
  <c r="M82" i="6"/>
  <c r="L27" i="1" s="1"/>
  <c r="L82" i="6"/>
  <c r="K27" i="1" s="1"/>
  <c r="K82" i="6"/>
  <c r="J82" i="6"/>
  <c r="I82" i="6"/>
  <c r="H82" i="6"/>
  <c r="G82" i="6"/>
  <c r="J27" i="1" s="1"/>
  <c r="F82" i="6"/>
  <c r="I27" i="1" s="1"/>
  <c r="E82" i="6"/>
  <c r="H27" i="1" s="1"/>
  <c r="D82" i="6"/>
  <c r="G27" i="1" s="1"/>
  <c r="C82" i="6"/>
  <c r="F27" i="1" s="1"/>
  <c r="N83" i="6"/>
  <c r="M83" i="6"/>
  <c r="L28" i="1" s="1"/>
  <c r="L83" i="6"/>
  <c r="K28" i="1" s="1"/>
  <c r="K83" i="6"/>
  <c r="J83" i="6"/>
  <c r="I83" i="6"/>
  <c r="H83" i="6"/>
  <c r="G83" i="6"/>
  <c r="J28" i="1" s="1"/>
  <c r="F83" i="6"/>
  <c r="I28" i="1" s="1"/>
  <c r="E83" i="6"/>
  <c r="H28" i="1" s="1"/>
  <c r="D83" i="6"/>
  <c r="G28" i="1" s="1"/>
  <c r="C83" i="6"/>
  <c r="F28" i="1" s="1"/>
  <c r="B10" i="6" l="1"/>
  <c r="B11" i="6"/>
  <c r="B12" i="6"/>
  <c r="B13" i="6"/>
  <c r="B14" i="6"/>
  <c r="B15" i="6"/>
  <c r="B16" i="6"/>
  <c r="B17" i="6"/>
  <c r="B18" i="6"/>
  <c r="B35" i="6"/>
  <c r="C35" i="6" s="1"/>
  <c r="D35" i="6" s="1"/>
  <c r="B37" i="6"/>
  <c r="C37" i="6" s="1"/>
  <c r="D37" i="6"/>
  <c r="B39" i="6"/>
  <c r="C39" i="6" s="1"/>
  <c r="D39" i="6"/>
  <c r="B41" i="6"/>
  <c r="C41" i="6" s="1"/>
  <c r="D41" i="6"/>
  <c r="B43" i="6"/>
  <c r="C43" i="6" s="1"/>
  <c r="D43" i="6"/>
  <c r="E44" i="6"/>
  <c r="B45" i="6"/>
  <c r="C45" i="6" s="1"/>
  <c r="D45" i="6"/>
  <c r="E46" i="6"/>
  <c r="B47" i="6"/>
  <c r="C47" i="6" s="1"/>
  <c r="D47" i="6"/>
  <c r="E48" i="6"/>
  <c r="B49" i="6"/>
  <c r="C49" i="6" s="1"/>
  <c r="E49" i="6"/>
  <c r="B50" i="6"/>
  <c r="C50" i="6" s="1"/>
  <c r="D50" i="6"/>
  <c r="D51" i="6"/>
  <c r="E52" i="6"/>
  <c r="B53" i="6"/>
  <c r="C53" i="6" s="1"/>
  <c r="D53" i="6"/>
  <c r="B54" i="6"/>
  <c r="C54" i="6" s="1"/>
  <c r="D54" i="6"/>
  <c r="B8" i="6"/>
  <c r="B9" i="6"/>
  <c r="B36" i="6"/>
  <c r="C36" i="6" s="1"/>
  <c r="D36" i="6"/>
  <c r="E36" i="6"/>
  <c r="E37" i="6"/>
  <c r="B38" i="6"/>
  <c r="C38" i="6" s="1"/>
  <c r="D38" i="6"/>
  <c r="E39" i="6"/>
  <c r="B40" i="6"/>
  <c r="C40" i="6" s="1"/>
  <c r="D40" i="6"/>
  <c r="E41" i="6"/>
  <c r="B42" i="6"/>
  <c r="C42" i="6" s="1"/>
  <c r="D42" i="6"/>
  <c r="E43" i="6"/>
  <c r="B44" i="6"/>
  <c r="C44" i="6" s="1"/>
  <c r="D44" i="6"/>
  <c r="E45" i="6"/>
  <c r="B46" i="6"/>
  <c r="C46" i="6" s="1"/>
  <c r="D46" i="6"/>
  <c r="E47" i="6"/>
  <c r="B48" i="6"/>
  <c r="C48" i="6" s="1"/>
  <c r="D48" i="6"/>
  <c r="D49" i="6"/>
  <c r="E50" i="6"/>
  <c r="B51" i="6"/>
  <c r="C51" i="6" s="1"/>
  <c r="E51" i="6"/>
  <c r="B52" i="6"/>
  <c r="C52" i="6" s="1"/>
  <c r="D52" i="6"/>
  <c r="E53" i="6"/>
  <c r="E54" i="6"/>
  <c r="B9" i="7"/>
  <c r="B68" i="6"/>
  <c r="B8" i="7"/>
  <c r="B67" i="6" s="1"/>
  <c r="B69" i="6"/>
  <c r="B12" i="7"/>
  <c r="B13" i="7"/>
  <c r="B14" i="7"/>
  <c r="B15" i="7"/>
  <c r="B16" i="7"/>
  <c r="B17" i="7"/>
  <c r="E74" i="6"/>
  <c r="F74" i="6"/>
  <c r="E75" i="6"/>
  <c r="F75" i="6"/>
  <c r="E76" i="6"/>
  <c r="F76" i="6"/>
  <c r="E77" i="6"/>
  <c r="F77" i="6"/>
  <c r="H21" i="7"/>
  <c r="N21" i="7" s="1"/>
  <c r="H22" i="7"/>
  <c r="N22" i="7" s="1"/>
  <c r="H23" i="7"/>
  <c r="N23" i="7" s="1"/>
  <c r="H24" i="7"/>
  <c r="N24" i="7" s="1"/>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213" i="7"/>
  <c r="O214" i="7"/>
  <c r="O215" i="7"/>
  <c r="O216" i="7"/>
  <c r="O217" i="7"/>
  <c r="O218" i="7"/>
  <c r="O219" i="7"/>
  <c r="O220" i="7"/>
  <c r="O221" i="7"/>
  <c r="O222" i="7"/>
  <c r="O223" i="7"/>
  <c r="O224" i="7"/>
  <c r="O225" i="7"/>
  <c r="O226" i="7"/>
  <c r="O227" i="7"/>
  <c r="O228" i="7"/>
  <c r="O229" i="7"/>
  <c r="E35" i="6" l="1"/>
  <c r="F72" i="6"/>
  <c r="F73" i="6"/>
  <c r="C21" i="7"/>
  <c r="C22" i="7"/>
  <c r="C23" i="7"/>
  <c r="C24" i="7"/>
  <c r="C25" i="7"/>
  <c r="D21" i="7"/>
  <c r="D22" i="7"/>
  <c r="D23" i="7"/>
  <c r="D24" i="7"/>
  <c r="D25" i="7"/>
  <c r="E21" i="7"/>
  <c r="K21" i="7" s="1"/>
  <c r="E22" i="7"/>
  <c r="K22" i="7" s="1"/>
  <c r="E23" i="7"/>
  <c r="K23" i="7" s="1"/>
  <c r="E24" i="7"/>
  <c r="K24" i="7" s="1"/>
  <c r="E25" i="7"/>
  <c r="K25" i="7" s="1"/>
  <c r="F21" i="7"/>
  <c r="L21" i="7" s="1"/>
  <c r="F22" i="7"/>
  <c r="L22" i="7" s="1"/>
  <c r="F23" i="7"/>
  <c r="L23" i="7" s="1"/>
  <c r="F24" i="7"/>
  <c r="L24" i="7" s="1"/>
  <c r="G21" i="7"/>
  <c r="M21" i="7" s="1"/>
  <c r="G22" i="7"/>
  <c r="M22" i="7" s="1"/>
  <c r="G23" i="7"/>
  <c r="M23" i="7" s="1"/>
  <c r="G24" i="7"/>
  <c r="M24" i="7" s="1"/>
  <c r="C67" i="7"/>
  <c r="C174" i="7"/>
  <c r="I174" i="7" s="1"/>
  <c r="C172" i="7"/>
  <c r="I172" i="7" s="1"/>
  <c r="C26" i="7"/>
  <c r="C81" i="7"/>
  <c r="I81" i="7" s="1"/>
  <c r="C226" i="7"/>
  <c r="I226" i="7" s="1"/>
  <c r="C38" i="7"/>
  <c r="C294" i="7"/>
  <c r="I294" i="7" s="1"/>
  <c r="C41" i="7"/>
  <c r="C27" i="7"/>
  <c r="C80" i="7"/>
  <c r="C293" i="7"/>
  <c r="I293" i="7" s="1"/>
  <c r="C229" i="7"/>
  <c r="I229" i="7" s="1"/>
  <c r="C171" i="7"/>
  <c r="I171" i="7" s="1"/>
  <c r="C228" i="7"/>
  <c r="I228" i="7" s="1"/>
  <c r="C28" i="7"/>
  <c r="C74" i="7"/>
  <c r="C256" i="7"/>
  <c r="I256" i="7" s="1"/>
  <c r="C72" i="7"/>
  <c r="C86" i="7"/>
  <c r="I86" i="7" s="1"/>
  <c r="C170" i="7"/>
  <c r="I170" i="7" s="1"/>
  <c r="C29" i="7"/>
  <c r="C46" i="7"/>
  <c r="C255" i="7"/>
  <c r="I255" i="7" s="1"/>
  <c r="C75" i="7"/>
  <c r="C254" i="7"/>
  <c r="I254" i="7" s="1"/>
  <c r="C39" i="7"/>
  <c r="C30" i="7"/>
  <c r="C227" i="7"/>
  <c r="I227" i="7" s="1"/>
  <c r="C253" i="7"/>
  <c r="I253" i="7" s="1"/>
  <c r="C200" i="7"/>
  <c r="I200" i="7" s="1"/>
  <c r="C169" i="7"/>
  <c r="I169" i="7" s="1"/>
  <c r="C199" i="7"/>
  <c r="I199" i="7" s="1"/>
  <c r="C31" i="7"/>
  <c r="C82" i="7"/>
  <c r="I82" i="7" s="1"/>
  <c r="C198" i="7"/>
  <c r="I198" i="7" s="1"/>
  <c r="C68" i="7"/>
  <c r="C84" i="7"/>
  <c r="I84" i="7" s="1"/>
  <c r="C126" i="7"/>
  <c r="I126" i="7" s="1"/>
  <c r="C32" i="7"/>
  <c r="C69" i="7"/>
  <c r="C66" i="7"/>
  <c r="C85" i="7"/>
  <c r="I85" i="7" s="1"/>
  <c r="C76" i="7"/>
  <c r="C40" i="7"/>
  <c r="C33" i="7"/>
  <c r="C42" i="7"/>
  <c r="C65" i="7"/>
  <c r="C77" i="7"/>
  <c r="C125" i="7"/>
  <c r="I125" i="7" s="1"/>
  <c r="C201" i="7"/>
  <c r="I201" i="7" s="1"/>
  <c r="C34" i="7"/>
  <c r="C45" i="7"/>
  <c r="C64" i="7"/>
  <c r="C50" i="7"/>
  <c r="C44" i="7"/>
  <c r="C123" i="7"/>
  <c r="I123" i="7" s="1"/>
  <c r="C35" i="7"/>
  <c r="C83" i="7"/>
  <c r="I83" i="7" s="1"/>
  <c r="C78" i="7"/>
  <c r="C71" i="7"/>
  <c r="C70" i="7"/>
  <c r="C49" i="7"/>
  <c r="C36" i="7"/>
  <c r="C124" i="7"/>
  <c r="I124" i="7" s="1"/>
  <c r="C48" i="7"/>
  <c r="C43" i="7"/>
  <c r="C79" i="7"/>
  <c r="C122" i="7"/>
  <c r="I122" i="7" s="1"/>
  <c r="C37" i="7"/>
  <c r="C173" i="7"/>
  <c r="I173" i="7" s="1"/>
  <c r="C73" i="7"/>
  <c r="C257" i="7"/>
  <c r="I257" i="7" s="1"/>
  <c r="C47" i="7"/>
  <c r="D26" i="7"/>
  <c r="D67" i="7"/>
  <c r="D171" i="7"/>
  <c r="J171" i="7" s="1"/>
  <c r="D27" i="7"/>
  <c r="D28" i="7"/>
  <c r="D170" i="7"/>
  <c r="J170" i="7" s="1"/>
  <c r="D29" i="7"/>
  <c r="D169" i="7"/>
  <c r="J169" i="7" s="1"/>
  <c r="D30" i="7"/>
  <c r="D31" i="7"/>
  <c r="D126" i="7"/>
  <c r="J126" i="7" s="1"/>
  <c r="D32" i="7"/>
  <c r="D68" i="7"/>
  <c r="D125" i="7"/>
  <c r="J125" i="7" s="1"/>
  <c r="D33" i="7"/>
  <c r="D34" i="7"/>
  <c r="D228" i="7"/>
  <c r="J228" i="7" s="1"/>
  <c r="D229" i="7"/>
  <c r="J229" i="7" s="1"/>
  <c r="D35" i="7"/>
  <c r="D36" i="7"/>
  <c r="D74" i="7"/>
  <c r="D37" i="7"/>
  <c r="D122" i="7"/>
  <c r="J122" i="7" s="1"/>
  <c r="D86" i="7"/>
  <c r="J86" i="7" s="1"/>
  <c r="D38" i="7"/>
  <c r="D39" i="7"/>
  <c r="D123" i="7"/>
  <c r="J123" i="7" s="1"/>
  <c r="D85" i="7"/>
  <c r="J85" i="7" s="1"/>
  <c r="D40" i="7"/>
  <c r="D124" i="7"/>
  <c r="J124" i="7" s="1"/>
  <c r="D172" i="7"/>
  <c r="J172" i="7" s="1"/>
  <c r="D84" i="7"/>
  <c r="J84" i="7" s="1"/>
  <c r="D83" i="7"/>
  <c r="J83" i="7" s="1"/>
  <c r="D41" i="7"/>
  <c r="D173" i="7"/>
  <c r="J173" i="7" s="1"/>
  <c r="D82" i="7"/>
  <c r="J82" i="7" s="1"/>
  <c r="D64" i="7"/>
  <c r="D42" i="7"/>
  <c r="D73" i="7"/>
  <c r="D81" i="7"/>
  <c r="J81" i="7" s="1"/>
  <c r="D43" i="7"/>
  <c r="D44" i="7"/>
  <c r="D69" i="7"/>
  <c r="D256" i="7"/>
  <c r="J256" i="7" s="1"/>
  <c r="D45" i="7"/>
  <c r="D80" i="7"/>
  <c r="D46" i="7"/>
  <c r="D71" i="7"/>
  <c r="D47" i="7"/>
  <c r="D79" i="7"/>
  <c r="D48" i="7"/>
  <c r="D78" i="7"/>
  <c r="D49" i="7"/>
  <c r="D50" i="7"/>
  <c r="D70" i="7"/>
  <c r="D77" i="7"/>
  <c r="D65" i="7"/>
  <c r="D76" i="7"/>
  <c r="D66" i="7"/>
  <c r="D72" i="7"/>
  <c r="D75" i="7"/>
  <c r="D257" i="7"/>
  <c r="J257" i="7" s="1"/>
  <c r="D198" i="7"/>
  <c r="J198" i="7" s="1"/>
  <c r="D199" i="7"/>
  <c r="J199" i="7" s="1"/>
  <c r="D200" i="7"/>
  <c r="J200" i="7" s="1"/>
  <c r="D201" i="7"/>
  <c r="J201" i="7" s="1"/>
  <c r="D253" i="7"/>
  <c r="J253" i="7" s="1"/>
  <c r="D254" i="7"/>
  <c r="J254" i="7" s="1"/>
  <c r="D255" i="7"/>
  <c r="J255" i="7" s="1"/>
  <c r="D227" i="7"/>
  <c r="J227" i="7" s="1"/>
  <c r="D293" i="7"/>
  <c r="J293" i="7" s="1"/>
  <c r="D294" i="7"/>
  <c r="J294" i="7" s="1"/>
  <c r="D226" i="7"/>
  <c r="J226" i="7" s="1"/>
  <c r="E36" i="7"/>
  <c r="K36" i="7" s="1"/>
  <c r="E81" i="7"/>
  <c r="K81" i="7" s="1"/>
  <c r="E48" i="7"/>
  <c r="K48" i="7" s="1"/>
  <c r="E72" i="7"/>
  <c r="K72" i="7" s="1"/>
  <c r="E78" i="7"/>
  <c r="K78" i="7" s="1"/>
  <c r="E44" i="7"/>
  <c r="K44" i="7" s="1"/>
  <c r="E123" i="7"/>
  <c r="K123" i="7" s="1"/>
  <c r="E42" i="7"/>
  <c r="K42" i="7" s="1"/>
  <c r="E49" i="7"/>
  <c r="K49" i="7" s="1"/>
  <c r="E173" i="7"/>
  <c r="K173" i="7" s="1"/>
  <c r="E35" i="7"/>
  <c r="K35" i="7" s="1"/>
  <c r="E77" i="7"/>
  <c r="K77" i="7" s="1"/>
  <c r="E199" i="7"/>
  <c r="K199" i="7" s="1"/>
  <c r="E82" i="7"/>
  <c r="K82" i="7" s="1"/>
  <c r="E50" i="7"/>
  <c r="K50" i="7" s="1"/>
  <c r="E124" i="7"/>
  <c r="K124" i="7" s="1"/>
  <c r="E40" i="7"/>
  <c r="K40" i="7" s="1"/>
  <c r="E34" i="7"/>
  <c r="K34" i="7" s="1"/>
  <c r="E229" i="7"/>
  <c r="K229" i="7" s="1"/>
  <c r="E64" i="7"/>
  <c r="K64" i="7" s="1"/>
  <c r="E70" i="7"/>
  <c r="K70" i="7" s="1"/>
  <c r="E68" i="7"/>
  <c r="K68" i="7" s="1"/>
  <c r="E76" i="7"/>
  <c r="K76" i="7" s="1"/>
  <c r="E33" i="7"/>
  <c r="K33" i="7" s="1"/>
  <c r="E41" i="7"/>
  <c r="K41" i="7" s="1"/>
  <c r="E65" i="7"/>
  <c r="K65" i="7" s="1"/>
  <c r="E71" i="7"/>
  <c r="K71" i="7" s="1"/>
  <c r="E45" i="7"/>
  <c r="K45" i="7" s="1"/>
  <c r="E125" i="7"/>
  <c r="K125" i="7" s="1"/>
  <c r="E32" i="7"/>
  <c r="K32" i="7" s="1"/>
  <c r="E69" i="7"/>
  <c r="K69" i="7" s="1"/>
  <c r="E66" i="7"/>
  <c r="K66" i="7" s="1"/>
  <c r="E80" i="7"/>
  <c r="K80" i="7" s="1"/>
  <c r="E75" i="7"/>
  <c r="K75" i="7" s="1"/>
  <c r="E43" i="7"/>
  <c r="K43" i="7" s="1"/>
  <c r="E256" i="7"/>
  <c r="K256" i="7" s="1"/>
  <c r="E85" i="7"/>
  <c r="K85" i="7" s="1"/>
  <c r="E31" i="7"/>
  <c r="K31" i="7" s="1"/>
  <c r="E83" i="7"/>
  <c r="K83" i="7" s="1"/>
  <c r="E198" i="7"/>
  <c r="K198" i="7" s="1"/>
  <c r="E126" i="7"/>
  <c r="K126" i="7" s="1"/>
  <c r="E46" i="7"/>
  <c r="K46" i="7" s="1"/>
  <c r="E74" i="7"/>
  <c r="K74" i="7" s="1"/>
  <c r="E172" i="7"/>
  <c r="K172" i="7" s="1"/>
  <c r="E200" i="7"/>
  <c r="K200" i="7" s="1"/>
  <c r="E39" i="7"/>
  <c r="K39" i="7" s="1"/>
  <c r="E38" i="7"/>
  <c r="K38" i="7" s="1"/>
  <c r="E201" i="7"/>
  <c r="K201" i="7" s="1"/>
  <c r="E30" i="7"/>
  <c r="K30" i="7" s="1"/>
  <c r="E79" i="7"/>
  <c r="K79" i="7" s="1"/>
  <c r="E253" i="7"/>
  <c r="K253" i="7" s="1"/>
  <c r="E169" i="7"/>
  <c r="K169" i="7" s="1"/>
  <c r="E86" i="7"/>
  <c r="K86" i="7" s="1"/>
  <c r="E254" i="7"/>
  <c r="K254" i="7" s="1"/>
  <c r="E29" i="7"/>
  <c r="K29" i="7" s="1"/>
  <c r="E84" i="7"/>
  <c r="K84" i="7" s="1"/>
  <c r="E255" i="7"/>
  <c r="K255" i="7" s="1"/>
  <c r="E28" i="7"/>
  <c r="K28" i="7" s="1"/>
  <c r="E47" i="7"/>
  <c r="K47" i="7" s="1"/>
  <c r="E170" i="7"/>
  <c r="K170" i="7" s="1"/>
  <c r="E67" i="7"/>
  <c r="K67" i="7" s="1"/>
  <c r="E257" i="7"/>
  <c r="K257" i="7" s="1"/>
  <c r="E27" i="7"/>
  <c r="K27" i="7" s="1"/>
  <c r="E37" i="7"/>
  <c r="K37" i="7" s="1"/>
  <c r="E293" i="7"/>
  <c r="K293" i="7" s="1"/>
  <c r="E171" i="7"/>
  <c r="K171" i="7" s="1"/>
  <c r="E73" i="7"/>
  <c r="K73" i="7" s="1"/>
  <c r="E294" i="7"/>
  <c r="K294" i="7" s="1"/>
  <c r="E26" i="7"/>
  <c r="K26" i="7" s="1"/>
  <c r="E122" i="7"/>
  <c r="K122" i="7" s="1"/>
  <c r="E226" i="7"/>
  <c r="K226" i="7" s="1"/>
  <c r="E227" i="7"/>
  <c r="K227" i="7" s="1"/>
  <c r="E228" i="7"/>
  <c r="K228" i="7" s="1"/>
  <c r="F74" i="7"/>
  <c r="L74" i="7" s="1"/>
  <c r="F75" i="7"/>
  <c r="L75" i="7" s="1"/>
  <c r="F76" i="7"/>
  <c r="L76" i="7" s="1"/>
  <c r="F77" i="7"/>
  <c r="L77" i="7" s="1"/>
  <c r="F78" i="7"/>
  <c r="L78" i="7" s="1"/>
  <c r="F79" i="7"/>
  <c r="L79" i="7" s="1"/>
  <c r="F122" i="7"/>
  <c r="L122" i="7" s="1"/>
  <c r="F227" i="7"/>
  <c r="L227" i="7" s="1"/>
  <c r="F228" i="7"/>
  <c r="L228" i="7" s="1"/>
  <c r="F80" i="7"/>
  <c r="L80" i="7" s="1"/>
  <c r="F81" i="7"/>
  <c r="L81" i="7" s="1"/>
  <c r="F82" i="7"/>
  <c r="L82" i="7" s="1"/>
  <c r="F83" i="7"/>
  <c r="L83" i="7" s="1"/>
  <c r="F84" i="7"/>
  <c r="L84" i="7" s="1"/>
  <c r="F85" i="7"/>
  <c r="L85" i="7" s="1"/>
  <c r="F86" i="7"/>
  <c r="L86" i="7" s="1"/>
  <c r="F124" i="7"/>
  <c r="L124" i="7" s="1"/>
  <c r="F125" i="7"/>
  <c r="L125" i="7" s="1"/>
  <c r="F126" i="7"/>
  <c r="L126" i="7" s="1"/>
  <c r="F169" i="7"/>
  <c r="L169" i="7" s="1"/>
  <c r="F170" i="7"/>
  <c r="L170" i="7" s="1"/>
  <c r="F171" i="7"/>
  <c r="L171" i="7" s="1"/>
  <c r="F172" i="7"/>
  <c r="L172" i="7" s="1"/>
  <c r="F173" i="7"/>
  <c r="L173" i="7" s="1"/>
  <c r="F25" i="7"/>
  <c r="L25" i="7" s="1"/>
  <c r="F26" i="7"/>
  <c r="L26" i="7" s="1"/>
  <c r="F229" i="7"/>
  <c r="L229" i="7" s="1"/>
  <c r="F27" i="7"/>
  <c r="L27" i="7" s="1"/>
  <c r="F28" i="7"/>
  <c r="L28" i="7" s="1"/>
  <c r="F29" i="7"/>
  <c r="L29" i="7" s="1"/>
  <c r="F198" i="7"/>
  <c r="L198" i="7" s="1"/>
  <c r="F30" i="7"/>
  <c r="L30" i="7" s="1"/>
  <c r="F31" i="7"/>
  <c r="L31" i="7" s="1"/>
  <c r="F199" i="7"/>
  <c r="L199" i="7" s="1"/>
  <c r="F32" i="7"/>
  <c r="L32" i="7" s="1"/>
  <c r="F33" i="7"/>
  <c r="L33" i="7" s="1"/>
  <c r="F35" i="7"/>
  <c r="L35" i="7" s="1"/>
  <c r="F200" i="7"/>
  <c r="L200" i="7" s="1"/>
  <c r="F36" i="7"/>
  <c r="L36" i="7" s="1"/>
  <c r="F37" i="7"/>
  <c r="L37" i="7" s="1"/>
  <c r="F38" i="7"/>
  <c r="L38" i="7" s="1"/>
  <c r="F201" i="7"/>
  <c r="L201" i="7" s="1"/>
  <c r="F39" i="7"/>
  <c r="L39" i="7" s="1"/>
  <c r="F40" i="7"/>
  <c r="L40" i="7" s="1"/>
  <c r="F123" i="7"/>
  <c r="L123" i="7" s="1"/>
  <c r="F253" i="7"/>
  <c r="L253" i="7" s="1"/>
  <c r="F255" i="7"/>
  <c r="L255" i="7" s="1"/>
  <c r="F41" i="7"/>
  <c r="L41" i="7" s="1"/>
  <c r="F42" i="7"/>
  <c r="L42" i="7" s="1"/>
  <c r="F254" i="7"/>
  <c r="L254" i="7" s="1"/>
  <c r="F43" i="7"/>
  <c r="L43" i="7" s="1"/>
  <c r="F44" i="7"/>
  <c r="L44" i="7" s="1"/>
  <c r="F45" i="7"/>
  <c r="L45" i="7" s="1"/>
  <c r="F46" i="7"/>
  <c r="L46" i="7" s="1"/>
  <c r="F47" i="7"/>
  <c r="L47" i="7" s="1"/>
  <c r="F48" i="7"/>
  <c r="L48" i="7" s="1"/>
  <c r="F49" i="7"/>
  <c r="L49" i="7" s="1"/>
  <c r="F50" i="7"/>
  <c r="L50" i="7" s="1"/>
  <c r="F257" i="7"/>
  <c r="L257" i="7" s="1"/>
  <c r="F64" i="7"/>
  <c r="L64" i="7" s="1"/>
  <c r="F65" i="7"/>
  <c r="L65" i="7" s="1"/>
  <c r="F66" i="7"/>
  <c r="L66" i="7" s="1"/>
  <c r="F293" i="7"/>
  <c r="L293" i="7" s="1"/>
  <c r="F67" i="7"/>
  <c r="L67" i="7" s="1"/>
  <c r="F68" i="7"/>
  <c r="L68" i="7" s="1"/>
  <c r="F69" i="7"/>
  <c r="L69" i="7" s="1"/>
  <c r="F70" i="7"/>
  <c r="L70" i="7" s="1"/>
  <c r="F71" i="7"/>
  <c r="L71" i="7" s="1"/>
  <c r="F34" i="7"/>
  <c r="L34" i="7" s="1"/>
  <c r="F226" i="7"/>
  <c r="L226" i="7" s="1"/>
  <c r="F72" i="7"/>
  <c r="L72" i="7" s="1"/>
  <c r="F73" i="7"/>
  <c r="L73" i="7" s="1"/>
  <c r="F256" i="7"/>
  <c r="L256" i="7" s="1"/>
  <c r="G85" i="7"/>
  <c r="M85" i="7" s="1"/>
  <c r="G40" i="7"/>
  <c r="M40" i="7" s="1"/>
  <c r="G25" i="7"/>
  <c r="M25" i="7" s="1"/>
  <c r="G255" i="7"/>
  <c r="M255" i="7" s="1"/>
  <c r="G68" i="7"/>
  <c r="M68" i="7" s="1"/>
  <c r="G83" i="7"/>
  <c r="M83" i="7" s="1"/>
  <c r="G65" i="7"/>
  <c r="M65" i="7" s="1"/>
  <c r="G227" i="7"/>
  <c r="M227" i="7" s="1"/>
  <c r="G256" i="7"/>
  <c r="M256" i="7" s="1"/>
  <c r="G173" i="7"/>
  <c r="M173" i="7" s="1"/>
  <c r="G228" i="7"/>
  <c r="M228" i="7" s="1"/>
  <c r="G84" i="7"/>
  <c r="M84" i="7" s="1"/>
  <c r="G76" i="7"/>
  <c r="M76" i="7" s="1"/>
  <c r="G64" i="7"/>
  <c r="M64" i="7" s="1"/>
  <c r="G39" i="7"/>
  <c r="M39" i="7" s="1"/>
  <c r="G50" i="7"/>
  <c r="M50" i="7" s="1"/>
  <c r="G70" i="7"/>
  <c r="M70" i="7" s="1"/>
  <c r="G34" i="7"/>
  <c r="M34" i="7" s="1"/>
  <c r="G198" i="7"/>
  <c r="M198" i="7" s="1"/>
  <c r="G38" i="7"/>
  <c r="M38" i="7" s="1"/>
  <c r="G72" i="7"/>
  <c r="M72" i="7" s="1"/>
  <c r="G37" i="7"/>
  <c r="M37" i="7" s="1"/>
  <c r="G74" i="7"/>
  <c r="M74" i="7" s="1"/>
  <c r="G86" i="7"/>
  <c r="M86" i="7" s="1"/>
  <c r="G71" i="7"/>
  <c r="M71" i="7" s="1"/>
  <c r="G199" i="7"/>
  <c r="M199" i="7" s="1"/>
  <c r="G36" i="7"/>
  <c r="M36" i="7" s="1"/>
  <c r="G49" i="7"/>
  <c r="M49" i="7" s="1"/>
  <c r="G48" i="7"/>
  <c r="M48" i="7" s="1"/>
  <c r="G172" i="7"/>
  <c r="M172" i="7" s="1"/>
  <c r="G35" i="7"/>
  <c r="M35" i="7" s="1"/>
  <c r="G200" i="7"/>
  <c r="M200" i="7" s="1"/>
  <c r="G78" i="7"/>
  <c r="M78" i="7" s="1"/>
  <c r="G47" i="7"/>
  <c r="M47" i="7" s="1"/>
  <c r="G69" i="7"/>
  <c r="M69" i="7" s="1"/>
  <c r="G79" i="7"/>
  <c r="M79" i="7" s="1"/>
  <c r="G253" i="7"/>
  <c r="M253" i="7" s="1"/>
  <c r="G124" i="7"/>
  <c r="M124" i="7" s="1"/>
  <c r="G73" i="7"/>
  <c r="M73" i="7" s="1"/>
  <c r="G33" i="7"/>
  <c r="M33" i="7" s="1"/>
  <c r="G46" i="7"/>
  <c r="M46" i="7" s="1"/>
  <c r="G32" i="7"/>
  <c r="M32" i="7" s="1"/>
  <c r="G67" i="7"/>
  <c r="M67" i="7" s="1"/>
  <c r="G125" i="7"/>
  <c r="M125" i="7" s="1"/>
  <c r="G45" i="7"/>
  <c r="M45" i="7" s="1"/>
  <c r="G254" i="7"/>
  <c r="M254" i="7" s="1"/>
  <c r="G31" i="7"/>
  <c r="M31" i="7" s="1"/>
  <c r="G44" i="7"/>
  <c r="M44" i="7" s="1"/>
  <c r="G123" i="7"/>
  <c r="M123" i="7" s="1"/>
  <c r="G126" i="7"/>
  <c r="M126" i="7" s="1"/>
  <c r="G229" i="7"/>
  <c r="M229" i="7" s="1"/>
  <c r="G30" i="7"/>
  <c r="M30" i="7" s="1"/>
  <c r="G257" i="7"/>
  <c r="M257" i="7" s="1"/>
  <c r="G29" i="7"/>
  <c r="M29" i="7" s="1"/>
  <c r="G66" i="7"/>
  <c r="M66" i="7" s="1"/>
  <c r="G169" i="7"/>
  <c r="M169" i="7" s="1"/>
  <c r="G82" i="7"/>
  <c r="M82" i="7" s="1"/>
  <c r="G80" i="7"/>
  <c r="M80" i="7" s="1"/>
  <c r="G28" i="7"/>
  <c r="M28" i="7" s="1"/>
  <c r="G43" i="7"/>
  <c r="M43" i="7" s="1"/>
  <c r="G293" i="7"/>
  <c r="M293" i="7" s="1"/>
  <c r="G170" i="7"/>
  <c r="M170" i="7" s="1"/>
  <c r="G42" i="7"/>
  <c r="M42" i="7" s="1"/>
  <c r="G27" i="7"/>
  <c r="M27" i="7" s="1"/>
  <c r="G81" i="7"/>
  <c r="M81" i="7" s="1"/>
  <c r="G26" i="7"/>
  <c r="M26" i="7" s="1"/>
  <c r="G75" i="7"/>
  <c r="M75" i="7" s="1"/>
  <c r="G171" i="7"/>
  <c r="M171" i="7" s="1"/>
  <c r="G41" i="7"/>
  <c r="M41" i="7" s="1"/>
  <c r="G226" i="7"/>
  <c r="M226" i="7" s="1"/>
  <c r="G122" i="7"/>
  <c r="M122" i="7" s="1"/>
  <c r="G77" i="7"/>
  <c r="M77" i="7" s="1"/>
  <c r="H229" i="7"/>
  <c r="N229" i="7" s="1"/>
  <c r="H228" i="7"/>
  <c r="N228" i="7" s="1"/>
  <c r="H83" i="7"/>
  <c r="N83" i="7" s="1"/>
  <c r="H227" i="7"/>
  <c r="N227" i="7" s="1"/>
  <c r="H67" i="7"/>
  <c r="N67" i="7" s="1"/>
  <c r="H84" i="7"/>
  <c r="N84" i="7" s="1"/>
  <c r="H39" i="7"/>
  <c r="N39" i="7" s="1"/>
  <c r="H38" i="7"/>
  <c r="N38" i="7" s="1"/>
  <c r="H85" i="7"/>
  <c r="N85" i="7" s="1"/>
  <c r="H37" i="7"/>
  <c r="N37" i="7" s="1"/>
  <c r="H86" i="7"/>
  <c r="N86" i="7" s="1"/>
  <c r="H36" i="7"/>
  <c r="N36" i="7" s="1"/>
  <c r="H122" i="7"/>
  <c r="N122" i="7" s="1"/>
  <c r="H35" i="7"/>
  <c r="N35" i="7" s="1"/>
  <c r="H173" i="7"/>
  <c r="N173" i="7" s="1"/>
  <c r="H255" i="7"/>
  <c r="N255" i="7" s="1"/>
  <c r="H34" i="7"/>
  <c r="N34" i="7" s="1"/>
  <c r="H82" i="7"/>
  <c r="N82" i="7" s="1"/>
  <c r="H33" i="7"/>
  <c r="N33" i="7" s="1"/>
  <c r="H74" i="7"/>
  <c r="N74" i="7" s="1"/>
  <c r="H124" i="7"/>
  <c r="N124" i="7" s="1"/>
  <c r="H32" i="7"/>
  <c r="N32" i="7" s="1"/>
  <c r="H125" i="7"/>
  <c r="N125" i="7" s="1"/>
  <c r="H31" i="7"/>
  <c r="N31" i="7" s="1"/>
  <c r="H30" i="7"/>
  <c r="N30" i="7" s="1"/>
  <c r="H66" i="7"/>
  <c r="N66" i="7" s="1"/>
  <c r="H126" i="7"/>
  <c r="N126" i="7" s="1"/>
  <c r="H29" i="7"/>
  <c r="N29" i="7" s="1"/>
  <c r="H169" i="7"/>
  <c r="N169" i="7" s="1"/>
  <c r="H28" i="7"/>
  <c r="N28" i="7" s="1"/>
  <c r="H27" i="7"/>
  <c r="N27" i="7" s="1"/>
  <c r="H69" i="7"/>
  <c r="N69" i="7" s="1"/>
  <c r="H170" i="7"/>
  <c r="N170" i="7" s="1"/>
  <c r="H26" i="7"/>
  <c r="N26" i="7" s="1"/>
  <c r="H171" i="7"/>
  <c r="N171" i="7" s="1"/>
  <c r="H25" i="7"/>
  <c r="N25" i="7" s="1"/>
  <c r="H75" i="7"/>
  <c r="N75" i="7" s="1"/>
  <c r="H45" i="7"/>
  <c r="N45" i="7" s="1"/>
  <c r="H49" i="7"/>
  <c r="N49" i="7" s="1"/>
  <c r="H71" i="7"/>
  <c r="N71" i="7" s="1"/>
  <c r="H254" i="7"/>
  <c r="N254" i="7" s="1"/>
  <c r="H68" i="7"/>
  <c r="N68" i="7" s="1"/>
  <c r="H123" i="7"/>
  <c r="N123" i="7" s="1"/>
  <c r="H44" i="7"/>
  <c r="N44" i="7" s="1"/>
  <c r="H172" i="7"/>
  <c r="N172" i="7" s="1"/>
  <c r="H256" i="7"/>
  <c r="N256" i="7" s="1"/>
  <c r="H200" i="7"/>
  <c r="N200" i="7" s="1"/>
  <c r="H43" i="7"/>
  <c r="N43" i="7" s="1"/>
  <c r="H72" i="7"/>
  <c r="N72" i="7" s="1"/>
  <c r="H70" i="7"/>
  <c r="N70" i="7" s="1"/>
  <c r="H64" i="7"/>
  <c r="N64" i="7" s="1"/>
  <c r="H78" i="7"/>
  <c r="N78" i="7" s="1"/>
  <c r="H47" i="7"/>
  <c r="N47" i="7" s="1"/>
  <c r="H65" i="7"/>
  <c r="N65" i="7" s="1"/>
  <c r="H80" i="7"/>
  <c r="N80" i="7" s="1"/>
  <c r="H46" i="7"/>
  <c r="N46" i="7" s="1"/>
  <c r="H76" i="7"/>
  <c r="N76" i="7" s="1"/>
  <c r="H293" i="7"/>
  <c r="N293" i="7" s="1"/>
  <c r="H42" i="7"/>
  <c r="N42" i="7" s="1"/>
  <c r="H199" i="7"/>
  <c r="N199" i="7" s="1"/>
  <c r="H73" i="7"/>
  <c r="N73" i="7" s="1"/>
  <c r="H77" i="7"/>
  <c r="N77" i="7" s="1"/>
  <c r="H81" i="7"/>
  <c r="N81" i="7" s="1"/>
  <c r="H41" i="7"/>
  <c r="N41" i="7" s="1"/>
  <c r="H253" i="7"/>
  <c r="N253" i="7" s="1"/>
  <c r="H198" i="7"/>
  <c r="N198" i="7" s="1"/>
  <c r="H226" i="7"/>
  <c r="N226" i="7" s="1"/>
  <c r="H40" i="7"/>
  <c r="N40" i="7" s="1"/>
  <c r="H48" i="7"/>
  <c r="N48" i="7" s="1"/>
  <c r="H79" i="7"/>
  <c r="N79" i="7" s="1"/>
  <c r="E38" i="6"/>
  <c r="E40" i="6"/>
  <c r="E42" i="6"/>
  <c r="C87" i="7"/>
  <c r="I87" i="7" s="1"/>
  <c r="C149" i="7"/>
  <c r="I149" i="7" s="1"/>
  <c r="C224" i="7"/>
  <c r="I224" i="7" s="1"/>
  <c r="C193" i="7"/>
  <c r="I193" i="7" s="1"/>
  <c r="C223" i="7"/>
  <c r="I223" i="7" s="1"/>
  <c r="C177" i="7"/>
  <c r="I177" i="7" s="1"/>
  <c r="C88" i="7"/>
  <c r="I88" i="7" s="1"/>
  <c r="C258" i="7"/>
  <c r="I258" i="7" s="1"/>
  <c r="C222" i="7"/>
  <c r="I222" i="7" s="1"/>
  <c r="C221" i="7"/>
  <c r="I221" i="7" s="1"/>
  <c r="C291" i="7"/>
  <c r="I291" i="7" s="1"/>
  <c r="C220" i="7"/>
  <c r="I220" i="7" s="1"/>
  <c r="C89" i="7"/>
  <c r="I89" i="7" s="1"/>
  <c r="C159" i="7"/>
  <c r="I159" i="7" s="1"/>
  <c r="C103" i="7"/>
  <c r="I103" i="7" s="1"/>
  <c r="C277" i="7"/>
  <c r="I277" i="7" s="1"/>
  <c r="C219" i="7"/>
  <c r="I219" i="7" s="1"/>
  <c r="C218" i="7"/>
  <c r="I218" i="7" s="1"/>
  <c r="C150" i="7"/>
  <c r="I150" i="7" s="1"/>
  <c r="C290" i="7"/>
  <c r="I290" i="7" s="1"/>
  <c r="C104" i="7"/>
  <c r="I104" i="7" s="1"/>
  <c r="C157" i="7"/>
  <c r="I157" i="7" s="1"/>
  <c r="C217" i="7"/>
  <c r="I217" i="7" s="1"/>
  <c r="C216" i="7"/>
  <c r="I216" i="7" s="1"/>
  <c r="C215" i="7"/>
  <c r="I215" i="7" s="1"/>
  <c r="C248" i="7"/>
  <c r="I248" i="7" s="1"/>
  <c r="C105" i="7"/>
  <c r="I105" i="7" s="1"/>
  <c r="C192" i="7"/>
  <c r="I192" i="7" s="1"/>
  <c r="C214" i="7"/>
  <c r="I214" i="7" s="1"/>
  <c r="C176" i="7"/>
  <c r="I176" i="7" s="1"/>
  <c r="C289" i="7"/>
  <c r="I289" i="7" s="1"/>
  <c r="C320" i="7"/>
  <c r="I320" i="7" s="1"/>
  <c r="C106" i="7"/>
  <c r="I106" i="7" s="1"/>
  <c r="C270" i="7"/>
  <c r="I270" i="7" s="1"/>
  <c r="C319" i="7"/>
  <c r="I319" i="7" s="1"/>
  <c r="C189" i="7"/>
  <c r="I189" i="7" s="1"/>
  <c r="C151" i="7"/>
  <c r="I151" i="7" s="1"/>
  <c r="C288" i="7"/>
  <c r="I288" i="7" s="1"/>
  <c r="C107" i="7"/>
  <c r="I107" i="7" s="1"/>
  <c r="C163" i="7"/>
  <c r="I163" i="7" s="1"/>
  <c r="C318" i="7"/>
  <c r="I318" i="7" s="1"/>
  <c r="C249" i="7"/>
  <c r="I249" i="7" s="1"/>
  <c r="C317" i="7"/>
  <c r="I317" i="7" s="1"/>
  <c r="C237" i="7"/>
  <c r="I237" i="7" s="1"/>
  <c r="C108" i="7"/>
  <c r="I108" i="7" s="1"/>
  <c r="C276" i="7"/>
  <c r="I276" i="7" s="1"/>
  <c r="C316" i="7"/>
  <c r="I316" i="7" s="1"/>
  <c r="C315" i="7"/>
  <c r="I315" i="7" s="1"/>
  <c r="C287" i="7"/>
  <c r="I287" i="7" s="1"/>
  <c r="C298" i="7"/>
  <c r="I298" i="7" s="1"/>
  <c r="C109" i="7"/>
  <c r="I109" i="7" s="1"/>
  <c r="C175" i="7"/>
  <c r="I175" i="7" s="1"/>
  <c r="C297" i="7"/>
  <c r="I297" i="7" s="1"/>
  <c r="C205" i="7"/>
  <c r="I205" i="7" s="1"/>
  <c r="C152" i="7"/>
  <c r="I152" i="7" s="1"/>
  <c r="C286" i="7"/>
  <c r="I286" i="7" s="1"/>
  <c r="C110" i="7"/>
  <c r="I110" i="7" s="1"/>
  <c r="C272" i="7"/>
  <c r="I272" i="7" s="1"/>
  <c r="C296" i="7"/>
  <c r="I296" i="7" s="1"/>
  <c r="C240" i="7"/>
  <c r="I240" i="7" s="1"/>
  <c r="C295" i="7"/>
  <c r="I295" i="7" s="1"/>
  <c r="C250" i="7"/>
  <c r="I250" i="7" s="1"/>
  <c r="C111" i="7"/>
  <c r="I111" i="7" s="1"/>
  <c r="C195" i="7"/>
  <c r="I195" i="7" s="1"/>
  <c r="C292" i="7"/>
  <c r="I292" i="7" s="1"/>
  <c r="C188" i="7"/>
  <c r="I188" i="7" s="1"/>
  <c r="C285" i="7"/>
  <c r="I285" i="7" s="1"/>
  <c r="C241" i="7"/>
  <c r="I241" i="7" s="1"/>
  <c r="C112" i="7"/>
  <c r="I112" i="7" s="1"/>
  <c r="C194" i="7"/>
  <c r="I194" i="7" s="1"/>
  <c r="C187" i="7"/>
  <c r="I187" i="7" s="1"/>
  <c r="C190" i="7"/>
  <c r="I190" i="7" s="1"/>
  <c r="C275" i="7"/>
  <c r="I275" i="7" s="1"/>
  <c r="C284" i="7"/>
  <c r="I284" i="7" s="1"/>
  <c r="C113" i="7"/>
  <c r="I113" i="7" s="1"/>
  <c r="C153" i="7"/>
  <c r="I153" i="7" s="1"/>
  <c r="C242" i="7"/>
  <c r="I242" i="7" s="1"/>
  <c r="C158" i="7"/>
  <c r="I158" i="7" s="1"/>
  <c r="C186" i="7"/>
  <c r="I186" i="7" s="1"/>
  <c r="C168" i="7"/>
  <c r="I168" i="7" s="1"/>
  <c r="C114" i="7"/>
  <c r="I114" i="7" s="1"/>
  <c r="C204" i="7"/>
  <c r="I204" i="7" s="1"/>
  <c r="C197" i="7"/>
  <c r="I197" i="7" s="1"/>
  <c r="C185" i="7"/>
  <c r="I185" i="7" s="1"/>
  <c r="C283" i="7"/>
  <c r="I283" i="7" s="1"/>
  <c r="C243" i="7"/>
  <c r="I243" i="7" s="1"/>
  <c r="C115" i="7"/>
  <c r="I115" i="7" s="1"/>
  <c r="C251" i="7"/>
  <c r="I251" i="7" s="1"/>
  <c r="C235" i="7"/>
  <c r="I235" i="7" s="1"/>
  <c r="C184" i="7"/>
  <c r="I184" i="7" s="1"/>
  <c r="C202" i="7"/>
  <c r="I202" i="7" s="1"/>
  <c r="C282" i="7"/>
  <c r="I282" i="7" s="1"/>
  <c r="C116" i="7"/>
  <c r="I116" i="7" s="1"/>
  <c r="C154" i="7"/>
  <c r="I154" i="7" s="1"/>
  <c r="C244" i="7"/>
  <c r="I244" i="7" s="1"/>
  <c r="C162" i="7"/>
  <c r="I162" i="7" s="1"/>
  <c r="C167" i="7"/>
  <c r="I167" i="7" s="1"/>
  <c r="C183" i="7"/>
  <c r="I183" i="7" s="1"/>
  <c r="C117" i="7"/>
  <c r="I117" i="7" s="1"/>
  <c r="C238" i="7"/>
  <c r="I238" i="7" s="1"/>
  <c r="C160" i="7"/>
  <c r="I160" i="7" s="1"/>
  <c r="C239" i="7"/>
  <c r="I239" i="7" s="1"/>
  <c r="C274" i="7"/>
  <c r="I274" i="7" s="1"/>
  <c r="C281" i="7"/>
  <c r="I281" i="7" s="1"/>
  <c r="C118" i="7"/>
  <c r="I118" i="7" s="1"/>
  <c r="C166" i="7"/>
  <c r="I166" i="7" s="1"/>
  <c r="C203" i="7"/>
  <c r="I203" i="7" s="1"/>
  <c r="C191" i="7"/>
  <c r="I191" i="7" s="1"/>
  <c r="C182" i="7"/>
  <c r="I182" i="7" s="1"/>
  <c r="C155" i="7"/>
  <c r="I155" i="7" s="1"/>
  <c r="C119" i="7"/>
  <c r="I119" i="7" s="1"/>
  <c r="C259" i="7"/>
  <c r="I259" i="7" s="1"/>
  <c r="C245" i="7"/>
  <c r="I245" i="7" s="1"/>
  <c r="C165" i="7"/>
  <c r="I165" i="7" s="1"/>
  <c r="C280" i="7"/>
  <c r="I280" i="7" s="1"/>
  <c r="C181" i="7"/>
  <c r="I181" i="7" s="1"/>
  <c r="C120" i="7"/>
  <c r="I120" i="7" s="1"/>
  <c r="C252" i="7"/>
  <c r="I252" i="7" s="1"/>
  <c r="C180" i="7"/>
  <c r="I180" i="7" s="1"/>
  <c r="C246" i="7"/>
  <c r="I246" i="7" s="1"/>
  <c r="C161" i="7"/>
  <c r="I161" i="7" s="1"/>
  <c r="C279" i="7"/>
  <c r="I279" i="7" s="1"/>
  <c r="C121" i="7"/>
  <c r="I121" i="7" s="1"/>
  <c r="C273" i="7"/>
  <c r="I273" i="7" s="1"/>
  <c r="C196" i="7"/>
  <c r="I196" i="7" s="1"/>
  <c r="C156" i="7"/>
  <c r="I156" i="7" s="1"/>
  <c r="C179" i="7"/>
  <c r="I179" i="7" s="1"/>
  <c r="C271" i="7"/>
  <c r="I271" i="7" s="1"/>
  <c r="C127" i="7"/>
  <c r="I127" i="7" s="1"/>
  <c r="C164" i="7"/>
  <c r="I164" i="7" s="1"/>
  <c r="C247" i="7"/>
  <c r="I247" i="7" s="1"/>
  <c r="C178" i="7"/>
  <c r="I178" i="7" s="1"/>
  <c r="C278" i="7"/>
  <c r="I278" i="7" s="1"/>
  <c r="C236" i="7"/>
  <c r="I236" i="7" s="1"/>
  <c r="C225" i="7"/>
  <c r="I225" i="7" s="1"/>
  <c r="D188" i="7"/>
  <c r="J188" i="7" s="1"/>
  <c r="D291" i="7"/>
  <c r="J291" i="7" s="1"/>
  <c r="D88" i="7"/>
  <c r="J88" i="7" s="1"/>
  <c r="D89" i="7"/>
  <c r="J89" i="7" s="1"/>
  <c r="D103" i="7"/>
  <c r="J103" i="7" s="1"/>
  <c r="D290" i="7"/>
  <c r="J290" i="7" s="1"/>
  <c r="D104" i="7"/>
  <c r="J104" i="7" s="1"/>
  <c r="D289" i="7"/>
  <c r="J289" i="7" s="1"/>
  <c r="D105" i="7"/>
  <c r="J105" i="7" s="1"/>
  <c r="D240" i="7"/>
  <c r="J240" i="7" s="1"/>
  <c r="D106" i="7"/>
  <c r="J106" i="7" s="1"/>
  <c r="D288" i="7"/>
  <c r="J288" i="7" s="1"/>
  <c r="D107" i="7"/>
  <c r="J107" i="7" s="1"/>
  <c r="D189" i="7"/>
  <c r="J189" i="7" s="1"/>
  <c r="D287" i="7"/>
  <c r="J287" i="7" s="1"/>
  <c r="D108" i="7"/>
  <c r="J108" i="7" s="1"/>
  <c r="D109" i="7"/>
  <c r="J109" i="7" s="1"/>
  <c r="D286" i="7"/>
  <c r="J286" i="7" s="1"/>
  <c r="D110" i="7"/>
  <c r="J110" i="7" s="1"/>
  <c r="D285" i="7"/>
  <c r="J285" i="7" s="1"/>
  <c r="D111" i="7"/>
  <c r="J111" i="7" s="1"/>
  <c r="D112" i="7"/>
  <c r="J112" i="7" s="1"/>
  <c r="D284" i="7"/>
  <c r="J284" i="7" s="1"/>
  <c r="D113" i="7"/>
  <c r="J113" i="7" s="1"/>
  <c r="D190" i="7"/>
  <c r="J190" i="7" s="1"/>
  <c r="D283" i="7"/>
  <c r="J283" i="7" s="1"/>
  <c r="D114" i="7"/>
  <c r="J114" i="7" s="1"/>
  <c r="D115" i="7"/>
  <c r="J115" i="7" s="1"/>
  <c r="D282" i="7"/>
  <c r="J282" i="7" s="1"/>
  <c r="D116" i="7"/>
  <c r="J116" i="7" s="1"/>
  <c r="D239" i="7"/>
  <c r="J239" i="7" s="1"/>
  <c r="D316" i="7"/>
  <c r="J316" i="7" s="1"/>
  <c r="D117" i="7"/>
  <c r="J117" i="7" s="1"/>
  <c r="D281" i="7"/>
  <c r="J281" i="7" s="1"/>
  <c r="D118" i="7"/>
  <c r="J118" i="7" s="1"/>
  <c r="D280" i="7"/>
  <c r="J280" i="7" s="1"/>
  <c r="D119" i="7"/>
  <c r="J119" i="7" s="1"/>
  <c r="D191" i="7"/>
  <c r="J191" i="7" s="1"/>
  <c r="D120" i="7"/>
  <c r="J120" i="7" s="1"/>
  <c r="D279" i="7"/>
  <c r="J279" i="7" s="1"/>
  <c r="D121" i="7"/>
  <c r="J121" i="7" s="1"/>
  <c r="D204" i="7"/>
  <c r="J204" i="7" s="1"/>
  <c r="D278" i="7"/>
  <c r="J278" i="7" s="1"/>
  <c r="D127" i="7"/>
  <c r="J127" i="7" s="1"/>
  <c r="D149" i="7"/>
  <c r="J149" i="7" s="1"/>
  <c r="D238" i="7"/>
  <c r="J238" i="7" s="1"/>
  <c r="D277" i="7"/>
  <c r="J277" i="7" s="1"/>
  <c r="D150" i="7"/>
  <c r="J150" i="7" s="1"/>
  <c r="D276" i="7"/>
  <c r="J276" i="7" s="1"/>
  <c r="D151" i="7"/>
  <c r="J151" i="7" s="1"/>
  <c r="D192" i="7"/>
  <c r="J192" i="7" s="1"/>
  <c r="D152" i="7"/>
  <c r="J152" i="7" s="1"/>
  <c r="D275" i="7"/>
  <c r="J275" i="7" s="1"/>
  <c r="D153" i="7"/>
  <c r="J153" i="7" s="1"/>
  <c r="D274" i="7"/>
  <c r="J274" i="7" s="1"/>
  <c r="D154" i="7"/>
  <c r="J154" i="7" s="1"/>
  <c r="D155" i="7"/>
  <c r="J155" i="7" s="1"/>
  <c r="D273" i="7"/>
  <c r="J273" i="7" s="1"/>
  <c r="D156" i="7"/>
  <c r="J156" i="7" s="1"/>
  <c r="D272" i="7"/>
  <c r="J272" i="7" s="1"/>
  <c r="D157" i="7"/>
  <c r="J157" i="7" s="1"/>
  <c r="D193" i="7"/>
  <c r="J193" i="7" s="1"/>
  <c r="D158" i="7"/>
  <c r="J158" i="7" s="1"/>
  <c r="D271" i="7"/>
  <c r="J271" i="7" s="1"/>
  <c r="D159" i="7"/>
  <c r="J159" i="7" s="1"/>
  <c r="D270" i="7"/>
  <c r="J270" i="7" s="1"/>
  <c r="D160" i="7"/>
  <c r="J160" i="7" s="1"/>
  <c r="D174" i="7"/>
  <c r="J174" i="7" s="1"/>
  <c r="D237" i="7"/>
  <c r="J237" i="7" s="1"/>
  <c r="D161" i="7"/>
  <c r="J161" i="7" s="1"/>
  <c r="D259" i="7"/>
  <c r="J259" i="7" s="1"/>
  <c r="D162" i="7"/>
  <c r="J162" i="7" s="1"/>
  <c r="D258" i="7"/>
  <c r="J258" i="7" s="1"/>
  <c r="D163" i="7"/>
  <c r="J163" i="7" s="1"/>
  <c r="D194" i="7"/>
  <c r="J194" i="7" s="1"/>
  <c r="D164" i="7"/>
  <c r="J164" i="7" s="1"/>
  <c r="D252" i="7"/>
  <c r="J252" i="7" s="1"/>
  <c r="D165" i="7"/>
  <c r="J165" i="7" s="1"/>
  <c r="D202" i="7"/>
  <c r="J202" i="7" s="1"/>
  <c r="D251" i="7"/>
  <c r="J251" i="7" s="1"/>
  <c r="D166" i="7"/>
  <c r="J166" i="7" s="1"/>
  <c r="D167" i="7"/>
  <c r="J167" i="7" s="1"/>
  <c r="D236" i="7"/>
  <c r="J236" i="7" s="1"/>
  <c r="D168" i="7"/>
  <c r="J168" i="7" s="1"/>
  <c r="D250" i="7"/>
  <c r="J250" i="7" s="1"/>
  <c r="D195" i="7"/>
  <c r="J195" i="7" s="1"/>
  <c r="D249" i="7"/>
  <c r="J249" i="7" s="1"/>
  <c r="D175" i="7"/>
  <c r="J175" i="7" s="1"/>
  <c r="D176" i="7"/>
  <c r="J176" i="7" s="1"/>
  <c r="D248" i="7"/>
  <c r="J248" i="7" s="1"/>
  <c r="D177" i="7"/>
  <c r="J177" i="7" s="1"/>
  <c r="D247" i="7"/>
  <c r="J247" i="7" s="1"/>
  <c r="D178" i="7"/>
  <c r="J178" i="7" s="1"/>
  <c r="D179" i="7"/>
  <c r="J179" i="7" s="1"/>
  <c r="D246" i="7"/>
  <c r="J246" i="7" s="1"/>
  <c r="D180" i="7"/>
  <c r="J180" i="7" s="1"/>
  <c r="D196" i="7"/>
  <c r="J196" i="7" s="1"/>
  <c r="D245" i="7"/>
  <c r="J245" i="7" s="1"/>
  <c r="D181" i="7"/>
  <c r="J181" i="7" s="1"/>
  <c r="D182" i="7"/>
  <c r="J182" i="7" s="1"/>
  <c r="D203" i="7"/>
  <c r="J203" i="7" s="1"/>
  <c r="D244" i="7"/>
  <c r="J244" i="7" s="1"/>
  <c r="D183" i="7"/>
  <c r="J183" i="7" s="1"/>
  <c r="D235" i="7"/>
  <c r="J235" i="7" s="1"/>
  <c r="D184" i="7"/>
  <c r="J184" i="7" s="1"/>
  <c r="D243" i="7"/>
  <c r="J243" i="7" s="1"/>
  <c r="D185" i="7"/>
  <c r="J185" i="7" s="1"/>
  <c r="D242" i="7"/>
  <c r="J242" i="7" s="1"/>
  <c r="D186" i="7"/>
  <c r="J186" i="7" s="1"/>
  <c r="D197" i="7"/>
  <c r="J197" i="7" s="1"/>
  <c r="D187" i="7"/>
  <c r="J187" i="7" s="1"/>
  <c r="D241" i="7"/>
  <c r="J241" i="7" s="1"/>
  <c r="D292" i="7"/>
  <c r="J292" i="7" s="1"/>
  <c r="D295" i="7"/>
  <c r="J295" i="7" s="1"/>
  <c r="D296" i="7"/>
  <c r="J296" i="7" s="1"/>
  <c r="D297" i="7"/>
  <c r="J297" i="7" s="1"/>
  <c r="D298" i="7"/>
  <c r="J298" i="7" s="1"/>
  <c r="D315" i="7"/>
  <c r="J315" i="7" s="1"/>
  <c r="D317" i="7"/>
  <c r="J317" i="7" s="1"/>
  <c r="D318" i="7"/>
  <c r="J318" i="7" s="1"/>
  <c r="D319" i="7"/>
  <c r="J319" i="7" s="1"/>
  <c r="D320" i="7"/>
  <c r="J320" i="7" s="1"/>
  <c r="D214" i="7"/>
  <c r="J214" i="7" s="1"/>
  <c r="D215" i="7"/>
  <c r="J215" i="7" s="1"/>
  <c r="D216" i="7"/>
  <c r="J216" i="7" s="1"/>
  <c r="D217" i="7"/>
  <c r="J217" i="7" s="1"/>
  <c r="D218" i="7"/>
  <c r="J218" i="7" s="1"/>
  <c r="D219" i="7"/>
  <c r="J219" i="7" s="1"/>
  <c r="D220" i="7"/>
  <c r="J220" i="7" s="1"/>
  <c r="D221" i="7"/>
  <c r="J221" i="7" s="1"/>
  <c r="D222" i="7"/>
  <c r="J222" i="7" s="1"/>
  <c r="D223" i="7"/>
  <c r="J223" i="7" s="1"/>
  <c r="D224" i="7"/>
  <c r="J224" i="7" s="1"/>
  <c r="D87" i="7"/>
  <c r="J87" i="7" s="1"/>
  <c r="D225" i="7"/>
  <c r="J225" i="7" s="1"/>
  <c r="E259" i="7"/>
  <c r="K259" i="7" s="1"/>
  <c r="E177" i="7"/>
  <c r="K177" i="7" s="1"/>
  <c r="E277" i="7"/>
  <c r="K277" i="7" s="1"/>
  <c r="E247" i="7"/>
  <c r="K247" i="7" s="1"/>
  <c r="E164" i="7"/>
  <c r="K164" i="7" s="1"/>
  <c r="E238" i="7"/>
  <c r="K238" i="7" s="1"/>
  <c r="E194" i="7"/>
  <c r="K194" i="7" s="1"/>
  <c r="E178" i="7"/>
  <c r="K178" i="7" s="1"/>
  <c r="E235" i="7"/>
  <c r="K235" i="7" s="1"/>
  <c r="E127" i="7"/>
  <c r="K127" i="7" s="1"/>
  <c r="E246" i="7"/>
  <c r="K246" i="7" s="1"/>
  <c r="E278" i="7"/>
  <c r="K278" i="7" s="1"/>
  <c r="E193" i="7"/>
  <c r="K193" i="7" s="1"/>
  <c r="E179" i="7"/>
  <c r="K179" i="7" s="1"/>
  <c r="E121" i="7"/>
  <c r="K121" i="7" s="1"/>
  <c r="E237" i="7"/>
  <c r="K237" i="7" s="1"/>
  <c r="E191" i="7"/>
  <c r="K191" i="7" s="1"/>
  <c r="E120" i="7"/>
  <c r="K120" i="7" s="1"/>
  <c r="E155" i="7"/>
  <c r="K155" i="7" s="1"/>
  <c r="E180" i="7"/>
  <c r="K180" i="7" s="1"/>
  <c r="E158" i="7"/>
  <c r="K158" i="7" s="1"/>
  <c r="E245" i="7"/>
  <c r="K245" i="7" s="1"/>
  <c r="E165" i="7"/>
  <c r="K165" i="7" s="1"/>
  <c r="E279" i="7"/>
  <c r="K279" i="7" s="1"/>
  <c r="E270" i="7"/>
  <c r="K270" i="7" s="1"/>
  <c r="E181" i="7"/>
  <c r="K181" i="7" s="1"/>
  <c r="E196" i="7"/>
  <c r="K196" i="7" s="1"/>
  <c r="E119" i="7"/>
  <c r="K119" i="7" s="1"/>
  <c r="E244" i="7"/>
  <c r="K244" i="7" s="1"/>
  <c r="E280" i="7"/>
  <c r="K280" i="7" s="1"/>
  <c r="E251" i="7"/>
  <c r="K251" i="7" s="1"/>
  <c r="E182" i="7"/>
  <c r="K182" i="7" s="1"/>
  <c r="E162" i="7"/>
  <c r="K162" i="7" s="1"/>
  <c r="E118" i="7"/>
  <c r="K118" i="7" s="1"/>
  <c r="E273" i="7"/>
  <c r="K273" i="7" s="1"/>
  <c r="E281" i="7"/>
  <c r="K281" i="7" s="1"/>
  <c r="E271" i="7"/>
  <c r="K271" i="7" s="1"/>
  <c r="E183" i="7"/>
  <c r="K183" i="7" s="1"/>
  <c r="E166" i="7"/>
  <c r="K166" i="7" s="1"/>
  <c r="E116" i="7"/>
  <c r="K116" i="7" s="1"/>
  <c r="E243" i="7"/>
  <c r="K243" i="7" s="1"/>
  <c r="E204" i="7"/>
  <c r="K204" i="7" s="1"/>
  <c r="E236" i="7"/>
  <c r="K236" i="7" s="1"/>
  <c r="E184" i="7"/>
  <c r="K184" i="7" s="1"/>
  <c r="E115" i="7"/>
  <c r="K115" i="7" s="1"/>
  <c r="E154" i="7"/>
  <c r="K154" i="7" s="1"/>
  <c r="E282" i="7"/>
  <c r="K282" i="7" s="1"/>
  <c r="E190" i="7"/>
  <c r="K190" i="7" s="1"/>
  <c r="E258" i="7"/>
  <c r="K258" i="7" s="1"/>
  <c r="E185" i="7"/>
  <c r="K185" i="7" s="1"/>
  <c r="E114" i="7"/>
  <c r="K114" i="7" s="1"/>
  <c r="E242" i="7"/>
  <c r="K242" i="7" s="1"/>
  <c r="E167" i="7"/>
  <c r="K167" i="7" s="1"/>
  <c r="E283" i="7"/>
  <c r="K283" i="7" s="1"/>
  <c r="E117" i="7"/>
  <c r="K117" i="7" s="1"/>
  <c r="E186" i="7"/>
  <c r="K186" i="7" s="1"/>
  <c r="E274" i="7"/>
  <c r="K274" i="7" s="1"/>
  <c r="E113" i="7"/>
  <c r="K113" i="7" s="1"/>
  <c r="E241" i="7"/>
  <c r="K241" i="7" s="1"/>
  <c r="E112" i="7"/>
  <c r="K112" i="7" s="1"/>
  <c r="E250" i="7"/>
  <c r="K250" i="7" s="1"/>
  <c r="E187" i="7"/>
  <c r="K187" i="7" s="1"/>
  <c r="E197" i="7"/>
  <c r="K197" i="7" s="1"/>
  <c r="E153" i="7"/>
  <c r="K153" i="7" s="1"/>
  <c r="E284" i="7"/>
  <c r="K284" i="7" s="1"/>
  <c r="E239" i="7"/>
  <c r="K239" i="7" s="1"/>
  <c r="E111" i="7"/>
  <c r="K111" i="7" s="1"/>
  <c r="E157" i="7"/>
  <c r="K157" i="7" s="1"/>
  <c r="E292" i="7"/>
  <c r="K292" i="7" s="1"/>
  <c r="E285" i="7"/>
  <c r="K285" i="7" s="1"/>
  <c r="E168" i="7"/>
  <c r="K168" i="7" s="1"/>
  <c r="E295" i="7"/>
  <c r="K295" i="7" s="1"/>
  <c r="E110" i="7"/>
  <c r="K110" i="7" s="1"/>
  <c r="E192" i="7"/>
  <c r="K192" i="7" s="1"/>
  <c r="E296" i="7"/>
  <c r="K296" i="7" s="1"/>
  <c r="E109" i="7"/>
  <c r="K109" i="7" s="1"/>
  <c r="E161" i="7"/>
  <c r="K161" i="7" s="1"/>
  <c r="E297" i="7"/>
  <c r="K297" i="7" s="1"/>
  <c r="E286" i="7"/>
  <c r="K286" i="7" s="1"/>
  <c r="E152" i="7"/>
  <c r="K152" i="7" s="1"/>
  <c r="E298" i="7"/>
  <c r="K298" i="7" s="1"/>
  <c r="E189" i="7"/>
  <c r="K189" i="7" s="1"/>
  <c r="E160" i="7"/>
  <c r="K160" i="7" s="1"/>
  <c r="E315" i="7"/>
  <c r="K315" i="7" s="1"/>
  <c r="E108" i="7"/>
  <c r="K108" i="7" s="1"/>
  <c r="E316" i="7"/>
  <c r="K316" i="7" s="1"/>
  <c r="E287" i="7"/>
  <c r="K287" i="7" s="1"/>
  <c r="E174" i="7"/>
  <c r="K174" i="7" s="1"/>
  <c r="E317" i="7"/>
  <c r="K317" i="7" s="1"/>
  <c r="E107" i="7"/>
  <c r="K107" i="7" s="1"/>
  <c r="E163" i="7"/>
  <c r="K163" i="7" s="1"/>
  <c r="E318" i="7"/>
  <c r="K318" i="7" s="1"/>
  <c r="E106" i="7"/>
  <c r="K106" i="7" s="1"/>
  <c r="E249" i="7"/>
  <c r="K249" i="7" s="1"/>
  <c r="E319" i="7"/>
  <c r="K319" i="7" s="1"/>
  <c r="E288" i="7"/>
  <c r="K288" i="7" s="1"/>
  <c r="E159" i="7"/>
  <c r="K159" i="7" s="1"/>
  <c r="E320" i="7"/>
  <c r="K320" i="7" s="1"/>
  <c r="E105" i="7"/>
  <c r="K105" i="7" s="1"/>
  <c r="E275" i="7"/>
  <c r="K275" i="7" s="1"/>
  <c r="E214" i="7"/>
  <c r="K214" i="7" s="1"/>
  <c r="E289" i="7"/>
  <c r="K289" i="7" s="1"/>
  <c r="E272" i="7"/>
  <c r="K272" i="7" s="1"/>
  <c r="E215" i="7"/>
  <c r="K215" i="7" s="1"/>
  <c r="E240" i="7"/>
  <c r="K240" i="7" s="1"/>
  <c r="E175" i="7"/>
  <c r="K175" i="7" s="1"/>
  <c r="E216" i="7"/>
  <c r="K216" i="7" s="1"/>
  <c r="E104" i="7"/>
  <c r="K104" i="7" s="1"/>
  <c r="E195" i="7"/>
  <c r="K195" i="7" s="1"/>
  <c r="E217" i="7"/>
  <c r="K217" i="7" s="1"/>
  <c r="E203" i="7"/>
  <c r="K203" i="7" s="1"/>
  <c r="E151" i="7"/>
  <c r="K151" i="7" s="1"/>
  <c r="E218" i="7"/>
  <c r="K218" i="7" s="1"/>
  <c r="E103" i="7"/>
  <c r="K103" i="7" s="1"/>
  <c r="E248" i="7"/>
  <c r="K248" i="7" s="1"/>
  <c r="E219" i="7"/>
  <c r="K219" i="7" s="1"/>
  <c r="E290" i="7"/>
  <c r="K290" i="7" s="1"/>
  <c r="E276" i="7"/>
  <c r="K276" i="7" s="1"/>
  <c r="E220" i="7"/>
  <c r="K220" i="7" s="1"/>
  <c r="E188" i="7"/>
  <c r="K188" i="7" s="1"/>
  <c r="E252" i="7"/>
  <c r="K252" i="7" s="1"/>
  <c r="E221" i="7"/>
  <c r="K221" i="7" s="1"/>
  <c r="E88" i="7"/>
  <c r="K88" i="7" s="1"/>
  <c r="E176" i="7"/>
  <c r="K176" i="7" s="1"/>
  <c r="E222" i="7"/>
  <c r="K222" i="7" s="1"/>
  <c r="E291" i="7"/>
  <c r="K291" i="7" s="1"/>
  <c r="E202" i="7"/>
  <c r="K202" i="7" s="1"/>
  <c r="E223" i="7"/>
  <c r="K223" i="7" s="1"/>
  <c r="E87" i="7"/>
  <c r="K87" i="7" s="1"/>
  <c r="E156" i="7"/>
  <c r="K156" i="7" s="1"/>
  <c r="E224" i="7"/>
  <c r="K224" i="7" s="1"/>
  <c r="E150" i="7"/>
  <c r="K150" i="7" s="1"/>
  <c r="E149" i="7"/>
  <c r="K149" i="7" s="1"/>
  <c r="E225" i="7"/>
  <c r="K225" i="7" s="1"/>
  <c r="F203" i="7"/>
  <c r="L203" i="7" s="1"/>
  <c r="F204" i="7"/>
  <c r="L204" i="7" s="1"/>
  <c r="F235" i="7"/>
  <c r="L235" i="7" s="1"/>
  <c r="F236" i="7"/>
  <c r="L236" i="7" s="1"/>
  <c r="F237" i="7"/>
  <c r="L237" i="7" s="1"/>
  <c r="F238" i="7"/>
  <c r="L238" i="7" s="1"/>
  <c r="F239" i="7"/>
  <c r="L239" i="7" s="1"/>
  <c r="F240" i="7"/>
  <c r="L240" i="7" s="1"/>
  <c r="F241" i="7"/>
  <c r="L241" i="7" s="1"/>
  <c r="F242" i="7"/>
  <c r="L242" i="7" s="1"/>
  <c r="F243" i="7"/>
  <c r="L243" i="7" s="1"/>
  <c r="F244" i="7"/>
  <c r="L244" i="7" s="1"/>
  <c r="F245" i="7"/>
  <c r="L245" i="7" s="1"/>
  <c r="F246" i="7"/>
  <c r="L246" i="7" s="1"/>
  <c r="F247" i="7"/>
  <c r="L247" i="7" s="1"/>
  <c r="F248" i="7"/>
  <c r="L248" i="7" s="1"/>
  <c r="F250" i="7"/>
  <c r="L250" i="7" s="1"/>
  <c r="F251" i="7"/>
  <c r="L251" i="7" s="1"/>
  <c r="F252" i="7"/>
  <c r="L252" i="7" s="1"/>
  <c r="F258" i="7"/>
  <c r="L258" i="7" s="1"/>
  <c r="F259" i="7"/>
  <c r="L259" i="7" s="1"/>
  <c r="F270" i="7"/>
  <c r="L270" i="7" s="1"/>
  <c r="F271" i="7"/>
  <c r="L271" i="7" s="1"/>
  <c r="F272" i="7"/>
  <c r="L272" i="7" s="1"/>
  <c r="F273" i="7"/>
  <c r="L273" i="7" s="1"/>
  <c r="F274" i="7"/>
  <c r="L274" i="7" s="1"/>
  <c r="F275" i="7"/>
  <c r="L275" i="7" s="1"/>
  <c r="F276" i="7"/>
  <c r="L276" i="7" s="1"/>
  <c r="F277" i="7"/>
  <c r="L277" i="7" s="1"/>
  <c r="F278" i="7"/>
  <c r="L278" i="7" s="1"/>
  <c r="F279" i="7"/>
  <c r="L279" i="7" s="1"/>
  <c r="F280" i="7"/>
  <c r="L280" i="7" s="1"/>
  <c r="F282" i="7"/>
  <c r="L282" i="7" s="1"/>
  <c r="F283" i="7"/>
  <c r="L283" i="7" s="1"/>
  <c r="F284" i="7"/>
  <c r="L284" i="7" s="1"/>
  <c r="F285" i="7"/>
  <c r="L285" i="7" s="1"/>
  <c r="F286" i="7"/>
  <c r="L286" i="7" s="1"/>
  <c r="F287" i="7"/>
  <c r="L287" i="7" s="1"/>
  <c r="F288" i="7"/>
  <c r="L288" i="7" s="1"/>
  <c r="F289" i="7"/>
  <c r="L289" i="7" s="1"/>
  <c r="F290" i="7"/>
  <c r="L290" i="7" s="1"/>
  <c r="F291" i="7"/>
  <c r="L291" i="7" s="1"/>
  <c r="F87" i="7"/>
  <c r="L87" i="7" s="1"/>
  <c r="F88" i="7"/>
  <c r="L88" i="7" s="1"/>
  <c r="F103" i="7"/>
  <c r="L103" i="7" s="1"/>
  <c r="F292" i="7"/>
  <c r="L292" i="7" s="1"/>
  <c r="F294" i="7"/>
  <c r="L294" i="7" s="1"/>
  <c r="F104" i="7"/>
  <c r="L104" i="7" s="1"/>
  <c r="F105" i="7"/>
  <c r="L105" i="7" s="1"/>
  <c r="F106" i="7"/>
  <c r="L106" i="7" s="1"/>
  <c r="F295" i="7"/>
  <c r="L295" i="7" s="1"/>
  <c r="F107" i="7"/>
  <c r="L107" i="7" s="1"/>
  <c r="F108" i="7"/>
  <c r="L108" i="7" s="1"/>
  <c r="F109" i="7"/>
  <c r="L109" i="7" s="1"/>
  <c r="F296" i="7"/>
  <c r="L296" i="7" s="1"/>
  <c r="F110" i="7"/>
  <c r="L110" i="7" s="1"/>
  <c r="F111" i="7"/>
  <c r="L111" i="7" s="1"/>
  <c r="F112" i="7"/>
  <c r="L112" i="7" s="1"/>
  <c r="F297" i="7"/>
  <c r="L297" i="7" s="1"/>
  <c r="F113" i="7"/>
  <c r="L113" i="7" s="1"/>
  <c r="F114" i="7"/>
  <c r="L114" i="7" s="1"/>
  <c r="F115" i="7"/>
  <c r="L115" i="7" s="1"/>
  <c r="F116" i="7"/>
  <c r="L116" i="7" s="1"/>
  <c r="F117" i="7"/>
  <c r="L117" i="7" s="1"/>
  <c r="F118" i="7"/>
  <c r="L118" i="7" s="1"/>
  <c r="F315" i="7"/>
  <c r="L315" i="7" s="1"/>
  <c r="F119" i="7"/>
  <c r="L119" i="7" s="1"/>
  <c r="F281" i="7"/>
  <c r="L281" i="7" s="1"/>
  <c r="F120" i="7"/>
  <c r="L120" i="7" s="1"/>
  <c r="F316" i="7"/>
  <c r="L316" i="7" s="1"/>
  <c r="F121" i="7"/>
  <c r="L121" i="7" s="1"/>
  <c r="F127" i="7"/>
  <c r="L127" i="7" s="1"/>
  <c r="F149" i="7"/>
  <c r="L149" i="7" s="1"/>
  <c r="F317" i="7"/>
  <c r="L317" i="7" s="1"/>
  <c r="F150" i="7"/>
  <c r="L150" i="7" s="1"/>
  <c r="F151" i="7"/>
  <c r="L151" i="7" s="1"/>
  <c r="F152" i="7"/>
  <c r="L152" i="7" s="1"/>
  <c r="F318" i="7"/>
  <c r="L318" i="7" s="1"/>
  <c r="F153" i="7"/>
  <c r="L153" i="7" s="1"/>
  <c r="F154" i="7"/>
  <c r="L154" i="7" s="1"/>
  <c r="F155" i="7"/>
  <c r="L155" i="7" s="1"/>
  <c r="F319" i="7"/>
  <c r="L319" i="7" s="1"/>
  <c r="F156" i="7"/>
  <c r="L156" i="7" s="1"/>
  <c r="F157" i="7"/>
  <c r="L157" i="7" s="1"/>
  <c r="F158" i="7"/>
  <c r="L158" i="7" s="1"/>
  <c r="F320" i="7"/>
  <c r="L320" i="7" s="1"/>
  <c r="F159" i="7"/>
  <c r="L159" i="7" s="1"/>
  <c r="F160" i="7"/>
  <c r="L160" i="7" s="1"/>
  <c r="F161" i="7"/>
  <c r="L161" i="7" s="1"/>
  <c r="F214" i="7"/>
  <c r="L214" i="7" s="1"/>
  <c r="F162" i="7"/>
  <c r="L162" i="7" s="1"/>
  <c r="F163" i="7"/>
  <c r="L163" i="7" s="1"/>
  <c r="F164" i="7"/>
  <c r="L164" i="7" s="1"/>
  <c r="F215" i="7"/>
  <c r="L215" i="7" s="1"/>
  <c r="F165" i="7"/>
  <c r="L165" i="7" s="1"/>
  <c r="F166" i="7"/>
  <c r="L166" i="7" s="1"/>
  <c r="F167" i="7"/>
  <c r="L167" i="7" s="1"/>
  <c r="F216" i="7"/>
  <c r="L216" i="7" s="1"/>
  <c r="F168" i="7"/>
  <c r="L168" i="7" s="1"/>
  <c r="F174" i="7"/>
  <c r="L174" i="7" s="1"/>
  <c r="F175" i="7"/>
  <c r="L175" i="7" s="1"/>
  <c r="F217" i="7"/>
  <c r="L217" i="7" s="1"/>
  <c r="F176" i="7"/>
  <c r="L176" i="7" s="1"/>
  <c r="F177" i="7"/>
  <c r="L177" i="7" s="1"/>
  <c r="F178" i="7"/>
  <c r="L178" i="7" s="1"/>
  <c r="F218" i="7"/>
  <c r="L218" i="7" s="1"/>
  <c r="F179" i="7"/>
  <c r="L179" i="7" s="1"/>
  <c r="F180" i="7"/>
  <c r="L180" i="7" s="1"/>
  <c r="F181" i="7"/>
  <c r="L181" i="7" s="1"/>
  <c r="F219" i="7"/>
  <c r="L219" i="7" s="1"/>
  <c r="F182" i="7"/>
  <c r="L182" i="7" s="1"/>
  <c r="F183" i="7"/>
  <c r="L183" i="7" s="1"/>
  <c r="F184" i="7"/>
  <c r="L184" i="7" s="1"/>
  <c r="F220" i="7"/>
  <c r="L220" i="7" s="1"/>
  <c r="F185" i="7"/>
  <c r="L185" i="7" s="1"/>
  <c r="F186" i="7"/>
  <c r="L186" i="7" s="1"/>
  <c r="F187" i="7"/>
  <c r="L187" i="7" s="1"/>
  <c r="F221" i="7"/>
  <c r="L221" i="7" s="1"/>
  <c r="F188" i="7"/>
  <c r="L188" i="7" s="1"/>
  <c r="F189" i="7"/>
  <c r="L189" i="7" s="1"/>
  <c r="F190" i="7"/>
  <c r="L190" i="7" s="1"/>
  <c r="F222" i="7"/>
  <c r="L222" i="7" s="1"/>
  <c r="F191" i="7"/>
  <c r="L191" i="7" s="1"/>
  <c r="F192" i="7"/>
  <c r="L192" i="7" s="1"/>
  <c r="F193" i="7"/>
  <c r="L193" i="7" s="1"/>
  <c r="F223" i="7"/>
  <c r="L223" i="7" s="1"/>
  <c r="F194" i="7"/>
  <c r="L194" i="7" s="1"/>
  <c r="F195" i="7"/>
  <c r="L195" i="7" s="1"/>
  <c r="F196" i="7"/>
  <c r="L196" i="7" s="1"/>
  <c r="F224" i="7"/>
  <c r="L224" i="7" s="1"/>
  <c r="F197" i="7"/>
  <c r="L197" i="7" s="1"/>
  <c r="F202" i="7"/>
  <c r="L202" i="7" s="1"/>
  <c r="F249" i="7"/>
  <c r="L249" i="7" s="1"/>
  <c r="F225" i="7"/>
  <c r="L225" i="7" s="1"/>
  <c r="G275" i="7"/>
  <c r="M275" i="7" s="1"/>
  <c r="G159" i="7"/>
  <c r="M159" i="7" s="1"/>
  <c r="G203" i="7"/>
  <c r="M203" i="7" s="1"/>
  <c r="G270" i="7"/>
  <c r="M270" i="7" s="1"/>
  <c r="G183" i="7"/>
  <c r="M183" i="7" s="1"/>
  <c r="G292" i="7"/>
  <c r="M292" i="7" s="1"/>
  <c r="G158" i="7"/>
  <c r="M158" i="7" s="1"/>
  <c r="G240" i="7"/>
  <c r="M240" i="7" s="1"/>
  <c r="G236" i="7"/>
  <c r="M236" i="7" s="1"/>
  <c r="G271" i="7"/>
  <c r="M271" i="7" s="1"/>
  <c r="G294" i="7"/>
  <c r="M294" i="7" s="1"/>
  <c r="G157" i="7"/>
  <c r="M157" i="7" s="1"/>
  <c r="G187" i="7"/>
  <c r="M187" i="7" s="1"/>
  <c r="G156" i="7"/>
  <c r="M156" i="7" s="1"/>
  <c r="G295" i="7"/>
  <c r="M295" i="7" s="1"/>
  <c r="G272" i="7"/>
  <c r="M272" i="7" s="1"/>
  <c r="G202" i="7"/>
  <c r="M202" i="7" s="1"/>
  <c r="G241" i="7"/>
  <c r="M241" i="7" s="1"/>
  <c r="G155" i="7"/>
  <c r="M155" i="7" s="1"/>
  <c r="G186" i="7"/>
  <c r="M186" i="7" s="1"/>
  <c r="G296" i="7"/>
  <c r="M296" i="7" s="1"/>
  <c r="G273" i="7"/>
  <c r="M273" i="7" s="1"/>
  <c r="G185" i="7"/>
  <c r="M185" i="7" s="1"/>
  <c r="G154" i="7"/>
  <c r="M154" i="7" s="1"/>
  <c r="G204" i="7"/>
  <c r="M204" i="7" s="1"/>
  <c r="G153" i="7"/>
  <c r="M153" i="7" s="1"/>
  <c r="G193" i="7"/>
  <c r="M193" i="7" s="1"/>
  <c r="G274" i="7"/>
  <c r="M274" i="7" s="1"/>
  <c r="G242" i="7"/>
  <c r="M242" i="7" s="1"/>
  <c r="G297" i="7"/>
  <c r="M297" i="7" s="1"/>
  <c r="G152" i="7"/>
  <c r="M152" i="7" s="1"/>
  <c r="G184" i="7"/>
  <c r="M184" i="7" s="1"/>
  <c r="G243" i="7"/>
  <c r="M243" i="7" s="1"/>
  <c r="G117" i="7"/>
  <c r="M117" i="7" s="1"/>
  <c r="G315" i="7"/>
  <c r="M315" i="7" s="1"/>
  <c r="G151" i="7"/>
  <c r="M151" i="7" s="1"/>
  <c r="G197" i="7"/>
  <c r="M197" i="7" s="1"/>
  <c r="G150" i="7"/>
  <c r="M150" i="7" s="1"/>
  <c r="G316" i="7"/>
  <c r="M316" i="7" s="1"/>
  <c r="G276" i="7"/>
  <c r="M276" i="7" s="1"/>
  <c r="G244" i="7"/>
  <c r="M244" i="7" s="1"/>
  <c r="G181" i="7"/>
  <c r="M181" i="7" s="1"/>
  <c r="G149" i="7"/>
  <c r="M149" i="7" s="1"/>
  <c r="G317" i="7"/>
  <c r="M317" i="7" s="1"/>
  <c r="G237" i="7"/>
  <c r="M237" i="7" s="1"/>
  <c r="G277" i="7"/>
  <c r="M277" i="7" s="1"/>
  <c r="G180" i="7"/>
  <c r="M180" i="7" s="1"/>
  <c r="G127" i="7"/>
  <c r="M127" i="7" s="1"/>
  <c r="G245" i="7"/>
  <c r="M245" i="7" s="1"/>
  <c r="G121" i="7"/>
  <c r="M121" i="7" s="1"/>
  <c r="G318" i="7"/>
  <c r="M318" i="7" s="1"/>
  <c r="G278" i="7"/>
  <c r="M278" i="7" s="1"/>
  <c r="G179" i="7"/>
  <c r="M179" i="7" s="1"/>
  <c r="G196" i="7"/>
  <c r="M196" i="7" s="1"/>
  <c r="G120" i="7"/>
  <c r="M120" i="7" s="1"/>
  <c r="G319" i="7"/>
  <c r="M319" i="7" s="1"/>
  <c r="G192" i="7"/>
  <c r="M192" i="7" s="1"/>
  <c r="G279" i="7"/>
  <c r="M279" i="7" s="1"/>
  <c r="G246" i="7"/>
  <c r="M246" i="7" s="1"/>
  <c r="G119" i="7"/>
  <c r="M119" i="7" s="1"/>
  <c r="G178" i="7"/>
  <c r="M178" i="7" s="1"/>
  <c r="G118" i="7"/>
  <c r="M118" i="7" s="1"/>
  <c r="G320" i="7"/>
  <c r="M320" i="7" s="1"/>
  <c r="G280" i="7"/>
  <c r="M280" i="7" s="1"/>
  <c r="G177" i="7"/>
  <c r="M177" i="7" s="1"/>
  <c r="G247" i="7"/>
  <c r="M247" i="7" s="1"/>
  <c r="G214" i="7"/>
  <c r="M214" i="7" s="1"/>
  <c r="G251" i="7"/>
  <c r="M251" i="7" s="1"/>
  <c r="G116" i="7"/>
  <c r="M116" i="7" s="1"/>
  <c r="G281" i="7"/>
  <c r="M281" i="7" s="1"/>
  <c r="G176" i="7"/>
  <c r="M176" i="7" s="1"/>
  <c r="G215" i="7"/>
  <c r="M215" i="7" s="1"/>
  <c r="G115" i="7"/>
  <c r="M115" i="7" s="1"/>
  <c r="G248" i="7"/>
  <c r="M248" i="7" s="1"/>
  <c r="G191" i="7"/>
  <c r="M191" i="7" s="1"/>
  <c r="G282" i="7"/>
  <c r="M282" i="7" s="1"/>
  <c r="G175" i="7"/>
  <c r="M175" i="7" s="1"/>
  <c r="G114" i="7"/>
  <c r="M114" i="7" s="1"/>
  <c r="G216" i="7"/>
  <c r="M216" i="7" s="1"/>
  <c r="G113" i="7"/>
  <c r="M113" i="7" s="1"/>
  <c r="G174" i="7"/>
  <c r="M174" i="7" s="1"/>
  <c r="G283" i="7"/>
  <c r="M283" i="7" s="1"/>
  <c r="G182" i="7"/>
  <c r="M182" i="7" s="1"/>
  <c r="G249" i="7"/>
  <c r="M249" i="7" s="1"/>
  <c r="G112" i="7"/>
  <c r="M112" i="7" s="1"/>
  <c r="G217" i="7"/>
  <c r="M217" i="7" s="1"/>
  <c r="G238" i="7"/>
  <c r="M238" i="7" s="1"/>
  <c r="G284" i="7"/>
  <c r="M284" i="7" s="1"/>
  <c r="G168" i="7"/>
  <c r="M168" i="7" s="1"/>
  <c r="G111" i="7"/>
  <c r="M111" i="7" s="1"/>
  <c r="G235" i="7"/>
  <c r="M235" i="7" s="1"/>
  <c r="G110" i="7"/>
  <c r="M110" i="7" s="1"/>
  <c r="G218" i="7"/>
  <c r="M218" i="7" s="1"/>
  <c r="G285" i="7"/>
  <c r="M285" i="7" s="1"/>
  <c r="G250" i="7"/>
  <c r="M250" i="7" s="1"/>
  <c r="G167" i="7"/>
  <c r="M167" i="7" s="1"/>
  <c r="G109" i="7"/>
  <c r="M109" i="7" s="1"/>
  <c r="G219" i="7"/>
  <c r="M219" i="7" s="1"/>
  <c r="G165" i="7"/>
  <c r="M165" i="7" s="1"/>
  <c r="G286" i="7"/>
  <c r="M286" i="7" s="1"/>
  <c r="G220" i="7"/>
  <c r="M220" i="7" s="1"/>
  <c r="G108" i="7"/>
  <c r="M108" i="7" s="1"/>
  <c r="G164" i="7"/>
  <c r="M164" i="7" s="1"/>
  <c r="G107" i="7"/>
  <c r="M107" i="7" s="1"/>
  <c r="G190" i="7"/>
  <c r="M190" i="7" s="1"/>
  <c r="G287" i="7"/>
  <c r="M287" i="7" s="1"/>
  <c r="G195" i="7"/>
  <c r="M195" i="7" s="1"/>
  <c r="G221" i="7"/>
  <c r="M221" i="7" s="1"/>
  <c r="G106" i="7"/>
  <c r="M106" i="7" s="1"/>
  <c r="G252" i="7"/>
  <c r="M252" i="7" s="1"/>
  <c r="G163" i="7"/>
  <c r="M163" i="7" s="1"/>
  <c r="G288" i="7"/>
  <c r="M288" i="7" s="1"/>
  <c r="G222" i="7"/>
  <c r="M222" i="7" s="1"/>
  <c r="G105" i="7"/>
  <c r="M105" i="7" s="1"/>
  <c r="G162" i="7"/>
  <c r="M162" i="7" s="1"/>
  <c r="G104" i="7"/>
  <c r="M104" i="7" s="1"/>
  <c r="G201" i="7"/>
  <c r="M201" i="7" s="1"/>
  <c r="G289" i="7"/>
  <c r="M289" i="7" s="1"/>
  <c r="G258" i="7"/>
  <c r="M258" i="7" s="1"/>
  <c r="G223" i="7"/>
  <c r="M223" i="7" s="1"/>
  <c r="G103" i="7"/>
  <c r="M103" i="7" s="1"/>
  <c r="G161" i="7"/>
  <c r="M161" i="7" s="1"/>
  <c r="G239" i="7"/>
  <c r="M239" i="7" s="1"/>
  <c r="G290" i="7"/>
  <c r="M290" i="7" s="1"/>
  <c r="G224" i="7"/>
  <c r="M224" i="7" s="1"/>
  <c r="G88" i="7"/>
  <c r="M88" i="7" s="1"/>
  <c r="G194" i="7"/>
  <c r="M194" i="7" s="1"/>
  <c r="G87" i="7"/>
  <c r="M87" i="7" s="1"/>
  <c r="G259" i="7"/>
  <c r="M259" i="7" s="1"/>
  <c r="G291" i="7"/>
  <c r="M291" i="7" s="1"/>
  <c r="G160" i="7"/>
  <c r="M160" i="7" s="1"/>
  <c r="G189" i="7"/>
  <c r="M189" i="7" s="1"/>
  <c r="G225" i="7"/>
  <c r="M225" i="7" s="1"/>
  <c r="G188" i="7"/>
  <c r="M188" i="7" s="1"/>
  <c r="H270" i="7"/>
  <c r="N270" i="7" s="1"/>
  <c r="H158" i="7"/>
  <c r="N158" i="7" s="1"/>
  <c r="H157" i="7"/>
  <c r="N157" i="7" s="1"/>
  <c r="H271" i="7"/>
  <c r="N271" i="7" s="1"/>
  <c r="H156" i="7"/>
  <c r="N156" i="7" s="1"/>
  <c r="H236" i="7"/>
  <c r="N236" i="7" s="1"/>
  <c r="H272" i="7"/>
  <c r="N272" i="7" s="1"/>
  <c r="H155" i="7"/>
  <c r="N155" i="7" s="1"/>
  <c r="H154" i="7"/>
  <c r="N154" i="7" s="1"/>
  <c r="H193" i="7"/>
  <c r="N193" i="7" s="1"/>
  <c r="H273" i="7"/>
  <c r="N273" i="7" s="1"/>
  <c r="H153" i="7"/>
  <c r="N153" i="7" s="1"/>
  <c r="H274" i="7"/>
  <c r="N274" i="7" s="1"/>
  <c r="H152" i="7"/>
  <c r="N152" i="7" s="1"/>
  <c r="H151" i="7"/>
  <c r="N151" i="7" s="1"/>
  <c r="H192" i="7"/>
  <c r="N192" i="7" s="1"/>
  <c r="H275" i="7"/>
  <c r="N275" i="7" s="1"/>
  <c r="H150" i="7"/>
  <c r="N150" i="7" s="1"/>
  <c r="H203" i="7"/>
  <c r="N203" i="7" s="1"/>
  <c r="H276" i="7"/>
  <c r="N276" i="7" s="1"/>
  <c r="H149" i="7"/>
  <c r="N149" i="7" s="1"/>
  <c r="H127" i="7"/>
  <c r="N127" i="7" s="1"/>
  <c r="H277" i="7"/>
  <c r="N277" i="7" s="1"/>
  <c r="H121" i="7"/>
  <c r="N121" i="7" s="1"/>
  <c r="H237" i="7"/>
  <c r="N237" i="7" s="1"/>
  <c r="H278" i="7"/>
  <c r="N278" i="7" s="1"/>
  <c r="H120" i="7"/>
  <c r="N120" i="7" s="1"/>
  <c r="H119" i="7"/>
  <c r="N119" i="7" s="1"/>
  <c r="H279" i="7"/>
  <c r="N279" i="7" s="1"/>
  <c r="H118" i="7"/>
  <c r="N118" i="7" s="1"/>
  <c r="H191" i="7"/>
  <c r="N191" i="7" s="1"/>
  <c r="H280" i="7"/>
  <c r="N280" i="7" s="1"/>
  <c r="H117" i="7"/>
  <c r="N117" i="7" s="1"/>
  <c r="H159" i="7"/>
  <c r="N159" i="7" s="1"/>
  <c r="H116" i="7"/>
  <c r="N116" i="7" s="1"/>
  <c r="H281" i="7"/>
  <c r="N281" i="7" s="1"/>
  <c r="H115" i="7"/>
  <c r="N115" i="7" s="1"/>
  <c r="H114" i="7"/>
  <c r="N114" i="7" s="1"/>
  <c r="H282" i="7"/>
  <c r="N282" i="7" s="1"/>
  <c r="H113" i="7"/>
  <c r="N113" i="7" s="1"/>
  <c r="H201" i="7"/>
  <c r="N201" i="7" s="1"/>
  <c r="H283" i="7"/>
  <c r="N283" i="7" s="1"/>
  <c r="H112" i="7"/>
  <c r="N112" i="7" s="1"/>
  <c r="H111" i="7"/>
  <c r="N111" i="7" s="1"/>
  <c r="H284" i="7"/>
  <c r="N284" i="7" s="1"/>
  <c r="H110" i="7"/>
  <c r="N110" i="7" s="1"/>
  <c r="H238" i="7"/>
  <c r="N238" i="7" s="1"/>
  <c r="H285" i="7"/>
  <c r="N285" i="7" s="1"/>
  <c r="H109" i="7"/>
  <c r="N109" i="7" s="1"/>
  <c r="H108" i="7"/>
  <c r="N108" i="7" s="1"/>
  <c r="H190" i="7"/>
  <c r="N190" i="7" s="1"/>
  <c r="H286" i="7"/>
  <c r="N286" i="7" s="1"/>
  <c r="H107" i="7"/>
  <c r="N107" i="7" s="1"/>
  <c r="H287" i="7"/>
  <c r="N287" i="7" s="1"/>
  <c r="H106" i="7"/>
  <c r="N106" i="7" s="1"/>
  <c r="H105" i="7"/>
  <c r="N105" i="7" s="1"/>
  <c r="H189" i="7"/>
  <c r="N189" i="7" s="1"/>
  <c r="H288" i="7"/>
  <c r="N288" i="7" s="1"/>
  <c r="H104" i="7"/>
  <c r="N104" i="7" s="1"/>
  <c r="H289" i="7"/>
  <c r="N289" i="7" s="1"/>
  <c r="H103" i="7"/>
  <c r="N103" i="7" s="1"/>
  <c r="H88" i="7"/>
  <c r="N88" i="7" s="1"/>
  <c r="H290" i="7"/>
  <c r="N290" i="7" s="1"/>
  <c r="H87" i="7"/>
  <c r="N87" i="7" s="1"/>
  <c r="H239" i="7"/>
  <c r="N239" i="7" s="1"/>
  <c r="H291" i="7"/>
  <c r="N291" i="7" s="1"/>
  <c r="H188" i="7"/>
  <c r="N188" i="7" s="1"/>
  <c r="H197" i="7"/>
  <c r="N197" i="7" s="1"/>
  <c r="H182" i="7"/>
  <c r="N182" i="7" s="1"/>
  <c r="H176" i="7"/>
  <c r="N176" i="7" s="1"/>
  <c r="H181" i="7"/>
  <c r="N181" i="7" s="1"/>
  <c r="H175" i="7"/>
  <c r="N175" i="7" s="1"/>
  <c r="H202" i="7"/>
  <c r="N202" i="7" s="1"/>
  <c r="H296" i="7"/>
  <c r="N296" i="7" s="1"/>
  <c r="H215" i="7"/>
  <c r="N215" i="7" s="1"/>
  <c r="H185" i="7"/>
  <c r="N185" i="7" s="1"/>
  <c r="H248" i="7"/>
  <c r="N248" i="7" s="1"/>
  <c r="H316" i="7"/>
  <c r="N316" i="7" s="1"/>
  <c r="H174" i="7"/>
  <c r="N174" i="7" s="1"/>
  <c r="H294" i="7"/>
  <c r="N294" i="7" s="1"/>
  <c r="H216" i="7"/>
  <c r="N216" i="7" s="1"/>
  <c r="H244" i="7"/>
  <c r="N244" i="7" s="1"/>
  <c r="H295" i="7"/>
  <c r="N295" i="7" s="1"/>
  <c r="H180" i="7"/>
  <c r="N180" i="7" s="1"/>
  <c r="H249" i="7"/>
  <c r="N249" i="7" s="1"/>
  <c r="H240" i="7"/>
  <c r="N240" i="7" s="1"/>
  <c r="H217" i="7"/>
  <c r="N217" i="7" s="1"/>
  <c r="H168" i="7"/>
  <c r="N168" i="7" s="1"/>
  <c r="H317" i="7"/>
  <c r="N317" i="7" s="1"/>
  <c r="H167" i="7"/>
  <c r="N167" i="7" s="1"/>
  <c r="H187" i="7"/>
  <c r="N187" i="7" s="1"/>
  <c r="H196" i="7"/>
  <c r="N196" i="7" s="1"/>
  <c r="H218" i="7"/>
  <c r="N218" i="7" s="1"/>
  <c r="H297" i="7"/>
  <c r="N297" i="7" s="1"/>
  <c r="H250" i="7"/>
  <c r="N250" i="7" s="1"/>
  <c r="H245" i="7"/>
  <c r="N245" i="7" s="1"/>
  <c r="H165" i="7"/>
  <c r="N165" i="7" s="1"/>
  <c r="H242" i="7"/>
  <c r="N242" i="7" s="1"/>
  <c r="H219" i="7"/>
  <c r="N219" i="7" s="1"/>
  <c r="H318" i="7"/>
  <c r="N318" i="7" s="1"/>
  <c r="H235" i="7"/>
  <c r="N235" i="7" s="1"/>
  <c r="H214" i="7"/>
  <c r="N214" i="7" s="1"/>
  <c r="H251" i="7"/>
  <c r="N251" i="7" s="1"/>
  <c r="H179" i="7"/>
  <c r="N179" i="7" s="1"/>
  <c r="H220" i="7"/>
  <c r="N220" i="7" s="1"/>
  <c r="H164" i="7"/>
  <c r="N164" i="7" s="1"/>
  <c r="H184" i="7"/>
  <c r="N184" i="7" s="1"/>
  <c r="H163" i="7"/>
  <c r="N163" i="7" s="1"/>
  <c r="H178" i="7"/>
  <c r="N178" i="7" s="1"/>
  <c r="H241" i="7"/>
  <c r="N241" i="7" s="1"/>
  <c r="H221" i="7"/>
  <c r="N221" i="7" s="1"/>
  <c r="H183" i="7"/>
  <c r="N183" i="7" s="1"/>
  <c r="H252" i="7"/>
  <c r="N252" i="7" s="1"/>
  <c r="H257" i="7"/>
  <c r="N257" i="7" s="1"/>
  <c r="H319" i="7"/>
  <c r="N319" i="7" s="1"/>
  <c r="H204" i="7"/>
  <c r="N204" i="7" s="1"/>
  <c r="H222" i="7"/>
  <c r="N222" i="7" s="1"/>
  <c r="H162" i="7"/>
  <c r="N162" i="7" s="1"/>
  <c r="H246" i="7"/>
  <c r="N246" i="7" s="1"/>
  <c r="H194" i="7"/>
  <c r="N194" i="7" s="1"/>
  <c r="H292" i="7"/>
  <c r="N292" i="7" s="1"/>
  <c r="H177" i="7"/>
  <c r="N177" i="7" s="1"/>
  <c r="H223" i="7"/>
  <c r="N223" i="7" s="1"/>
  <c r="H258" i="7"/>
  <c r="N258" i="7" s="1"/>
  <c r="H161" i="7"/>
  <c r="N161" i="7" s="1"/>
  <c r="H243" i="7"/>
  <c r="N243" i="7" s="1"/>
  <c r="H160" i="7"/>
  <c r="N160" i="7" s="1"/>
  <c r="H320" i="7"/>
  <c r="N320" i="7" s="1"/>
  <c r="H224" i="7"/>
  <c r="N224" i="7" s="1"/>
  <c r="H186" i="7"/>
  <c r="N186" i="7" s="1"/>
  <c r="H195" i="7"/>
  <c r="N195" i="7" s="1"/>
  <c r="H259" i="7"/>
  <c r="N259" i="7" s="1"/>
  <c r="H315" i="7"/>
  <c r="N315" i="7" s="1"/>
  <c r="H247" i="7"/>
  <c r="N247" i="7" s="1"/>
  <c r="H225" i="7"/>
  <c r="N225" i="7" s="1"/>
  <c r="C10" i="6"/>
  <c r="D10" i="6"/>
  <c r="E10" i="6"/>
  <c r="F10" i="6"/>
  <c r="C11" i="6"/>
  <c r="D11" i="6"/>
  <c r="E11" i="6"/>
  <c r="F11" i="6"/>
  <c r="C12" i="6"/>
  <c r="D12" i="6"/>
  <c r="E12" i="6"/>
  <c r="F12" i="6"/>
  <c r="C13" i="6"/>
  <c r="D13" i="6"/>
  <c r="E13" i="6"/>
  <c r="F13" i="6"/>
  <c r="C14" i="6"/>
  <c r="D14" i="6"/>
  <c r="E14" i="6"/>
  <c r="F14" i="6"/>
  <c r="C15" i="6"/>
  <c r="D15" i="6"/>
  <c r="E15" i="6"/>
  <c r="F15" i="6"/>
  <c r="C16" i="6"/>
  <c r="D16" i="6"/>
  <c r="E16" i="6"/>
  <c r="F16" i="6"/>
  <c r="C17" i="6"/>
  <c r="D17" i="6"/>
  <c r="E17" i="6"/>
  <c r="F17" i="6"/>
  <c r="C18" i="6"/>
  <c r="D18" i="6"/>
  <c r="E18" i="6"/>
  <c r="F18" i="6"/>
  <c r="E8" i="6"/>
  <c r="C8" i="6"/>
  <c r="D8" i="6"/>
  <c r="F8" i="6"/>
  <c r="C9" i="6"/>
  <c r="D9" i="6"/>
  <c r="E9" i="6"/>
  <c r="F9" i="6"/>
  <c r="D72" i="6"/>
  <c r="D73" i="6"/>
  <c r="B74" i="6"/>
  <c r="B75" i="6"/>
  <c r="A72" i="6"/>
  <c r="C72" i="6"/>
  <c r="A73" i="6"/>
  <c r="C73" i="6"/>
  <c r="A74" i="6"/>
  <c r="A75" i="6"/>
  <c r="A76" i="6"/>
  <c r="C12" i="7"/>
  <c r="D12" i="7"/>
  <c r="E12" i="7" s="1"/>
  <c r="F36" i="1"/>
  <c r="C13" i="7"/>
  <c r="E73" i="6" s="1"/>
  <c r="D13" i="7"/>
  <c r="E13" i="7" s="1"/>
  <c r="C14" i="7"/>
  <c r="D14" i="7"/>
  <c r="E14" i="7"/>
  <c r="C15" i="7"/>
  <c r="D15" i="7"/>
  <c r="E15" i="7"/>
  <c r="C16" i="7"/>
  <c r="D16" i="7"/>
  <c r="E16" i="7"/>
  <c r="C17" i="7"/>
  <c r="D17" i="7"/>
  <c r="E17" i="7"/>
  <c r="P81" i="7"/>
  <c r="Q81" i="7"/>
  <c r="P82" i="7"/>
  <c r="Q82" i="7"/>
  <c r="P83" i="7"/>
  <c r="Q83" i="7"/>
  <c r="P84" i="7"/>
  <c r="Q84" i="7"/>
  <c r="P85" i="7"/>
  <c r="Q85" i="7"/>
  <c r="P86" i="7"/>
  <c r="Q86" i="7"/>
  <c r="P87" i="7"/>
  <c r="Q87" i="7"/>
  <c r="P88" i="7"/>
  <c r="Q88" i="7"/>
  <c r="P89" i="7"/>
  <c r="Q89" i="7"/>
  <c r="P90" i="7"/>
  <c r="Q90" i="7"/>
  <c r="P91" i="7"/>
  <c r="Q91" i="7"/>
  <c r="P92" i="7"/>
  <c r="Q92" i="7"/>
  <c r="P93" i="7"/>
  <c r="Q93" i="7"/>
  <c r="P94" i="7"/>
  <c r="Q94" i="7"/>
  <c r="P95" i="7"/>
  <c r="Q95" i="7"/>
  <c r="P96" i="7"/>
  <c r="Q96" i="7"/>
  <c r="P97" i="7"/>
  <c r="Q97" i="7"/>
  <c r="P98" i="7"/>
  <c r="Q98" i="7"/>
  <c r="P99" i="7"/>
  <c r="Q99" i="7"/>
  <c r="P100" i="7"/>
  <c r="Q100" i="7"/>
  <c r="P101" i="7"/>
  <c r="Q101" i="7"/>
  <c r="P102" i="7"/>
  <c r="Q102" i="7"/>
  <c r="P103" i="7"/>
  <c r="Q103" i="7"/>
  <c r="P104" i="7"/>
  <c r="Q104" i="7"/>
  <c r="P105" i="7"/>
  <c r="Q105" i="7"/>
  <c r="P106" i="7"/>
  <c r="Q106" i="7"/>
  <c r="P107" i="7"/>
  <c r="Q107" i="7"/>
  <c r="P108" i="7"/>
  <c r="Q108" i="7"/>
  <c r="P109" i="7"/>
  <c r="Q109" i="7"/>
  <c r="P110" i="7"/>
  <c r="Q110" i="7"/>
  <c r="P111" i="7"/>
  <c r="Q111" i="7"/>
  <c r="P112" i="7"/>
  <c r="Q112" i="7"/>
  <c r="P113" i="7"/>
  <c r="Q113" i="7"/>
  <c r="P114" i="7"/>
  <c r="Q114" i="7"/>
  <c r="P115" i="7"/>
  <c r="Q115" i="7"/>
  <c r="P116" i="7"/>
  <c r="Q116" i="7"/>
  <c r="P117" i="7"/>
  <c r="Q117" i="7"/>
  <c r="P118" i="7"/>
  <c r="Q118" i="7"/>
  <c r="P119" i="7"/>
  <c r="Q119" i="7"/>
  <c r="P120" i="7"/>
  <c r="Q120" i="7"/>
  <c r="P121" i="7"/>
  <c r="Q121" i="7"/>
  <c r="P122" i="7"/>
  <c r="Q122" i="7"/>
  <c r="P123" i="7"/>
  <c r="Q123" i="7"/>
  <c r="P124" i="7"/>
  <c r="Q124" i="7"/>
  <c r="P125" i="7"/>
  <c r="Q125" i="7"/>
  <c r="P126" i="7"/>
  <c r="Q126" i="7"/>
  <c r="P127" i="7"/>
  <c r="Q127" i="7"/>
  <c r="P128" i="7"/>
  <c r="Q128" i="7"/>
  <c r="P129" i="7"/>
  <c r="Q129" i="7"/>
  <c r="P130" i="7"/>
  <c r="Q130" i="7"/>
  <c r="P131" i="7"/>
  <c r="Q131" i="7"/>
  <c r="P132" i="7"/>
  <c r="Q132" i="7"/>
  <c r="P133" i="7"/>
  <c r="Q133" i="7"/>
  <c r="P134" i="7"/>
  <c r="Q134" i="7"/>
  <c r="P135" i="7"/>
  <c r="Q135" i="7"/>
  <c r="P136" i="7"/>
  <c r="Q136" i="7"/>
  <c r="P137" i="7"/>
  <c r="Q137" i="7"/>
  <c r="P138" i="7"/>
  <c r="Q138" i="7"/>
  <c r="P139" i="7"/>
  <c r="Q139" i="7"/>
  <c r="P140" i="7"/>
  <c r="Q140" i="7"/>
  <c r="P141" i="7"/>
  <c r="Q141" i="7"/>
  <c r="P142" i="7"/>
  <c r="Q142" i="7"/>
  <c r="P143" i="7"/>
  <c r="Q143" i="7"/>
  <c r="P144" i="7"/>
  <c r="Q144" i="7"/>
  <c r="P145" i="7"/>
  <c r="Q145" i="7"/>
  <c r="P146" i="7"/>
  <c r="Q146" i="7"/>
  <c r="P147" i="7"/>
  <c r="Q147" i="7"/>
  <c r="P148" i="7"/>
  <c r="Q148" i="7"/>
  <c r="P149" i="7"/>
  <c r="Q149" i="7"/>
  <c r="P150" i="7"/>
  <c r="Q150" i="7"/>
  <c r="P151" i="7"/>
  <c r="Q151" i="7"/>
  <c r="P152" i="7"/>
  <c r="Q152" i="7"/>
  <c r="P153" i="7"/>
  <c r="Q153" i="7"/>
  <c r="P154" i="7"/>
  <c r="Q154" i="7"/>
  <c r="P155" i="7"/>
  <c r="Q155" i="7"/>
  <c r="P156" i="7"/>
  <c r="Q156" i="7"/>
  <c r="P157" i="7"/>
  <c r="Q157" i="7"/>
  <c r="P158" i="7"/>
  <c r="Q158" i="7"/>
  <c r="P159" i="7"/>
  <c r="Q159" i="7"/>
  <c r="P160" i="7"/>
  <c r="Q160" i="7"/>
  <c r="P161" i="7"/>
  <c r="Q161" i="7"/>
  <c r="P162" i="7"/>
  <c r="Q162" i="7"/>
  <c r="P163" i="7"/>
  <c r="Q163" i="7"/>
  <c r="P164" i="7"/>
  <c r="Q164" i="7"/>
  <c r="P165" i="7"/>
  <c r="Q165" i="7"/>
  <c r="P166" i="7"/>
  <c r="Q166" i="7"/>
  <c r="P167" i="7"/>
  <c r="Q167" i="7"/>
  <c r="P168" i="7"/>
  <c r="Q168" i="7"/>
  <c r="P169" i="7"/>
  <c r="Q169" i="7"/>
  <c r="P170" i="7"/>
  <c r="Q170" i="7"/>
  <c r="P171" i="7"/>
  <c r="Q171" i="7"/>
  <c r="P172" i="7"/>
  <c r="Q172" i="7"/>
  <c r="P173" i="7"/>
  <c r="Q173" i="7"/>
  <c r="P174" i="7"/>
  <c r="Q174" i="7"/>
  <c r="P175" i="7"/>
  <c r="Q175" i="7"/>
  <c r="P176" i="7"/>
  <c r="Q176" i="7"/>
  <c r="P177" i="7"/>
  <c r="Q177" i="7"/>
  <c r="P178" i="7"/>
  <c r="Q178" i="7"/>
  <c r="P179" i="7"/>
  <c r="Q179" i="7"/>
  <c r="P180" i="7"/>
  <c r="Q180" i="7"/>
  <c r="P181" i="7"/>
  <c r="Q181" i="7"/>
  <c r="P182" i="7"/>
  <c r="Q182" i="7"/>
  <c r="P183" i="7"/>
  <c r="Q183" i="7"/>
  <c r="P184" i="7"/>
  <c r="Q184" i="7"/>
  <c r="P185" i="7"/>
  <c r="Q185" i="7"/>
  <c r="P186" i="7"/>
  <c r="Q186" i="7"/>
  <c r="P187" i="7"/>
  <c r="Q187" i="7"/>
  <c r="P188" i="7"/>
  <c r="Q188" i="7"/>
  <c r="P189" i="7"/>
  <c r="Q189" i="7"/>
  <c r="P190" i="7"/>
  <c r="Q190" i="7"/>
  <c r="P191" i="7"/>
  <c r="Q191" i="7"/>
  <c r="P192" i="7"/>
  <c r="Q192" i="7"/>
  <c r="P193" i="7"/>
  <c r="Q193" i="7"/>
  <c r="P194" i="7"/>
  <c r="Q194" i="7"/>
  <c r="P195" i="7"/>
  <c r="Q195" i="7"/>
  <c r="P196" i="7"/>
  <c r="Q196" i="7"/>
  <c r="P197" i="7"/>
  <c r="Q197" i="7"/>
  <c r="P198" i="7"/>
  <c r="Q198" i="7"/>
  <c r="P199" i="7"/>
  <c r="Q199" i="7"/>
  <c r="P200" i="7"/>
  <c r="Q200" i="7"/>
  <c r="P201" i="7"/>
  <c r="Q201" i="7"/>
  <c r="P202" i="7"/>
  <c r="Q202" i="7"/>
  <c r="P203" i="7"/>
  <c r="Q203" i="7"/>
  <c r="P204" i="7"/>
  <c r="Q204" i="7"/>
  <c r="P205" i="7"/>
  <c r="Q205" i="7"/>
  <c r="P206" i="7"/>
  <c r="Q206" i="7"/>
  <c r="P207" i="7"/>
  <c r="Q207" i="7"/>
  <c r="P208" i="7"/>
  <c r="Q208" i="7"/>
  <c r="P209" i="7"/>
  <c r="Q209" i="7"/>
  <c r="P210" i="7"/>
  <c r="Q210" i="7"/>
  <c r="P211" i="7"/>
  <c r="Q211" i="7"/>
  <c r="P212" i="7"/>
  <c r="Q212" i="7"/>
  <c r="P230" i="7"/>
  <c r="Q230" i="7"/>
  <c r="P231" i="7"/>
  <c r="Q231" i="7"/>
  <c r="P232" i="7"/>
  <c r="Q232" i="7"/>
  <c r="P233" i="7"/>
  <c r="Q233" i="7"/>
  <c r="P234" i="7"/>
  <c r="Q234" i="7"/>
  <c r="P235" i="7"/>
  <c r="Q235" i="7"/>
  <c r="P236" i="7"/>
  <c r="Q236" i="7"/>
  <c r="P237" i="7"/>
  <c r="Q237" i="7"/>
  <c r="P238" i="7"/>
  <c r="Q238" i="7"/>
  <c r="P239" i="7"/>
  <c r="Q239" i="7"/>
  <c r="P240" i="7"/>
  <c r="Q240" i="7"/>
  <c r="P241" i="7"/>
  <c r="Q241" i="7"/>
  <c r="P242" i="7"/>
  <c r="Q242" i="7"/>
  <c r="P243" i="7"/>
  <c r="Q243" i="7"/>
  <c r="P244" i="7"/>
  <c r="Q244" i="7"/>
  <c r="P245" i="7"/>
  <c r="Q245" i="7"/>
  <c r="P246" i="7"/>
  <c r="Q246" i="7"/>
  <c r="P247" i="7"/>
  <c r="Q247" i="7"/>
  <c r="P248" i="7"/>
  <c r="Q248" i="7"/>
  <c r="P249" i="7"/>
  <c r="Q249" i="7"/>
  <c r="P250" i="7"/>
  <c r="Q250" i="7"/>
  <c r="P251" i="7"/>
  <c r="Q251" i="7"/>
  <c r="P252" i="7"/>
  <c r="Q252" i="7"/>
  <c r="P253" i="7"/>
  <c r="Q253" i="7"/>
  <c r="P254" i="7"/>
  <c r="Q254" i="7"/>
  <c r="P255" i="7"/>
  <c r="Q255" i="7"/>
  <c r="P256" i="7"/>
  <c r="Q256" i="7"/>
  <c r="P257" i="7"/>
  <c r="Q257" i="7"/>
  <c r="P258" i="7"/>
  <c r="Q258" i="7"/>
  <c r="P259" i="7"/>
  <c r="Q259" i="7"/>
  <c r="P260" i="7"/>
  <c r="Q260" i="7"/>
  <c r="P261" i="7"/>
  <c r="Q261" i="7"/>
  <c r="P262" i="7"/>
  <c r="Q262" i="7"/>
  <c r="P263" i="7"/>
  <c r="Q263" i="7"/>
  <c r="P264" i="7"/>
  <c r="Q264" i="7"/>
  <c r="P265" i="7"/>
  <c r="Q265" i="7"/>
  <c r="P266" i="7"/>
  <c r="Q266" i="7"/>
  <c r="P267" i="7"/>
  <c r="Q267" i="7"/>
  <c r="P268" i="7"/>
  <c r="Q268" i="7"/>
  <c r="P269" i="7"/>
  <c r="Q269" i="7"/>
  <c r="P270" i="7"/>
  <c r="Q270" i="7"/>
  <c r="P271" i="7"/>
  <c r="Q271" i="7"/>
  <c r="P272" i="7"/>
  <c r="Q272" i="7"/>
  <c r="P273" i="7"/>
  <c r="Q273" i="7"/>
  <c r="P274" i="7"/>
  <c r="Q274" i="7"/>
  <c r="P275" i="7"/>
  <c r="Q275" i="7"/>
  <c r="P276" i="7"/>
  <c r="Q276" i="7"/>
  <c r="P277" i="7"/>
  <c r="Q277" i="7"/>
  <c r="P278" i="7"/>
  <c r="Q278" i="7"/>
  <c r="P279" i="7"/>
  <c r="Q279" i="7"/>
  <c r="P280" i="7"/>
  <c r="Q280" i="7"/>
  <c r="P281" i="7"/>
  <c r="Q281" i="7"/>
  <c r="P282" i="7"/>
  <c r="Q282" i="7"/>
  <c r="P283" i="7"/>
  <c r="Q283" i="7"/>
  <c r="P284" i="7"/>
  <c r="Q284" i="7"/>
  <c r="P285" i="7"/>
  <c r="Q285" i="7"/>
  <c r="P286" i="7"/>
  <c r="Q286" i="7"/>
  <c r="P287" i="7"/>
  <c r="Q287" i="7"/>
  <c r="P288" i="7"/>
  <c r="Q288" i="7"/>
  <c r="P289" i="7"/>
  <c r="Q289" i="7"/>
  <c r="P290" i="7"/>
  <c r="Q290" i="7"/>
  <c r="P291" i="7"/>
  <c r="Q291" i="7"/>
  <c r="P292" i="7"/>
  <c r="Q292" i="7"/>
  <c r="P293" i="7"/>
  <c r="Q293" i="7"/>
  <c r="P294" i="7"/>
  <c r="Q294" i="7"/>
  <c r="P295" i="7"/>
  <c r="Q295" i="7"/>
  <c r="P296" i="7"/>
  <c r="Q296" i="7"/>
  <c r="P297" i="7"/>
  <c r="Q297" i="7"/>
  <c r="P298" i="7"/>
  <c r="Q298" i="7"/>
  <c r="P299" i="7"/>
  <c r="Q299" i="7"/>
  <c r="P300" i="7"/>
  <c r="Q300" i="7"/>
  <c r="P301" i="7"/>
  <c r="Q301" i="7"/>
  <c r="P302" i="7"/>
  <c r="Q302" i="7"/>
  <c r="P303" i="7"/>
  <c r="Q303" i="7"/>
  <c r="P304" i="7"/>
  <c r="Q304" i="7"/>
  <c r="P305" i="7"/>
  <c r="Q305" i="7"/>
  <c r="P306" i="7"/>
  <c r="Q306" i="7"/>
  <c r="P307" i="7"/>
  <c r="Q307" i="7"/>
  <c r="P308" i="7"/>
  <c r="Q308" i="7"/>
  <c r="P309" i="7"/>
  <c r="Q309" i="7"/>
  <c r="P310" i="7"/>
  <c r="Q310" i="7"/>
  <c r="P311" i="7"/>
  <c r="Q311" i="7"/>
  <c r="P312" i="7"/>
  <c r="Q312" i="7"/>
  <c r="P313" i="7"/>
  <c r="Q313" i="7"/>
  <c r="P314" i="7"/>
  <c r="Q314" i="7"/>
  <c r="P315" i="7"/>
  <c r="Q315" i="7"/>
  <c r="P316" i="7"/>
  <c r="Q316" i="7"/>
  <c r="P317" i="7"/>
  <c r="Q317" i="7"/>
  <c r="P318" i="7"/>
  <c r="Q318" i="7"/>
  <c r="P319" i="7"/>
  <c r="Q319" i="7"/>
  <c r="P320" i="7"/>
  <c r="Q320" i="7"/>
  <c r="P213" i="7"/>
  <c r="Q213" i="7"/>
  <c r="P214" i="7"/>
  <c r="Q214" i="7"/>
  <c r="P215" i="7"/>
  <c r="Q215" i="7"/>
  <c r="P216" i="7"/>
  <c r="Q216" i="7"/>
  <c r="P217" i="7"/>
  <c r="Q217" i="7"/>
  <c r="P218" i="7"/>
  <c r="Q218" i="7"/>
  <c r="P219" i="7"/>
  <c r="Q219" i="7"/>
  <c r="P220" i="7"/>
  <c r="Q220" i="7"/>
  <c r="P221" i="7"/>
  <c r="Q221" i="7"/>
  <c r="P222" i="7"/>
  <c r="Q222" i="7"/>
  <c r="P223" i="7"/>
  <c r="Q223" i="7"/>
  <c r="P224" i="7"/>
  <c r="Q224" i="7"/>
  <c r="P225" i="7"/>
  <c r="Q225" i="7"/>
  <c r="P226" i="7"/>
  <c r="Q226" i="7"/>
  <c r="P227" i="7"/>
  <c r="Q227" i="7"/>
  <c r="P228" i="7"/>
  <c r="Q228" i="7"/>
  <c r="P229" i="7"/>
  <c r="Q229" i="7"/>
  <c r="C130" i="7"/>
  <c r="I130" i="7" s="1"/>
  <c r="C51" i="7"/>
  <c r="C58" i="7"/>
  <c r="C94" i="7"/>
  <c r="I94" i="7" s="1"/>
  <c r="C206" i="7"/>
  <c r="I206" i="7" s="1"/>
  <c r="C63" i="7"/>
  <c r="C265" i="7"/>
  <c r="I265" i="7" s="1"/>
  <c r="C52" i="7"/>
  <c r="C135" i="7"/>
  <c r="I135" i="7" s="1"/>
  <c r="C137" i="7"/>
  <c r="I137" i="7" s="1"/>
  <c r="C131" i="7"/>
  <c r="I131" i="7" s="1"/>
  <c r="C90" i="7"/>
  <c r="I90" i="7" s="1"/>
  <c r="C59" i="7"/>
  <c r="C53" i="7"/>
  <c r="C62" i="7"/>
  <c r="C264" i="7"/>
  <c r="I264" i="7" s="1"/>
  <c r="C233" i="7"/>
  <c r="I233" i="7" s="1"/>
  <c r="C263" i="7"/>
  <c r="I263" i="7" s="1"/>
  <c r="C132" i="7"/>
  <c r="I132" i="7" s="1"/>
  <c r="C54" i="7"/>
  <c r="C138" i="7"/>
  <c r="I138" i="7" s="1"/>
  <c r="C232" i="7"/>
  <c r="I232" i="7" s="1"/>
  <c r="C143" i="7"/>
  <c r="I143" i="7" s="1"/>
  <c r="C136" i="7"/>
  <c r="I136" i="7" s="1"/>
  <c r="C262" i="7"/>
  <c r="I262" i="7" s="1"/>
  <c r="C55" i="7"/>
  <c r="C60" i="7"/>
  <c r="C139" i="7"/>
  <c r="I139" i="7" s="1"/>
  <c r="C133" i="7"/>
  <c r="I133" i="7" s="1"/>
  <c r="C230" i="7"/>
  <c r="I230" i="7" s="1"/>
  <c r="C148" i="7"/>
  <c r="I148" i="7" s="1"/>
  <c r="C56" i="7"/>
  <c r="C144" i="7"/>
  <c r="I144" i="7" s="1"/>
  <c r="C261" i="7"/>
  <c r="I261" i="7" s="1"/>
  <c r="C231" i="7"/>
  <c r="I231" i="7" s="1"/>
  <c r="C260" i="7"/>
  <c r="I260" i="7" s="1"/>
  <c r="C134" i="7"/>
  <c r="I134" i="7" s="1"/>
  <c r="C57" i="7"/>
  <c r="C61" i="7"/>
  <c r="C212" i="7"/>
  <c r="I212" i="7" s="1"/>
  <c r="C146" i="7"/>
  <c r="I146" i="7" s="1"/>
  <c r="C213" i="7"/>
  <c r="I213" i="7" s="1"/>
  <c r="C234" i="7"/>
  <c r="I234" i="7" s="1"/>
  <c r="C211" i="7"/>
  <c r="I211" i="7" s="1"/>
  <c r="C210" i="7"/>
  <c r="I210" i="7" s="1"/>
  <c r="C91" i="7"/>
  <c r="I91" i="7" s="1"/>
  <c r="C140" i="7"/>
  <c r="I140" i="7" s="1"/>
  <c r="C145" i="7"/>
  <c r="I145" i="7" s="1"/>
  <c r="C92" i="7"/>
  <c r="I92" i="7" s="1"/>
  <c r="C314" i="7"/>
  <c r="I314" i="7" s="1"/>
  <c r="C313" i="7"/>
  <c r="I313" i="7" s="1"/>
  <c r="C93" i="7"/>
  <c r="I93" i="7" s="1"/>
  <c r="C209" i="7"/>
  <c r="I209" i="7" s="1"/>
  <c r="C312" i="7"/>
  <c r="I312" i="7" s="1"/>
  <c r="C311" i="7"/>
  <c r="I311" i="7" s="1"/>
  <c r="C310" i="7"/>
  <c r="I310" i="7" s="1"/>
  <c r="C95" i="7"/>
  <c r="I95" i="7" s="1"/>
  <c r="C141" i="7"/>
  <c r="I141" i="7" s="1"/>
  <c r="C309" i="7"/>
  <c r="I309" i="7" s="1"/>
  <c r="C96" i="7"/>
  <c r="I96" i="7" s="1"/>
  <c r="C308" i="7"/>
  <c r="I308" i="7" s="1"/>
  <c r="C307" i="7"/>
  <c r="I307" i="7" s="1"/>
  <c r="C97" i="7"/>
  <c r="I97" i="7" s="1"/>
  <c r="C147" i="7"/>
  <c r="I147" i="7" s="1"/>
  <c r="C266" i="7"/>
  <c r="I266" i="7" s="1"/>
  <c r="C306" i="7"/>
  <c r="I306" i="7" s="1"/>
  <c r="C98" i="7"/>
  <c r="I98" i="7" s="1"/>
  <c r="C208" i="7"/>
  <c r="I208" i="7" s="1"/>
  <c r="C305" i="7"/>
  <c r="I305" i="7" s="1"/>
  <c r="C304" i="7"/>
  <c r="I304" i="7" s="1"/>
  <c r="C99" i="7"/>
  <c r="I99" i="7" s="1"/>
  <c r="C303" i="7"/>
  <c r="I303" i="7" s="1"/>
  <c r="C100" i="7"/>
  <c r="I100" i="7" s="1"/>
  <c r="C207" i="7"/>
  <c r="I207" i="7" s="1"/>
  <c r="C302" i="7"/>
  <c r="I302" i="7" s="1"/>
  <c r="C301" i="7"/>
  <c r="I301" i="7" s="1"/>
  <c r="C101" i="7"/>
  <c r="I101" i="7" s="1"/>
  <c r="C142" i="7"/>
  <c r="I142" i="7" s="1"/>
  <c r="C300" i="7"/>
  <c r="I300" i="7" s="1"/>
  <c r="C102" i="7"/>
  <c r="I102" i="7" s="1"/>
  <c r="C299" i="7"/>
  <c r="I299" i="7" s="1"/>
  <c r="C269" i="7"/>
  <c r="I269" i="7" s="1"/>
  <c r="C128" i="7"/>
  <c r="I128" i="7" s="1"/>
  <c r="C268" i="7"/>
  <c r="I268" i="7" s="1"/>
  <c r="C129" i="7"/>
  <c r="I129" i="7" s="1"/>
  <c r="C267" i="7"/>
  <c r="I267" i="7" s="1"/>
  <c r="D51" i="7"/>
  <c r="D210" i="7"/>
  <c r="J210" i="7" s="1"/>
  <c r="D130" i="7"/>
  <c r="J130" i="7" s="1"/>
  <c r="D265" i="7"/>
  <c r="J265" i="7" s="1"/>
  <c r="D91" i="7"/>
  <c r="J91" i="7" s="1"/>
  <c r="D52" i="7"/>
  <c r="D140" i="7"/>
  <c r="J140" i="7" s="1"/>
  <c r="D264" i="7"/>
  <c r="J264" i="7" s="1"/>
  <c r="D314" i="7"/>
  <c r="J314" i="7" s="1"/>
  <c r="D131" i="7"/>
  <c r="J131" i="7" s="1"/>
  <c r="D92" i="7"/>
  <c r="J92" i="7" s="1"/>
  <c r="D209" i="7"/>
  <c r="J209" i="7" s="1"/>
  <c r="D205" i="7"/>
  <c r="J205" i="7" s="1"/>
  <c r="D313" i="7"/>
  <c r="J313" i="7" s="1"/>
  <c r="D53" i="7"/>
  <c r="D263" i="7"/>
  <c r="J263" i="7" s="1"/>
  <c r="D93" i="7"/>
  <c r="J93" i="7" s="1"/>
  <c r="D54" i="7"/>
  <c r="D312" i="7"/>
  <c r="J312" i="7" s="1"/>
  <c r="D132" i="7"/>
  <c r="J132" i="7" s="1"/>
  <c r="D311" i="7"/>
  <c r="J311" i="7" s="1"/>
  <c r="D144" i="7"/>
  <c r="J144" i="7" s="1"/>
  <c r="D94" i="7"/>
  <c r="J94" i="7" s="1"/>
  <c r="D208" i="7"/>
  <c r="J208" i="7" s="1"/>
  <c r="D262" i="7"/>
  <c r="J262" i="7" s="1"/>
  <c r="D310" i="7"/>
  <c r="J310" i="7" s="1"/>
  <c r="D55" i="7"/>
  <c r="D261" i="7"/>
  <c r="J261" i="7" s="1"/>
  <c r="D95" i="7"/>
  <c r="J95" i="7" s="1"/>
  <c r="D133" i="7"/>
  <c r="J133" i="7" s="1"/>
  <c r="D309" i="7"/>
  <c r="J309" i="7" s="1"/>
  <c r="D143" i="7"/>
  <c r="J143" i="7" s="1"/>
  <c r="D308" i="7"/>
  <c r="J308" i="7" s="1"/>
  <c r="D56" i="7"/>
  <c r="D96" i="7"/>
  <c r="J96" i="7" s="1"/>
  <c r="D141" i="7"/>
  <c r="J141" i="7" s="1"/>
  <c r="D260" i="7"/>
  <c r="J260" i="7" s="1"/>
  <c r="D307" i="7"/>
  <c r="J307" i="7" s="1"/>
  <c r="D57" i="7"/>
  <c r="D234" i="7"/>
  <c r="J234" i="7" s="1"/>
  <c r="D97" i="7"/>
  <c r="J97" i="7" s="1"/>
  <c r="D58" i="7"/>
  <c r="D233" i="7"/>
  <c r="J233" i="7" s="1"/>
  <c r="D135" i="7"/>
  <c r="J135" i="7" s="1"/>
  <c r="D305" i="7"/>
  <c r="J305" i="7" s="1"/>
  <c r="D148" i="7"/>
  <c r="J148" i="7" s="1"/>
  <c r="D98" i="7"/>
  <c r="J98" i="7" s="1"/>
  <c r="D59" i="7"/>
  <c r="D232" i="7"/>
  <c r="J232" i="7" s="1"/>
  <c r="D304" i="7"/>
  <c r="J304" i="7" s="1"/>
  <c r="D60" i="7"/>
  <c r="D136" i="7"/>
  <c r="J136" i="7" s="1"/>
  <c r="D99" i="7"/>
  <c r="J99" i="7" s="1"/>
  <c r="D207" i="7"/>
  <c r="J207" i="7" s="1"/>
  <c r="D303" i="7"/>
  <c r="J303" i="7" s="1"/>
  <c r="D231" i="7"/>
  <c r="J231" i="7" s="1"/>
  <c r="D302" i="7"/>
  <c r="J302" i="7" s="1"/>
  <c r="D61" i="7"/>
  <c r="D100" i="7"/>
  <c r="J100" i="7" s="1"/>
  <c r="D230" i="7"/>
  <c r="J230" i="7" s="1"/>
  <c r="D137" i="7"/>
  <c r="J137" i="7" s="1"/>
  <c r="D301" i="7"/>
  <c r="J301" i="7" s="1"/>
  <c r="D62" i="7"/>
  <c r="D147" i="7"/>
  <c r="J147" i="7" s="1"/>
  <c r="D306" i="7"/>
  <c r="J306" i="7" s="1"/>
  <c r="D213" i="7"/>
  <c r="J213" i="7" s="1"/>
  <c r="D300" i="7"/>
  <c r="J300" i="7" s="1"/>
  <c r="D63" i="7"/>
  <c r="D299" i="7"/>
  <c r="J299" i="7" s="1"/>
  <c r="D138" i="7"/>
  <c r="J138" i="7" s="1"/>
  <c r="D102" i="7"/>
  <c r="J102" i="7" s="1"/>
  <c r="D142" i="7"/>
  <c r="J142" i="7" s="1"/>
  <c r="D212" i="7"/>
  <c r="J212" i="7" s="1"/>
  <c r="D269" i="7"/>
  <c r="J269" i="7" s="1"/>
  <c r="D145" i="7"/>
  <c r="J145" i="7" s="1"/>
  <c r="D211" i="7"/>
  <c r="J211" i="7" s="1"/>
  <c r="D128" i="7"/>
  <c r="J128" i="7" s="1"/>
  <c r="D146" i="7"/>
  <c r="J146" i="7" s="1"/>
  <c r="D268" i="7"/>
  <c r="J268" i="7" s="1"/>
  <c r="D139" i="7"/>
  <c r="J139" i="7" s="1"/>
  <c r="D267" i="7"/>
  <c r="J267" i="7" s="1"/>
  <c r="D90" i="7"/>
  <c r="J90" i="7" s="1"/>
  <c r="D129" i="7"/>
  <c r="J129" i="7" s="1"/>
  <c r="D206" i="7"/>
  <c r="J206" i="7" s="1"/>
  <c r="D134" i="7"/>
  <c r="J134" i="7" s="1"/>
  <c r="D266" i="7"/>
  <c r="J266" i="7" s="1"/>
  <c r="D101" i="7"/>
  <c r="J101" i="7" s="1"/>
  <c r="E142" i="7"/>
  <c r="K142" i="7" s="1"/>
  <c r="E51" i="7"/>
  <c r="K51" i="7" s="1"/>
  <c r="E143" i="7"/>
  <c r="K143" i="7" s="1"/>
  <c r="E144" i="7"/>
  <c r="K144" i="7" s="1"/>
  <c r="E61" i="7"/>
  <c r="K61" i="7" s="1"/>
  <c r="E52" i="7"/>
  <c r="K52" i="7" s="1"/>
  <c r="E145" i="7"/>
  <c r="K145" i="7" s="1"/>
  <c r="E146" i="7"/>
  <c r="K146" i="7" s="1"/>
  <c r="E147" i="7"/>
  <c r="K147" i="7" s="1"/>
  <c r="E53" i="7"/>
  <c r="K53" i="7" s="1"/>
  <c r="E148" i="7"/>
  <c r="K148" i="7" s="1"/>
  <c r="E205" i="7"/>
  <c r="K205" i="7" s="1"/>
  <c r="E206" i="7"/>
  <c r="K206" i="7" s="1"/>
  <c r="E54" i="7"/>
  <c r="K54" i="7" s="1"/>
  <c r="E207" i="7"/>
  <c r="K207" i="7" s="1"/>
  <c r="E208" i="7"/>
  <c r="K208" i="7" s="1"/>
  <c r="E209" i="7"/>
  <c r="K209" i="7" s="1"/>
  <c r="E55" i="7"/>
  <c r="K55" i="7" s="1"/>
  <c r="E210" i="7"/>
  <c r="K210" i="7" s="1"/>
  <c r="E211" i="7"/>
  <c r="K211" i="7" s="1"/>
  <c r="E212" i="7"/>
  <c r="K212" i="7" s="1"/>
  <c r="E56" i="7"/>
  <c r="K56" i="7" s="1"/>
  <c r="E213" i="7"/>
  <c r="K213" i="7" s="1"/>
  <c r="E230" i="7"/>
  <c r="K230" i="7" s="1"/>
  <c r="E231" i="7"/>
  <c r="K231" i="7" s="1"/>
  <c r="E57" i="7"/>
  <c r="K57" i="7" s="1"/>
  <c r="E232" i="7"/>
  <c r="K232" i="7" s="1"/>
  <c r="E233" i="7"/>
  <c r="K233" i="7" s="1"/>
  <c r="E234" i="7"/>
  <c r="K234" i="7" s="1"/>
  <c r="E58" i="7"/>
  <c r="K58" i="7" s="1"/>
  <c r="E260" i="7"/>
  <c r="K260" i="7" s="1"/>
  <c r="E261" i="7"/>
  <c r="K261" i="7" s="1"/>
  <c r="E262" i="7"/>
  <c r="K262" i="7" s="1"/>
  <c r="E59" i="7"/>
  <c r="K59" i="7" s="1"/>
  <c r="E263" i="7"/>
  <c r="K263" i="7" s="1"/>
  <c r="E264" i="7"/>
  <c r="K264" i="7" s="1"/>
  <c r="E265" i="7"/>
  <c r="K265" i="7" s="1"/>
  <c r="E60" i="7"/>
  <c r="K60" i="7" s="1"/>
  <c r="E266" i="7"/>
  <c r="K266" i="7" s="1"/>
  <c r="E267" i="7"/>
  <c r="K267" i="7" s="1"/>
  <c r="E268" i="7"/>
  <c r="K268" i="7" s="1"/>
  <c r="E269" i="7"/>
  <c r="K269" i="7" s="1"/>
  <c r="E299" i="7"/>
  <c r="K299" i="7" s="1"/>
  <c r="E300" i="7"/>
  <c r="K300" i="7" s="1"/>
  <c r="E62" i="7"/>
  <c r="K62" i="7" s="1"/>
  <c r="E301" i="7"/>
  <c r="K301" i="7" s="1"/>
  <c r="E302" i="7"/>
  <c r="K302" i="7" s="1"/>
  <c r="E303" i="7"/>
  <c r="K303" i="7" s="1"/>
  <c r="E63" i="7"/>
  <c r="K63" i="7" s="1"/>
  <c r="E304" i="7"/>
  <c r="K304" i="7" s="1"/>
  <c r="E305" i="7"/>
  <c r="K305" i="7" s="1"/>
  <c r="E306" i="7"/>
  <c r="K306" i="7" s="1"/>
  <c r="E89" i="7"/>
  <c r="K89" i="7" s="1"/>
  <c r="E307" i="7"/>
  <c r="K307" i="7" s="1"/>
  <c r="E308" i="7"/>
  <c r="K308" i="7" s="1"/>
  <c r="E309" i="7"/>
  <c r="K309" i="7" s="1"/>
  <c r="E90" i="7"/>
  <c r="K90" i="7" s="1"/>
  <c r="E310" i="7"/>
  <c r="K310" i="7" s="1"/>
  <c r="E311" i="7"/>
  <c r="K311" i="7" s="1"/>
  <c r="E312" i="7"/>
  <c r="K312" i="7" s="1"/>
  <c r="E91" i="7"/>
  <c r="K91" i="7" s="1"/>
  <c r="E313" i="7"/>
  <c r="K313" i="7" s="1"/>
  <c r="E314" i="7"/>
  <c r="K314" i="7" s="1"/>
  <c r="E92" i="7"/>
  <c r="K92" i="7" s="1"/>
  <c r="E93" i="7"/>
  <c r="K93" i="7" s="1"/>
  <c r="E94" i="7"/>
  <c r="K94" i="7" s="1"/>
  <c r="E95" i="7"/>
  <c r="K95" i="7" s="1"/>
  <c r="E96" i="7"/>
  <c r="K96" i="7" s="1"/>
  <c r="E97" i="7"/>
  <c r="K97" i="7" s="1"/>
  <c r="E98" i="7"/>
  <c r="K98" i="7" s="1"/>
  <c r="E99" i="7"/>
  <c r="K99" i="7" s="1"/>
  <c r="E100" i="7"/>
  <c r="K100" i="7" s="1"/>
  <c r="E101" i="7"/>
  <c r="K101" i="7" s="1"/>
  <c r="E102" i="7"/>
  <c r="K102" i="7" s="1"/>
  <c r="E128" i="7"/>
  <c r="K128" i="7" s="1"/>
  <c r="E129" i="7"/>
  <c r="K129" i="7" s="1"/>
  <c r="E130" i="7"/>
  <c r="K130" i="7" s="1"/>
  <c r="E131" i="7"/>
  <c r="K131" i="7" s="1"/>
  <c r="E132" i="7"/>
  <c r="K132" i="7" s="1"/>
  <c r="E133" i="7"/>
  <c r="K133" i="7" s="1"/>
  <c r="E134" i="7"/>
  <c r="K134" i="7" s="1"/>
  <c r="E135" i="7"/>
  <c r="K135" i="7" s="1"/>
  <c r="E136" i="7"/>
  <c r="K136" i="7" s="1"/>
  <c r="E137" i="7"/>
  <c r="K137" i="7" s="1"/>
  <c r="E138" i="7"/>
  <c r="K138" i="7" s="1"/>
  <c r="E139" i="7"/>
  <c r="K139" i="7" s="1"/>
  <c r="E140" i="7"/>
  <c r="K140" i="7" s="1"/>
  <c r="E141" i="7"/>
  <c r="K141" i="7" s="1"/>
  <c r="F211" i="7"/>
  <c r="L211" i="7" s="1"/>
  <c r="F51" i="7"/>
  <c r="L51" i="7" s="1"/>
  <c r="F132" i="7"/>
  <c r="L132" i="7" s="1"/>
  <c r="F91" i="7"/>
  <c r="L91" i="7" s="1"/>
  <c r="F52" i="7"/>
  <c r="L52" i="7" s="1"/>
  <c r="F213" i="7"/>
  <c r="L213" i="7" s="1"/>
  <c r="F148" i="7"/>
  <c r="L148" i="7" s="1"/>
  <c r="F53" i="7"/>
  <c r="L53" i="7" s="1"/>
  <c r="F208" i="7"/>
  <c r="L208" i="7" s="1"/>
  <c r="F261" i="7"/>
  <c r="L261" i="7" s="1"/>
  <c r="F54" i="7"/>
  <c r="L54" i="7" s="1"/>
  <c r="F136" i="7"/>
  <c r="L136" i="7" s="1"/>
  <c r="F138" i="7"/>
  <c r="L138" i="7" s="1"/>
  <c r="F55" i="7"/>
  <c r="L55" i="7" s="1"/>
  <c r="F263" i="7"/>
  <c r="L263" i="7" s="1"/>
  <c r="F140" i="7"/>
  <c r="L140" i="7" s="1"/>
  <c r="F56" i="7"/>
  <c r="L56" i="7" s="1"/>
  <c r="F212" i="7"/>
  <c r="L212" i="7" s="1"/>
  <c r="F232" i="7"/>
  <c r="L232" i="7" s="1"/>
  <c r="F57" i="7"/>
  <c r="L57" i="7" s="1"/>
  <c r="F209" i="7"/>
  <c r="L209" i="7" s="1"/>
  <c r="F137" i="7"/>
  <c r="L137" i="7" s="1"/>
  <c r="F58" i="7"/>
  <c r="L58" i="7" s="1"/>
  <c r="F134" i="7"/>
  <c r="L134" i="7" s="1"/>
  <c r="F143" i="7"/>
  <c r="L143" i="7" s="1"/>
  <c r="F59" i="7"/>
  <c r="L59" i="7" s="1"/>
  <c r="F260" i="7"/>
  <c r="L260" i="7" s="1"/>
  <c r="F135" i="7"/>
  <c r="L135" i="7" s="1"/>
  <c r="F60" i="7"/>
  <c r="L60" i="7" s="1"/>
  <c r="F234" i="7"/>
  <c r="L234" i="7" s="1"/>
  <c r="F210" i="7"/>
  <c r="L210" i="7" s="1"/>
  <c r="F61" i="7"/>
  <c r="L61" i="7" s="1"/>
  <c r="F133" i="7"/>
  <c r="L133" i="7" s="1"/>
  <c r="F131" i="7"/>
  <c r="L131" i="7" s="1"/>
  <c r="F62" i="7"/>
  <c r="L62" i="7" s="1"/>
  <c r="F147" i="7"/>
  <c r="L147" i="7" s="1"/>
  <c r="F139" i="7"/>
  <c r="L139" i="7" s="1"/>
  <c r="F63" i="7"/>
  <c r="L63" i="7" s="1"/>
  <c r="F230" i="7"/>
  <c r="L230" i="7" s="1"/>
  <c r="F233" i="7"/>
  <c r="L233" i="7" s="1"/>
  <c r="F89" i="7"/>
  <c r="L89" i="7" s="1"/>
  <c r="F144" i="7"/>
  <c r="L144" i="7" s="1"/>
  <c r="F262" i="7"/>
  <c r="L262" i="7" s="1"/>
  <c r="F90" i="7"/>
  <c r="L90" i="7" s="1"/>
  <c r="F269" i="7"/>
  <c r="L269" i="7" s="1"/>
  <c r="F231" i="7"/>
  <c r="L231" i="7" s="1"/>
  <c r="F264" i="7"/>
  <c r="L264" i="7" s="1"/>
  <c r="F130" i="7"/>
  <c r="L130" i="7" s="1"/>
  <c r="F265" i="7"/>
  <c r="L265" i="7" s="1"/>
  <c r="F266" i="7"/>
  <c r="L266" i="7" s="1"/>
  <c r="F129" i="7"/>
  <c r="L129" i="7" s="1"/>
  <c r="F267" i="7"/>
  <c r="L267" i="7" s="1"/>
  <c r="F128" i="7"/>
  <c r="L128" i="7" s="1"/>
  <c r="F205" i="7"/>
  <c r="L205" i="7" s="1"/>
  <c r="F268" i="7"/>
  <c r="L268" i="7" s="1"/>
  <c r="F298" i="7"/>
  <c r="L298" i="7" s="1"/>
  <c r="F102" i="7"/>
  <c r="L102" i="7" s="1"/>
  <c r="F299" i="7"/>
  <c r="L299" i="7" s="1"/>
  <c r="F101" i="7"/>
  <c r="L101" i="7" s="1"/>
  <c r="F300" i="7"/>
  <c r="L300" i="7" s="1"/>
  <c r="F142" i="7"/>
  <c r="L142" i="7" s="1"/>
  <c r="F301" i="7"/>
  <c r="L301" i="7" s="1"/>
  <c r="F100" i="7"/>
  <c r="L100" i="7" s="1"/>
  <c r="F302" i="7"/>
  <c r="L302" i="7" s="1"/>
  <c r="F99" i="7"/>
  <c r="L99" i="7" s="1"/>
  <c r="F206" i="7"/>
  <c r="L206" i="7" s="1"/>
  <c r="F303" i="7"/>
  <c r="L303" i="7" s="1"/>
  <c r="F207" i="7"/>
  <c r="L207" i="7" s="1"/>
  <c r="F304" i="7"/>
  <c r="L304" i="7" s="1"/>
  <c r="F98" i="7"/>
  <c r="L98" i="7" s="1"/>
  <c r="F305" i="7"/>
  <c r="L305" i="7" s="1"/>
  <c r="F97" i="7"/>
  <c r="L97" i="7" s="1"/>
  <c r="F306" i="7"/>
  <c r="L306" i="7" s="1"/>
  <c r="F307" i="7"/>
  <c r="L307" i="7" s="1"/>
  <c r="F96" i="7"/>
  <c r="L96" i="7" s="1"/>
  <c r="F145" i="7"/>
  <c r="L145" i="7" s="1"/>
  <c r="F308" i="7"/>
  <c r="L308" i="7" s="1"/>
  <c r="F95" i="7"/>
  <c r="L95" i="7" s="1"/>
  <c r="F309" i="7"/>
  <c r="L309" i="7" s="1"/>
  <c r="F310" i="7"/>
  <c r="L310" i="7" s="1"/>
  <c r="F94" i="7"/>
  <c r="L94" i="7" s="1"/>
  <c r="F311" i="7"/>
  <c r="L311" i="7" s="1"/>
  <c r="F93" i="7"/>
  <c r="L93" i="7" s="1"/>
  <c r="F141" i="7"/>
  <c r="L141" i="7" s="1"/>
  <c r="F312" i="7"/>
  <c r="L312" i="7" s="1"/>
  <c r="F313" i="7"/>
  <c r="L313" i="7" s="1"/>
  <c r="F92" i="7"/>
  <c r="L92" i="7" s="1"/>
  <c r="F146" i="7"/>
  <c r="L146" i="7" s="1"/>
  <c r="F314" i="7"/>
  <c r="L314" i="7" s="1"/>
  <c r="G211" i="7"/>
  <c r="M211" i="7" s="1"/>
  <c r="G51" i="7"/>
  <c r="M51" i="7" s="1"/>
  <c r="G166" i="7"/>
  <c r="M166" i="7" s="1"/>
  <c r="G231" i="7"/>
  <c r="M231" i="7" s="1"/>
  <c r="G264" i="7"/>
  <c r="M264" i="7" s="1"/>
  <c r="G130" i="7"/>
  <c r="M130" i="7" s="1"/>
  <c r="G52" i="7"/>
  <c r="M52" i="7" s="1"/>
  <c r="G53" i="7"/>
  <c r="M53" i="7" s="1"/>
  <c r="G265" i="7"/>
  <c r="M265" i="7" s="1"/>
  <c r="G129" i="7"/>
  <c r="M129" i="7" s="1"/>
  <c r="G54" i="7"/>
  <c r="M54" i="7" s="1"/>
  <c r="G266" i="7"/>
  <c r="M266" i="7" s="1"/>
  <c r="G135" i="7"/>
  <c r="M135" i="7" s="1"/>
  <c r="G55" i="7"/>
  <c r="M55" i="7" s="1"/>
  <c r="G267" i="7"/>
  <c r="M267" i="7" s="1"/>
  <c r="G128" i="7"/>
  <c r="M128" i="7" s="1"/>
  <c r="G261" i="7"/>
  <c r="M261" i="7" s="1"/>
  <c r="G56" i="7"/>
  <c r="M56" i="7" s="1"/>
  <c r="G57" i="7"/>
  <c r="M57" i="7" s="1"/>
  <c r="G268" i="7"/>
  <c r="M268" i="7" s="1"/>
  <c r="G102" i="7"/>
  <c r="M102" i="7" s="1"/>
  <c r="G205" i="7"/>
  <c r="M205" i="7" s="1"/>
  <c r="G147" i="7"/>
  <c r="M147" i="7" s="1"/>
  <c r="G269" i="7"/>
  <c r="M269" i="7" s="1"/>
  <c r="G232" i="7"/>
  <c r="M232" i="7" s="1"/>
  <c r="G298" i="7"/>
  <c r="M298" i="7" s="1"/>
  <c r="G58" i="7"/>
  <c r="M58" i="7" s="1"/>
  <c r="G131" i="7"/>
  <c r="M131" i="7" s="1"/>
  <c r="G299" i="7"/>
  <c r="M299" i="7" s="1"/>
  <c r="G101" i="7"/>
  <c r="M101" i="7" s="1"/>
  <c r="G59" i="7"/>
  <c r="M59" i="7" s="1"/>
  <c r="G142" i="7"/>
  <c r="M142" i="7" s="1"/>
  <c r="G60" i="7"/>
  <c r="M60" i="7" s="1"/>
  <c r="G300" i="7"/>
  <c r="M300" i="7" s="1"/>
  <c r="G100" i="7"/>
  <c r="M100" i="7" s="1"/>
  <c r="G132" i="7"/>
  <c r="M132" i="7" s="1"/>
  <c r="G61" i="7"/>
  <c r="M61" i="7" s="1"/>
  <c r="G301" i="7"/>
  <c r="M301" i="7" s="1"/>
  <c r="G62" i="7"/>
  <c r="M62" i="7" s="1"/>
  <c r="G144" i="7"/>
  <c r="M144" i="7" s="1"/>
  <c r="G143" i="7"/>
  <c r="M143" i="7" s="1"/>
  <c r="G302" i="7"/>
  <c r="M302" i="7" s="1"/>
  <c r="G99" i="7"/>
  <c r="M99" i="7" s="1"/>
  <c r="G63" i="7"/>
  <c r="M63" i="7" s="1"/>
  <c r="G89" i="7"/>
  <c r="M89" i="7" s="1"/>
  <c r="G233" i="7"/>
  <c r="M233" i="7" s="1"/>
  <c r="G303" i="7"/>
  <c r="M303" i="7" s="1"/>
  <c r="G90" i="7"/>
  <c r="M90" i="7" s="1"/>
  <c r="G98" i="7"/>
  <c r="M98" i="7" s="1"/>
  <c r="G206" i="7"/>
  <c r="M206" i="7" s="1"/>
  <c r="G91" i="7"/>
  <c r="M91" i="7" s="1"/>
  <c r="G304" i="7"/>
  <c r="M304" i="7" s="1"/>
  <c r="G208" i="7"/>
  <c r="M208" i="7" s="1"/>
  <c r="G134" i="7"/>
  <c r="M134" i="7" s="1"/>
  <c r="G305" i="7"/>
  <c r="M305" i="7" s="1"/>
  <c r="G97" i="7"/>
  <c r="M97" i="7" s="1"/>
  <c r="G140" i="7"/>
  <c r="M140" i="7" s="1"/>
  <c r="G146" i="7"/>
  <c r="M146" i="7" s="1"/>
  <c r="G306" i="7"/>
  <c r="M306" i="7" s="1"/>
  <c r="G96" i="7"/>
  <c r="M96" i="7" s="1"/>
  <c r="G141" i="7"/>
  <c r="M141" i="7" s="1"/>
  <c r="G209" i="7"/>
  <c r="M209" i="7" s="1"/>
  <c r="G307" i="7"/>
  <c r="M307" i="7" s="1"/>
  <c r="G139" i="7"/>
  <c r="M139" i="7" s="1"/>
  <c r="G210" i="7"/>
  <c r="M210" i="7" s="1"/>
  <c r="G234" i="7"/>
  <c r="M234" i="7" s="1"/>
  <c r="G308" i="7"/>
  <c r="M308" i="7" s="1"/>
  <c r="G95" i="7"/>
  <c r="M95" i="7" s="1"/>
  <c r="G148" i="7"/>
  <c r="M148" i="7" s="1"/>
  <c r="G133" i="7"/>
  <c r="M133" i="7" s="1"/>
  <c r="G309" i="7"/>
  <c r="M309" i="7" s="1"/>
  <c r="G94" i="7"/>
  <c r="M94" i="7" s="1"/>
  <c r="G207" i="7"/>
  <c r="M207" i="7" s="1"/>
  <c r="G138" i="7"/>
  <c r="M138" i="7" s="1"/>
  <c r="G310" i="7"/>
  <c r="M310" i="7" s="1"/>
  <c r="G262" i="7"/>
  <c r="M262" i="7" s="1"/>
  <c r="G212" i="7"/>
  <c r="M212" i="7" s="1"/>
  <c r="G311" i="7"/>
  <c r="M311" i="7" s="1"/>
  <c r="G93" i="7"/>
  <c r="M93" i="7" s="1"/>
  <c r="G260" i="7"/>
  <c r="M260" i="7" s="1"/>
  <c r="G137" i="7"/>
  <c r="M137" i="7" s="1"/>
  <c r="G145" i="7"/>
  <c r="M145" i="7" s="1"/>
  <c r="G312" i="7"/>
  <c r="M312" i="7" s="1"/>
  <c r="G92" i="7"/>
  <c r="M92" i="7" s="1"/>
  <c r="G213" i="7"/>
  <c r="M213" i="7" s="1"/>
  <c r="G313" i="7"/>
  <c r="M313" i="7" s="1"/>
  <c r="G263" i="7"/>
  <c r="M263" i="7" s="1"/>
  <c r="G230" i="7"/>
  <c r="M230" i="7" s="1"/>
  <c r="G136" i="7"/>
  <c r="M136" i="7" s="1"/>
  <c r="G314" i="7"/>
  <c r="M314" i="7" s="1"/>
  <c r="H299" i="7"/>
  <c r="N299" i="7" s="1"/>
  <c r="H230" i="7"/>
  <c r="N230" i="7" s="1"/>
  <c r="H231" i="7"/>
  <c r="N231" i="7" s="1"/>
  <c r="H135" i="7"/>
  <c r="N135" i="7" s="1"/>
  <c r="H147" i="7"/>
  <c r="N147" i="7" s="1"/>
  <c r="H232" i="7"/>
  <c r="N232" i="7" s="1"/>
  <c r="H300" i="7"/>
  <c r="N300" i="7" s="1"/>
  <c r="H100" i="7"/>
  <c r="N100" i="7" s="1"/>
  <c r="H134" i="7"/>
  <c r="N134" i="7" s="1"/>
  <c r="H233" i="7"/>
  <c r="N233" i="7" s="1"/>
  <c r="H234" i="7"/>
  <c r="N234" i="7" s="1"/>
  <c r="H133" i="7"/>
  <c r="N133" i="7" s="1"/>
  <c r="H301" i="7"/>
  <c r="N301" i="7" s="1"/>
  <c r="H145" i="7"/>
  <c r="N145" i="7" s="1"/>
  <c r="H99" i="7"/>
  <c r="N99" i="7" s="1"/>
  <c r="H260" i="7"/>
  <c r="N260" i="7" s="1"/>
  <c r="H132" i="7"/>
  <c r="N132" i="7" s="1"/>
  <c r="H261" i="7"/>
  <c r="N261" i="7" s="1"/>
  <c r="H302" i="7"/>
  <c r="N302" i="7" s="1"/>
  <c r="H262" i="7"/>
  <c r="N262" i="7" s="1"/>
  <c r="H131" i="7"/>
  <c r="N131" i="7" s="1"/>
  <c r="H148" i="7"/>
  <c r="N148" i="7" s="1"/>
  <c r="H263" i="7"/>
  <c r="N263" i="7" s="1"/>
  <c r="H50" i="7"/>
  <c r="N50" i="7" s="1"/>
  <c r="H130" i="7"/>
  <c r="N130" i="7" s="1"/>
  <c r="H98" i="7"/>
  <c r="N98" i="7" s="1"/>
  <c r="H51" i="7"/>
  <c r="N51" i="7" s="1"/>
  <c r="H52" i="7"/>
  <c r="N52" i="7" s="1"/>
  <c r="H53" i="7"/>
  <c r="N53" i="7" s="1"/>
  <c r="H264" i="7"/>
  <c r="N264" i="7" s="1"/>
  <c r="H304" i="7"/>
  <c r="N304" i="7" s="1"/>
  <c r="H54" i="7"/>
  <c r="N54" i="7" s="1"/>
  <c r="H97" i="7"/>
  <c r="N97" i="7" s="1"/>
  <c r="H206" i="7"/>
  <c r="N206" i="7" s="1"/>
  <c r="H55" i="7"/>
  <c r="N55" i="7" s="1"/>
  <c r="H166" i="7"/>
  <c r="N166" i="7" s="1"/>
  <c r="H305" i="7"/>
  <c r="N305" i="7" s="1"/>
  <c r="H56" i="7"/>
  <c r="N56" i="7" s="1"/>
  <c r="H57" i="7"/>
  <c r="N57" i="7" s="1"/>
  <c r="H141" i="7"/>
  <c r="N141" i="7" s="1"/>
  <c r="H265" i="7"/>
  <c r="N265" i="7" s="1"/>
  <c r="H129" i="7"/>
  <c r="N129" i="7" s="1"/>
  <c r="H306" i="7"/>
  <c r="N306" i="7" s="1"/>
  <c r="H96" i="7"/>
  <c r="N96" i="7" s="1"/>
  <c r="H58" i="7"/>
  <c r="N58" i="7" s="1"/>
  <c r="H142" i="7"/>
  <c r="N142" i="7" s="1"/>
  <c r="H59" i="7"/>
  <c r="N59" i="7" s="1"/>
  <c r="H60" i="7"/>
  <c r="N60" i="7" s="1"/>
  <c r="H307" i="7"/>
  <c r="N307" i="7" s="1"/>
  <c r="H266" i="7"/>
  <c r="N266" i="7" s="1"/>
  <c r="H95" i="7"/>
  <c r="N95" i="7" s="1"/>
  <c r="H62" i="7"/>
  <c r="N62" i="7" s="1"/>
  <c r="H128" i="7"/>
  <c r="N128" i="7" s="1"/>
  <c r="H144" i="7"/>
  <c r="N144" i="7" s="1"/>
  <c r="H308" i="7"/>
  <c r="N308" i="7" s="1"/>
  <c r="H63" i="7"/>
  <c r="N63" i="7" s="1"/>
  <c r="H89" i="7"/>
  <c r="N89" i="7" s="1"/>
  <c r="H303" i="7"/>
  <c r="N303" i="7" s="1"/>
  <c r="H267" i="7"/>
  <c r="N267" i="7" s="1"/>
  <c r="H90" i="7"/>
  <c r="N90" i="7" s="1"/>
  <c r="H309" i="7"/>
  <c r="N309" i="7" s="1"/>
  <c r="H94" i="7"/>
  <c r="N94" i="7" s="1"/>
  <c r="H208" i="7"/>
  <c r="N208" i="7" s="1"/>
  <c r="H209" i="7"/>
  <c r="N209" i="7" s="1"/>
  <c r="H139" i="7"/>
  <c r="N139" i="7" s="1"/>
  <c r="H146" i="7"/>
  <c r="N146" i="7" s="1"/>
  <c r="H310" i="7"/>
  <c r="N310" i="7" s="1"/>
  <c r="H268" i="7"/>
  <c r="N268" i="7" s="1"/>
  <c r="H93" i="7"/>
  <c r="N93" i="7" s="1"/>
  <c r="H207" i="7"/>
  <c r="N207" i="7" s="1"/>
  <c r="H102" i="7"/>
  <c r="N102" i="7" s="1"/>
  <c r="H210" i="7"/>
  <c r="N210" i="7" s="1"/>
  <c r="H311" i="7"/>
  <c r="N311" i="7" s="1"/>
  <c r="H138" i="7"/>
  <c r="N138" i="7" s="1"/>
  <c r="H61" i="7"/>
  <c r="N61" i="7" s="1"/>
  <c r="H211" i="7"/>
  <c r="N211" i="7" s="1"/>
  <c r="H269" i="7"/>
  <c r="N269" i="7" s="1"/>
  <c r="H143" i="7"/>
  <c r="N143" i="7" s="1"/>
  <c r="H312" i="7"/>
  <c r="N312" i="7" s="1"/>
  <c r="H92" i="7"/>
  <c r="N92" i="7" s="1"/>
  <c r="H212" i="7"/>
  <c r="N212" i="7" s="1"/>
  <c r="H140" i="7"/>
  <c r="N140" i="7" s="1"/>
  <c r="H298" i="7"/>
  <c r="N298" i="7" s="1"/>
  <c r="H137" i="7"/>
  <c r="N137" i="7" s="1"/>
  <c r="H313" i="7"/>
  <c r="N313" i="7" s="1"/>
  <c r="H101" i="7"/>
  <c r="N101" i="7" s="1"/>
  <c r="H91" i="7"/>
  <c r="N91" i="7" s="1"/>
  <c r="H205" i="7"/>
  <c r="N205" i="7" s="1"/>
  <c r="H213" i="7"/>
  <c r="N213" i="7" s="1"/>
  <c r="H136" i="7"/>
  <c r="N136" i="7" s="1"/>
  <c r="H314" i="7"/>
  <c r="N314" i="7" s="1"/>
  <c r="I80" i="7" l="1"/>
  <c r="I74" i="7"/>
  <c r="I72" i="7"/>
  <c r="I75" i="7"/>
  <c r="I68" i="7"/>
  <c r="I69" i="7"/>
  <c r="I76" i="7"/>
  <c r="I77" i="7"/>
  <c r="I78" i="7"/>
  <c r="I71" i="7"/>
  <c r="I70" i="7"/>
  <c r="I79" i="7"/>
  <c r="I73" i="7"/>
  <c r="J68" i="7"/>
  <c r="J74" i="7"/>
  <c r="J73" i="7"/>
  <c r="J69" i="7"/>
  <c r="J80" i="7"/>
  <c r="J71" i="7"/>
  <c r="J79" i="7"/>
  <c r="J78" i="7"/>
  <c r="J70" i="7"/>
  <c r="J77" i="7"/>
  <c r="J76" i="7"/>
  <c r="J72" i="7"/>
  <c r="J75" i="7"/>
  <c r="I51" i="7"/>
  <c r="I58" i="7"/>
  <c r="I63" i="7"/>
  <c r="I52" i="7"/>
  <c r="O52" i="7" s="1"/>
  <c r="I59" i="7"/>
  <c r="I62" i="7"/>
  <c r="I61" i="7"/>
  <c r="J51" i="7"/>
  <c r="O51" i="7" s="1"/>
  <c r="J52" i="7"/>
  <c r="J53" i="7"/>
  <c r="J54" i="7"/>
  <c r="J55" i="7"/>
  <c r="J56" i="7"/>
  <c r="J63" i="7"/>
  <c r="J57" i="7"/>
  <c r="J58" i="7"/>
  <c r="J59" i="7"/>
  <c r="J60" i="7"/>
  <c r="J61" i="7"/>
  <c r="J62" i="7"/>
  <c r="I67" i="7"/>
  <c r="I64" i="7"/>
  <c r="I65" i="7"/>
  <c r="I66" i="7"/>
  <c r="J66" i="7"/>
  <c r="J65" i="7"/>
  <c r="J67" i="7"/>
  <c r="J64" i="7"/>
  <c r="E72" i="6"/>
  <c r="J9" i="7"/>
  <c r="I50" i="7"/>
  <c r="O50" i="7" s="1"/>
  <c r="I48" i="7"/>
  <c r="O48" i="7" s="1"/>
  <c r="I45" i="7"/>
  <c r="O45" i="7" s="1"/>
  <c r="I43" i="7"/>
  <c r="O43" i="7" s="1"/>
  <c r="I42" i="7"/>
  <c r="I37" i="7"/>
  <c r="O37" i="7" s="1"/>
  <c r="I49" i="7"/>
  <c r="I47" i="7"/>
  <c r="I46" i="7"/>
  <c r="I44" i="7"/>
  <c r="I41" i="7"/>
  <c r="I40" i="7"/>
  <c r="O40" i="7" s="1"/>
  <c r="I39" i="7"/>
  <c r="O39" i="7" s="1"/>
  <c r="I38" i="7"/>
  <c r="I36" i="7"/>
  <c r="I35" i="7"/>
  <c r="I34" i="7"/>
  <c r="I33" i="7"/>
  <c r="I32" i="7"/>
  <c r="I31" i="7"/>
  <c r="I30" i="7"/>
  <c r="I29" i="7"/>
  <c r="I28" i="7"/>
  <c r="I27" i="7"/>
  <c r="I26" i="7"/>
  <c r="I25" i="7"/>
  <c r="I24" i="7"/>
  <c r="I23" i="7"/>
  <c r="I22" i="7"/>
  <c r="I21" i="7"/>
  <c r="J49" i="7"/>
  <c r="J47" i="7"/>
  <c r="J46" i="7"/>
  <c r="J44" i="7"/>
  <c r="J42" i="7"/>
  <c r="J41" i="7"/>
  <c r="J38" i="7"/>
  <c r="J50" i="7"/>
  <c r="J48" i="7"/>
  <c r="J45" i="7"/>
  <c r="J43" i="7"/>
  <c r="J40" i="7"/>
  <c r="J39" i="7"/>
  <c r="J37" i="7"/>
  <c r="J36" i="7"/>
  <c r="J35" i="7"/>
  <c r="J34" i="7"/>
  <c r="J33" i="7"/>
  <c r="J32" i="7"/>
  <c r="J31" i="7"/>
  <c r="J30" i="7"/>
  <c r="J29" i="7"/>
  <c r="J28" i="7"/>
  <c r="J27" i="7"/>
  <c r="J26" i="7"/>
  <c r="J25" i="7"/>
  <c r="J24" i="7"/>
  <c r="J23" i="7"/>
  <c r="J22" i="7"/>
  <c r="J21" i="7"/>
  <c r="I53" i="7"/>
  <c r="I54" i="7"/>
  <c r="I55" i="7"/>
  <c r="I60" i="7"/>
  <c r="I56" i="7"/>
  <c r="I57" i="7"/>
  <c r="O42" i="7" l="1"/>
  <c r="O53" i="7"/>
  <c r="O54" i="7"/>
  <c r="O55" i="7"/>
  <c r="O56" i="7"/>
  <c r="O59" i="7"/>
  <c r="O61" i="7"/>
  <c r="O46" i="7"/>
  <c r="O44" i="7"/>
  <c r="O41" i="7"/>
  <c r="O80" i="7"/>
  <c r="O74" i="7"/>
  <c r="O72" i="7"/>
  <c r="O75" i="7"/>
  <c r="O68" i="7"/>
  <c r="O69" i="7"/>
  <c r="O76" i="7"/>
  <c r="O77" i="7"/>
  <c r="O78" i="7"/>
  <c r="O71" i="7"/>
  <c r="O70" i="7"/>
  <c r="O79" i="7"/>
  <c r="O73" i="7"/>
  <c r="O63" i="7"/>
  <c r="O58" i="7"/>
  <c r="O62" i="7"/>
  <c r="O64" i="7"/>
  <c r="Q64" i="7"/>
  <c r="P64" i="7"/>
  <c r="O47" i="7"/>
  <c r="O60" i="7"/>
  <c r="O57" i="7"/>
  <c r="O67" i="7"/>
  <c r="O65" i="7"/>
  <c r="O66" i="7"/>
  <c r="O49" i="7"/>
  <c r="F41" i="1"/>
  <c r="J10" i="7"/>
  <c r="F42" i="1" s="1"/>
  <c r="Q50" i="7"/>
  <c r="P50" i="7"/>
  <c r="Q48" i="7"/>
  <c r="P48" i="7"/>
  <c r="Q45" i="7"/>
  <c r="P45" i="7"/>
  <c r="Q43" i="7"/>
  <c r="P43" i="7"/>
  <c r="Q42" i="7"/>
  <c r="P42" i="7"/>
  <c r="Q37" i="7"/>
  <c r="P37" i="7"/>
  <c r="Q49" i="7"/>
  <c r="P49" i="7"/>
  <c r="Q47" i="7"/>
  <c r="P47" i="7"/>
  <c r="Q46" i="7"/>
  <c r="P46" i="7"/>
  <c r="Q44" i="7"/>
  <c r="P44" i="7"/>
  <c r="Q41" i="7"/>
  <c r="P41" i="7"/>
  <c r="Q40" i="7"/>
  <c r="P40" i="7"/>
  <c r="Q39" i="7"/>
  <c r="P39" i="7"/>
  <c r="P51" i="7"/>
  <c r="Q51" i="7"/>
  <c r="P58" i="7"/>
  <c r="Q58" i="7"/>
  <c r="P52" i="7"/>
  <c r="Q52" i="7"/>
  <c r="P59" i="7"/>
  <c r="Q59" i="7"/>
  <c r="P53" i="7"/>
  <c r="Q53" i="7"/>
  <c r="P54" i="7"/>
  <c r="Q54" i="7"/>
  <c r="P55" i="7"/>
  <c r="Q55" i="7"/>
  <c r="P56" i="7"/>
  <c r="Q56" i="7"/>
  <c r="O38" i="7"/>
  <c r="O36" i="7"/>
  <c r="O35" i="7"/>
  <c r="O34" i="7"/>
  <c r="O33" i="7"/>
  <c r="O32" i="7"/>
  <c r="O31" i="7"/>
  <c r="O30" i="7"/>
  <c r="O29" i="7"/>
  <c r="O28" i="7"/>
  <c r="O27" i="7"/>
  <c r="O26" i="7"/>
  <c r="O25" i="7"/>
  <c r="O24" i="7"/>
  <c r="O23" i="7"/>
  <c r="O22" i="7"/>
  <c r="O21" i="7"/>
  <c r="Q61" i="7" l="1"/>
  <c r="P61" i="7"/>
  <c r="Q80" i="7"/>
  <c r="P80" i="7"/>
  <c r="P74" i="7"/>
  <c r="Q74" i="7"/>
  <c r="Q72" i="7"/>
  <c r="P72" i="7"/>
  <c r="P75" i="7"/>
  <c r="Q75" i="7"/>
  <c r="Q68" i="7"/>
  <c r="P68" i="7"/>
  <c r="P69" i="7"/>
  <c r="Q69" i="7"/>
  <c r="Q76" i="7"/>
  <c r="P76" i="7"/>
  <c r="Q77" i="7"/>
  <c r="P77" i="7"/>
  <c r="Q78" i="7"/>
  <c r="P78" i="7"/>
  <c r="Q71" i="7"/>
  <c r="P71" i="7"/>
  <c r="P70" i="7"/>
  <c r="Q70" i="7"/>
  <c r="P79" i="7"/>
  <c r="Q79" i="7"/>
  <c r="P73" i="7"/>
  <c r="Q73" i="7"/>
  <c r="P63" i="7"/>
  <c r="Q63" i="7"/>
  <c r="P62" i="7"/>
  <c r="Q62" i="7"/>
  <c r="P67" i="7"/>
  <c r="Q67" i="7"/>
  <c r="P65" i="7"/>
  <c r="Q65" i="7"/>
  <c r="P66" i="7"/>
  <c r="Q66" i="7"/>
  <c r="P60" i="7"/>
  <c r="Q60" i="7"/>
  <c r="P57" i="7"/>
  <c r="Q57" i="7"/>
  <c r="P38" i="7"/>
  <c r="Q38" i="7"/>
  <c r="P36" i="7"/>
  <c r="Q36" i="7"/>
  <c r="P35" i="7"/>
  <c r="Q35" i="7"/>
  <c r="P34" i="7"/>
  <c r="Q34" i="7"/>
  <c r="P33" i="7"/>
  <c r="Q33" i="7"/>
  <c r="P32" i="7"/>
  <c r="Q32" i="7"/>
  <c r="P31" i="7"/>
  <c r="Q31" i="7"/>
  <c r="P30" i="7"/>
  <c r="Q30" i="7"/>
  <c r="P29" i="7"/>
  <c r="Q29" i="7"/>
  <c r="P28" i="7"/>
  <c r="Q28" i="7"/>
  <c r="P27" i="7"/>
  <c r="Q27" i="7"/>
  <c r="P26" i="7"/>
  <c r="Q26" i="7"/>
  <c r="P25" i="7"/>
  <c r="Q25" i="7"/>
  <c r="P24" i="7"/>
  <c r="Q24" i="7"/>
  <c r="P23" i="7"/>
  <c r="Q23" i="7"/>
  <c r="P22" i="7"/>
  <c r="Q22" i="7"/>
  <c r="P21" i="7"/>
  <c r="Q21" i="7"/>
  <c r="J5" i="7"/>
  <c r="J7" i="7" l="1"/>
  <c r="J6" i="7"/>
  <c r="F39" i="1" l="1"/>
  <c r="J8" i="7"/>
  <c r="F40" i="1" s="1"/>
  <c r="F37" i="1"/>
  <c r="J11" i="7"/>
  <c r="F38" i="1" s="1"/>
</calcChain>
</file>

<file path=xl/sharedStrings.xml><?xml version="1.0" encoding="utf-8"?>
<sst xmlns="http://schemas.openxmlformats.org/spreadsheetml/2006/main" count="428" uniqueCount="353">
  <si>
    <t>APW 2026/27 – Parametric six-way shuttle warehouse: optimizer dashboard</t>
  </si>
  <si>
    <t>Only the lift and shuttle data are fixed (sheet 'Equipment'). Change any blue cell: the optimizer re-derives lifts, lanes, shuttles and cost for every combination of lane depth N_C × tiers N_T and picks the best one.</t>
  </si>
  <si>
    <t>INPUTS (blue on yellow)</t>
  </si>
  <si>
    <t>Value</t>
  </si>
  <si>
    <t>Unit</t>
  </si>
  <si>
    <t>RESULT</t>
  </si>
  <si>
    <t>Manual design</t>
  </si>
  <si>
    <t>Requirements and operation</t>
  </si>
  <si>
    <t>Lane depth N_C</t>
  </si>
  <si>
    <t>Required effective capacity</t>
  </si>
  <si>
    <t>pallets</t>
  </si>
  <si>
    <t>Tiers N_T</t>
  </si>
  <si>
    <t>Pallets per SKU</t>
  </si>
  <si>
    <t>Lifts</t>
  </si>
  <si>
    <t>Inbound rate</t>
  </si>
  <si>
    <t>pallets/h</t>
  </si>
  <si>
    <t>Lanes per side N_L</t>
  </si>
  <si>
    <t>Outbound rate (during working hours)</t>
  </si>
  <si>
    <t>Aisle length (m)</t>
  </si>
  <si>
    <t>Inbound hours per day</t>
  </si>
  <si>
    <t>h</t>
  </si>
  <si>
    <t>Block depth (m)</t>
  </si>
  <si>
    <t>Outbound hours per day</t>
  </si>
  <si>
    <t>Rack height (m)</t>
  </si>
  <si>
    <t>Peak design factor (1.25 = +25 %)</t>
  </si>
  <si>
    <t>x</t>
  </si>
  <si>
    <t>D/W</t>
  </si>
  <si>
    <t>Building limits</t>
  </si>
  <si>
    <t>Net positions</t>
  </si>
  <si>
    <t>Maximum rack height available</t>
  </si>
  <si>
    <t>m</t>
  </si>
  <si>
    <t>Effective positions</t>
  </si>
  <si>
    <t>Constrain footprint to the building below?</t>
  </si>
  <si>
    <t>Yes</t>
  </si>
  <si>
    <t>Footprint (m²)</t>
  </si>
  <si>
    <t>Building length</t>
  </si>
  <si>
    <t>Shuttle cycle (s)</t>
  </si>
  <si>
    <t>Building width</t>
  </si>
  <si>
    <t>Shuttles incl. spares</t>
  </si>
  <si>
    <t>Lane policy and ABC distribution</t>
  </si>
  <si>
    <t>Lift utilization</t>
  </si>
  <si>
    <t>Lift util., one lift down</t>
  </si>
  <si>
    <t>Distribution of transactions over tiers</t>
  </si>
  <si>
    <t>ABC</t>
  </si>
  <si>
    <t>Lift energy (kWh/day)</t>
  </si>
  <si>
    <t>Tiers for class A (lowest)</t>
  </si>
  <si>
    <t>tiers</t>
  </si>
  <si>
    <t>Total cost (EUR)</t>
  </si>
  <si>
    <t>Tiers for class B</t>
  </si>
  <si>
    <t>Cost per effective pallet (EUR)</t>
  </si>
  <si>
    <t>Share of transactions class A</t>
  </si>
  <si>
    <t>Feasible?</t>
  </si>
  <si>
    <t>Share of transactions class B</t>
  </si>
  <si>
    <t>Share of transactions class C</t>
  </si>
  <si>
    <t>Pallet and rack geometry</t>
  </si>
  <si>
    <t>Top 5</t>
  </si>
  <si>
    <t>N_C</t>
  </si>
  <si>
    <t>N_T</t>
  </si>
  <si>
    <t>N_L</t>
  </si>
  <si>
    <t>Shuttles</t>
  </si>
  <si>
    <t>Cycle (s)</t>
  </si>
  <si>
    <t>Cost (EUR)</t>
  </si>
  <si>
    <t>Lane pitch across lanes u_w (pallet 850 + 150 upright)</t>
  </si>
  <si>
    <t>Position pitch along lane u_d (pallet 1250 + 50)</t>
  </si>
  <si>
    <t>Vertical pitch u_h (pallet 1700 + 450 rail zone)</t>
  </si>
  <si>
    <t>Cross-aisle width (slide: 1300 mm)</t>
  </si>
  <si>
    <t>Offset aisle centre → first slot / lift</t>
  </si>
  <si>
    <t>Headroom above racks</t>
  </si>
  <si>
    <t>Tip: switch 'Lane depth N_C' to 'Free', the objective or ABC to see how the optimum moves.</t>
  </si>
  <si>
    <t>Honeycombing factor f</t>
  </si>
  <si>
    <t>Lanes replaced by each lift shaft</t>
  </si>
  <si>
    <t>lanes</t>
  </si>
  <si>
    <t>IN / OUT bays and lifts (optimal design)</t>
  </si>
  <si>
    <t>Average fill ratio</t>
  </si>
  <si>
    <t>Lift layout used</t>
  </si>
  <si>
    <t>Design rules</t>
  </si>
  <si>
    <t>Lift positions in aisle (m)</t>
  </si>
  <si>
    <t>Max utilization (normal operation)</t>
  </si>
  <si>
    <t>Mean shuttle aisle leg (s)</t>
  </si>
  <si>
    <t>Max lift utilization with one lift down</t>
  </si>
  <si>
    <t>Shuttle cycle with this layout (s)</t>
  </si>
  <si>
    <t>N+1 redundancy on lifts</t>
  </si>
  <si>
    <t>Mean conveyor length (m)</t>
  </si>
  <si>
    <t>Minimum shuttles per active tier (0.4 ≈ roaming pool)</t>
  </si>
  <si>
    <t>shuttles</t>
  </si>
  <si>
    <t>Mean conveyor time (s)</t>
  </si>
  <si>
    <t>Spare shuttles</t>
  </si>
  <si>
    <t>Installed ground conveyor (m)</t>
  </si>
  <si>
    <t>Costs (ASSUMPTIONS – edit freely)</t>
  </si>
  <si>
    <t>Conveyor cost (EUR)</t>
  </si>
  <si>
    <t>Cost per lift</t>
  </si>
  <si>
    <t>EUR</t>
  </si>
  <si>
    <t>Cost per shuttle (paper: generic shuttle)</t>
  </si>
  <si>
    <t>Static study of best lift positions for several IN/OUT layouts: sheet Lift_location_study.</t>
  </si>
  <si>
    <t>Cost per pallet position (rack)</t>
  </si>
  <si>
    <t>Cost per m² of footprint</t>
  </si>
  <si>
    <t>EUR/m²</t>
  </si>
  <si>
    <t>Cost per m³ of building</t>
  </si>
  <si>
    <t>EUR/m³</t>
  </si>
  <si>
    <t>Optimization target and manual design</t>
  </si>
  <si>
    <t>Objective</t>
  </si>
  <si>
    <t>Total cost</t>
  </si>
  <si>
    <t>Pallet mass (energy, upper bound)</t>
  </si>
  <si>
    <t>kg</t>
  </si>
  <si>
    <t>Manual design: lane depth N_C</t>
  </si>
  <si>
    <t>pos</t>
  </si>
  <si>
    <t>Manual design: tiers N_T</t>
  </si>
  <si>
    <t>IN / OUT bays and lift layout (x from the left wall, along the building length)</t>
  </si>
  <si>
    <t>Inbound bay position</t>
  </si>
  <si>
    <t>Outbound bay position</t>
  </si>
  <si>
    <t>Distance front wall → rack block (apron)</t>
  </si>
  <si>
    <t>Ground conveyor speed (ASSUMPTION)</t>
  </si>
  <si>
    <t>m/s</t>
  </si>
  <si>
    <t>Ground conveyor cost (ASSUMPTION)</t>
  </si>
  <si>
    <t>EUR/m</t>
  </si>
  <si>
    <t>Weight of conveyor time vs shuttle time (lift placement)</t>
  </si>
  <si>
    <t>Lift positions along the aisle</t>
  </si>
  <si>
    <t>Equispaced</t>
  </si>
  <si>
    <t>Manual position of lift 1 (aisle coordinate)</t>
  </si>
  <si>
    <t>Manual position of lift 2 (aisle coordinate)</t>
  </si>
  <si>
    <t>Manual position of lift 3 (aisle coordinate)</t>
  </si>
  <si>
    <t>Manual position of lift 4 (aisle coordinate)</t>
  </si>
  <si>
    <t>Manual position of lift 5 (aisle coordinate)</t>
  </si>
  <si>
    <t>Manual position of lift 6 (aisle coordinate)</t>
  </si>
  <si>
    <t>LIFT AND SHUTTLE DATA – fixed by the assignment</t>
  </si>
  <si>
    <t>Parameter</t>
  </si>
  <si>
    <t>Note</t>
  </si>
  <si>
    <t>Shuttle max speed</t>
  </si>
  <si>
    <t>Shuttle acceleration = deceleration</t>
  </si>
  <si>
    <t>m/s²</t>
  </si>
  <si>
    <t>Direction change time</t>
  </si>
  <si>
    <t>s</t>
  </si>
  <si>
    <t>Shuttle load/unload (rack / conveyor)</t>
  </si>
  <si>
    <t>Lift max speed</t>
  </si>
  <si>
    <t>Lift acceleration</t>
  </si>
  <si>
    <t>Lift positioning time</t>
  </si>
  <si>
    <t>Lift load/unload with chain conveyor</t>
  </si>
  <si>
    <t>Lift load/unload with shuttle</t>
  </si>
  <si>
    <t>Lift interface at the tiers</t>
  </si>
  <si>
    <t>Shuttle</t>
  </si>
  <si>
    <t>'Shuttle' = 25 s hand-over; 'Chain' = chain conveyor buffer at each tier (7 s)</t>
  </si>
  <si>
    <t>Interface time used (t_I)</t>
  </si>
  <si>
    <t>Reference data (not used in the equations): shuttle 1045×890×197 mm, 260 kg, capacity 1000 kg, battery 8 h; lift 470 kg, capacity 1800 kg, 16 kW.</t>
  </si>
  <si>
    <t>Derived values</t>
  </si>
  <si>
    <t>Peak transactions (in + out)</t>
  </si>
  <si>
    <t>tx/h</t>
  </si>
  <si>
    <t>Pallet movements per day</t>
  </si>
  <si>
    <t>mov/day</t>
  </si>
  <si>
    <t>Positions to build (capacity / fill)</t>
  </si>
  <si>
    <t>Shuttle battery 50 V × 30 Ah (slide)</t>
  </si>
  <si>
    <t>kWh</t>
  </si>
  <si>
    <t>Runtime 8 h (slide); not used in the equations</t>
  </si>
  <si>
    <t>APW 2026/27 – Parametric warehouse optimizer: how it works</t>
  </si>
  <si>
    <t>What it does</t>
  </si>
  <si>
    <t>Given the requirements (capacity, flows, SKU size, building limits, costs), it explores every combination of lane depth N_C and number of tiers N_T and, for each one, derives the number of lifts, the number of lanes, the aisle length, the shuttle fleet, the cost and the feasibility. The best design is shown on the Dashboard, together with a manual design for comparison.</t>
  </si>
  <si>
    <t>What is fixed</t>
  </si>
  <si>
    <t>Only the lift and shuttle kinematics (sheet Equipment). Everything else is an input on the Dashboard.</t>
  </si>
  <si>
    <t>Derivation of each design (sheet Optimizer)</t>
  </si>
  <si>
    <t>1. Lifts: lift workload = peak rate × share of transactions above tier 1 × mean lift cycle / 3600. Lifts n = max(ceil(workload/ρ_max), ceil(workload/ρ_fail)+1 if N+1).</t>
  </si>
  <si>
    <t>2. Lanes: N_L = ceil((required positions/(N_C·N_T) + n·lanes per lift)/2).  Aisle length = N_L·u_w, block depth = 2·N_C·u_d + aisle width.</t>
  </si>
  <si>
    <t>3. Shuttle cycle = 2·25 + 2·4 + 2·(mean aisle leg to the nearest lift) + 2·(mean in-lane leg with honeycombing); lifts equally spaced at (2k−1)L/(2n), mean distance L/(4n).</t>
  </si>
  <si>
    <t>4. Shuttles per tier = max(min per tier, ceil(tier load × cycle / (3600 ρ_max))); fleet = sum + spares.</t>
  </si>
  <si>
    <t>5. Cost = lifts + shuttles + rack positions + building (footprint × €/m² + volume × €/m³). Costs are ASSUMPTIONS: replace them with real quotes.</t>
  </si>
  <si>
    <t>6. Feasible = height ≤ maximum, lane policy respected, footprint inside the building (if constrained). The best feasible design minimizes the chosen objective.</t>
  </si>
  <si>
    <t>Limits of the model</t>
  </si>
  <si>
    <t>Single-command cycles, deterministic travel, no queues: use it for concept design. DES_validation shows the discrete-event simulation: the shuttle cycle is optimistic by about 9 % and lift utilization by a few points.</t>
  </si>
  <si>
    <t>The cost surface is flat near the optimum (a few percent): treat the top 5 designs as equivalent and decide with the other criteria (resilience, expansion, footprint).</t>
  </si>
  <si>
    <t>One cross-aisle per tier is modelled. Very long aisles (&gt; 60 m) would in practice be split into modules, which this sheet does not do.</t>
  </si>
  <si>
    <t>Sliders</t>
  </si>
  <si>
    <t>Excel sliders are 'form controls' that cannot be generated by script. To add one: Developer tab → Insert → Scroll Bar (Form Control) → draw it → right-click → Format Control → set min/max and 'Cell link' = the input cell (works for whole-number inputs such as N_C manual, N_T manual, lanes per lift).</t>
  </si>
  <si>
    <t>Colour code</t>
  </si>
  <si>
    <t>Blue on yellow = input; black = formula; green = optimal design; blue without fill (DES_validation) = hard-coded results.</t>
  </si>
  <si>
    <t>IN / OUT bays (new)</t>
  </si>
  <si>
    <t>The inbound and outbound bay positions are inputs. They do not change the optimal rack shape, but they change where lifts should go and the length/cost of the ground conveyors. Sheet Bay_position evaluates the chosen layout (Equispaced or Manual); Lift_location_study shows the best positions found by search for several bay layouts.</t>
  </si>
  <si>
    <t>Geometry now follows the professor's slides: pallet 850×1250×1700 mm, lane pitch 1.00 m (850 + 150 upright), position pitch 1.30 m, vertical pitch 2.15 m (1700 + 450 rail zone), cross-aisle 1.3 m. The vertical pitch and lane pitch are my reading of the drawings: confirm with the professor.</t>
  </si>
  <si>
    <t>Robustness rules (v3)</t>
  </si>
  <si>
    <t>• Lane policy 'Fixed = pallets per SKU': every N_C column of the optimizer is set to the pallets-per-SKU value (any value 1–48 works, not only the 11 values of the free list); duplicate columns are switched off so the count of feasible designs is correct.</t>
  </si>
  <si>
    <t>• If NO design satisfies all constraints (e.g. fixed N_C = 6 inside a 45×30×20 m envelope at 85 % fill), the Dashboard shows the LEAST-VIOLATING design in red, with the reasons (height, footprint, lanes&gt;300, lifts&gt;6, lane policy) instead of errors; charts that plot only feasible designs stay empty.</t>
  </si>
  <si>
    <t>• Limits of the model: at most 6 lifts, 300 lanes per side, 20 tiers, N_C ≥ 1. Rates equal to zero, shares of ABC equal to zero (→ uniform) and bays outside the building are caught by the banner in row 3 of the Dashboard.</t>
  </si>
  <si>
    <t>• Cross-checked: for 15 input scenarios the Excel optimum (N_C, N_T, lifts, N_L, cost) matches 'python apw_shuttle_model.py optimize' to the euro.</t>
  </si>
  <si>
    <t>OPTIMIZER – all combinations of lane depth N_C × tiers N_T (formulas only)</t>
  </si>
  <si>
    <t>Base N_C list (free mode); in 'Fixed' mode every column = pallets per SKU</t>
  </si>
  <si>
    <t>N_C values explored →</t>
  </si>
  <si>
    <t>Best score / row used (best or least-violating) / feasible designs →</t>
  </si>
  <si>
    <t>Objective by N_T (rows) and N_C (columns); infeasible = NA</t>
  </si>
  <si>
    <t>#</t>
  </si>
  <si>
    <t>p lift users</t>
  </si>
  <si>
    <t>Lift cycle (s)</t>
  </si>
  <si>
    <t>Lift-equiv. busy</t>
  </si>
  <si>
    <t>Lifts n</t>
  </si>
  <si>
    <t>N_L per side</t>
  </si>
  <si>
    <t>Aisle L (m)</t>
  </si>
  <si>
    <t>dmax (m)</t>
  </si>
  <si>
    <t>t_aisle (s)</t>
  </si>
  <si>
    <t>t_lane (s)</t>
  </si>
  <si>
    <t>Σ shuttles needed</t>
  </si>
  <si>
    <t>Shuttles + spares</t>
  </si>
  <si>
    <t>Volume (m³)</t>
  </si>
  <si>
    <t>Cost lifts</t>
  </si>
  <si>
    <t>Cost shuttles</t>
  </si>
  <si>
    <t>Cost rack</t>
  </si>
  <si>
    <t>Cost building</t>
  </si>
  <si>
    <t>Lift util</t>
  </si>
  <si>
    <t>Lift util, one down</t>
  </si>
  <si>
    <t>Feasible</t>
  </si>
  <si>
    <t>Score</t>
  </si>
  <si>
    <t>Why not</t>
  </si>
  <si>
    <t>Violation + objective (fallback score)</t>
  </si>
  <si>
    <t>N_T \ N_C</t>
  </si>
  <si>
    <t>TIER DISTRIBUTION BY NUMBER OF TIERS (helper – formulas only)</t>
  </si>
  <si>
    <t>Tier i →</t>
  </si>
  <si>
    <t>index</t>
  </si>
  <si>
    <t>height h_i (m)</t>
  </si>
  <si>
    <t>lift travel t(h_i) (s)</t>
  </si>
  <si>
    <t>lift single cycle (s), tiers ≥ 2</t>
  </si>
  <si>
    <t>Raw weights R[N_T, i]  (rows: number of tiers N_T)</t>
  </si>
  <si>
    <t>Σ weights</t>
  </si>
  <si>
    <t>p tier 1</t>
  </si>
  <si>
    <t>mean lift cycle (s)</t>
  </si>
  <si>
    <t>mean height (m)</t>
  </si>
  <si>
    <t>Normalized probabilities p[N_T, i]</t>
  </si>
  <si>
    <t>CHART DATA (helper – formulas only)</t>
  </si>
  <si>
    <t>Best N_T</t>
  </si>
  <si>
    <t>Best shuttle cycle</t>
  </si>
  <si>
    <t>1) Shape at the optimal N_T</t>
  </si>
  <si>
    <t>Row</t>
  </si>
  <si>
    <t>Selected design</t>
  </si>
  <si>
    <t>2) Lift utilization vs number of lifts (optimal design)</t>
  </si>
  <si>
    <t>Normal</t>
  </si>
  <si>
    <t>One lift down</t>
  </si>
  <si>
    <t>Target normal</t>
  </si>
  <si>
    <t>Target one down</t>
  </si>
  <si>
    <t>3) Shuttle utilization per tier (optimal design)</t>
  </si>
  <si>
    <t>Tier</t>
  </si>
  <si>
    <t>p tier</t>
  </si>
  <si>
    <t>Load (tx/h)</t>
  </si>
  <si>
    <t>Shuttles assigned</t>
  </si>
  <si>
    <t>Utilization</t>
  </si>
  <si>
    <t>Target</t>
  </si>
  <si>
    <t>4) Cost breakdown (EUR)</t>
  </si>
  <si>
    <t>Item</t>
  </si>
  <si>
    <t>Optimal</t>
  </si>
  <si>
    <t>Manual</t>
  </si>
  <si>
    <t>Racks</t>
  </si>
  <si>
    <t>Building</t>
  </si>
  <si>
    <t>5) Plan view of the optimal design (building coordinates)</t>
  </si>
  <si>
    <t>x0 (rack start)</t>
  </si>
  <si>
    <t>Block depth D</t>
  </si>
  <si>
    <t>Aisle L</t>
  </si>
  <si>
    <t>Front apron</t>
  </si>
  <si>
    <t>Rack x</t>
  </si>
  <si>
    <t>Rack y</t>
  </si>
  <si>
    <t>Aisle x</t>
  </si>
  <si>
    <t>Aisle y</t>
  </si>
  <si>
    <t>Lift x</t>
  </si>
  <si>
    <t>Lift y</t>
  </si>
  <si>
    <t>Building x</t>
  </si>
  <si>
    <t>Building y</t>
  </si>
  <si>
    <t>Bay IN x</t>
  </si>
  <si>
    <t>Bay IN y</t>
  </si>
  <si>
    <t>Bay OUT x</t>
  </si>
  <si>
    <t>Bay OUT y</t>
  </si>
  <si>
    <t>6) Top 5 designs</t>
  </si>
  <si>
    <t>Rank</t>
  </si>
  <si>
    <t>Aisle (m)</t>
  </si>
  <si>
    <t>Depth (m)</t>
  </si>
  <si>
    <t>Height (m)</t>
  </si>
  <si>
    <t>IN / OUT BAYS AND LIFT POSITIONS – optimal design (formulas only)</t>
  </si>
  <si>
    <t>Each lane is served by the lift that minimises 2·t_aisle + w·conveyor_time. Layout 'Equispaced' or 'Manual' is chosen on the Dashboard. The Optimizer sheet always uses equispaced lifts; here you see the effect of the layout on the shuttle leg and on the ground conveyors.</t>
  </si>
  <si>
    <t>N_L (best design)</t>
  </si>
  <si>
    <t>SUMMARY</t>
  </si>
  <si>
    <t>Lifts modelled (best design, max 6)</t>
  </si>
  <si>
    <t>Mean placement objective J (s)</t>
  </si>
  <si>
    <t>Mean conveyor length per transaction (m)</t>
  </si>
  <si>
    <t>Rack block start x (m, centred)</t>
  </si>
  <si>
    <t>Conveyor spur: wall → aisle centre (m)</t>
  </si>
  <si>
    <t>Installed conveyor cost (EUR)</t>
  </si>
  <si>
    <t>Lift k</t>
  </si>
  <si>
    <t>Position in aisle (m)</t>
  </si>
  <si>
    <t>Position x in building (m)</t>
  </si>
  <si>
    <t>Conveyor leg to bays (m)</t>
  </si>
  <si>
    <t>Conv. time (s)</t>
  </si>
  <si>
    <t>Shuttle cycle, equispaced (Optimizer) (s)</t>
  </si>
  <si>
    <t>Lane j</t>
  </si>
  <si>
    <t>y (m)</t>
  </si>
  <si>
    <t>t_aisle lift 1</t>
  </si>
  <si>
    <t>t_aisle lift 2</t>
  </si>
  <si>
    <t>t_aisle lift 3</t>
  </si>
  <si>
    <t>t_aisle lift 4</t>
  </si>
  <si>
    <t>t_aisle lift 5</t>
  </si>
  <si>
    <t>t_aisle lift 6</t>
  </si>
  <si>
    <t>J lift 1</t>
  </si>
  <si>
    <t>J lift 2</t>
  </si>
  <si>
    <t>J lift 3</t>
  </si>
  <si>
    <t>J lift 4</t>
  </si>
  <si>
    <t>J lift 5</t>
  </si>
  <si>
    <t>J lift 6</t>
  </si>
  <si>
    <t>min J (s)</t>
  </si>
  <si>
    <t>t_aisle used (s)</t>
  </si>
  <si>
    <t>conveyor leg used (m)</t>
  </si>
  <si>
    <t>BEST LIFT POSITIONS FOR DIFFERENT IN/OUT LAYOUTS (static values from: python apw_shuttle_model.py lifts)</t>
  </si>
  <si>
    <t>Design used: N_C 8, N_T 8, N_L 40, 2 lifts (best feasible inside 45×30×20 m with free N_C). Lifts placed by coordinate search minimising 2·t_aisle + 0.3·conveyor time. J = placement objective (s).</t>
  </si>
  <si>
    <t>scenario</t>
  </si>
  <si>
    <t>IN_x_m</t>
  </si>
  <si>
    <t>OUT_x_m</t>
  </si>
  <si>
    <t>lifts</t>
  </si>
  <si>
    <t>J_equi_s</t>
  </si>
  <si>
    <t>shuttle_leg_equi_s</t>
  </si>
  <si>
    <t>conv_len_equi_m</t>
  </si>
  <si>
    <t>conv_cost_equi_EUR</t>
  </si>
  <si>
    <t>J_opt_s</t>
  </si>
  <si>
    <t>shuttle_leg_opt_s</t>
  </si>
  <si>
    <t>conv_len_opt_m</t>
  </si>
  <si>
    <t>conv_cost_opt_EUR</t>
  </si>
  <si>
    <t>J_change_%</t>
  </si>
  <si>
    <t>lift_positions_opt_m</t>
  </si>
  <si>
    <t>IN left / OUT right</t>
  </si>
  <si>
    <t>[11.5, 31.5]</t>
  </si>
  <si>
    <t>IN and OUT side by side, centre</t>
  </si>
  <si>
    <t>[12.5, 22.5]</t>
  </si>
  <si>
    <t>IN and OUT both at left</t>
  </si>
  <si>
    <t>[4.7, 24.5]</t>
  </si>
  <si>
    <t>IN centre / OUT right</t>
  </si>
  <si>
    <t>[19.5, 33.5]</t>
  </si>
  <si>
    <t>IN and OUT same point (corner)</t>
  </si>
  <si>
    <t>[4.5, 24.5]</t>
  </si>
  <si>
    <t>Reading: moving lifts toward the bays shortens the conveyors but lengthens the shuttle leg. Gains are small (0–6 % of J) because the apron + half block depth dominates the conveyor length; they grow when IN and OUT are close together.</t>
  </si>
  <si>
    <t>DISCRETE-EVENT SIMULATION vs ANALYTICAL MODEL (static values from apw_shuttle_model.py)</t>
  </si>
  <si>
    <t>Reference design N_C 8, N_L 40, N_T 8, 2 lifts, new slide geometry (u_w 1.00, u_d 1.30, u_h 2.15). SimPy, 3 replications × 40 h, 4 h warm-up, 40 in + 60 out per hour. Re-run 'python apw_shuttle_model.py des' to refresh.</t>
  </si>
  <si>
    <t>Scenario</t>
  </si>
  <si>
    <t>Analytical shuttle cycle (s)</t>
  </si>
  <si>
    <t>DES shuttle active time per tx (s)</t>
  </si>
  <si>
    <t>Analytical lift util (%)</t>
  </si>
  <si>
    <t>DES lift util (%)</t>
  </si>
  <si>
    <t>Analytical max shuttle util (%)</t>
  </si>
  <si>
    <t>DES max shuttle group util (%)</t>
  </si>
  <si>
    <t>DES mean throughput storage (s)</t>
  </si>
  <si>
    <t>DES mean throughput retrieval (s)</t>
  </si>
  <si>
    <t>DES p95 storage (s)</t>
  </si>
  <si>
    <t>DES p95 retrieval (s)</t>
  </si>
  <si>
    <t>Relocations per hour</t>
  </si>
  <si>
    <t>Base: ABC, 2 lifts, fleet by tier group</t>
  </si>
  <si>
    <t>Uniform, 2 lifts, 1 shuttle/tier</t>
  </si>
  <si>
    <t>ABC, 2 lifts, peak +25%</t>
  </si>
  <si>
    <t>ABC, 3 lifts</t>
  </si>
  <si>
    <t>ABC, 2 lifts, one lift down</t>
  </si>
  <si>
    <t>ABC, 2 lifts, chain conveyor interface</t>
  </si>
  <si>
    <t>How to read it</t>
  </si>
  <si>
    <t>• The analytical shuttle cycle is optimistic by about 8 %: in the simulation a shuttle restarts from the lift point it used last, not from the lift nearest to the next lane.</t>
  </si>
  <si>
    <t>• DES lift utilization is 5–10 points above the analytical value (relocations of the roaming pool, lift waiting for the shuttle).</t>
  </si>
  <si>
    <t>• With 2 lifts and one down, the remaining lift runs at ~87 % and the 95th-percentile throughput time is ~14 minutes: a third lift (or the chain-conveyor interface) is needed for real N+1.</t>
  </si>
  <si>
    <t>• The chain conveyor interface (7 s) cuts lift utilization by about 30 % and the mean throughput time by about 20 %.</t>
  </si>
  <si>
    <t>Fixed = pallets per 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</si>
</sst>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0"/>
  </numFmts>
  <fonts count="7" x14ac:knownFonts="1">
    <font>
      <sz val="11"/>
      <color theme="1"/>
      <name val="Calibri"/>
      <family val="2"/>
      <charset val="1"/>
    </font>
    <font>
      <b/>
      <sz val="15"/>
      <name val="Arial"/>
      <charset val="1"/>
    </font>
    <font>
      <sz val="10"/>
      <name val="Arial"/>
      <charset val="1"/>
    </font>
    <font>
      <b/>
      <sz val="10"/>
      <color rgb="FFC00000"/>
      <name val="Arial"/>
      <charset val="1"/>
    </font>
    <font>
      <b/>
      <sz val="10"/>
      <color rgb="FFFFFFFF"/>
      <name val="Arial"/>
      <charset val="1"/>
    </font>
    <font>
      <b/>
      <sz val="10"/>
      <name val="Arial"/>
      <charset val="1"/>
    </font>
    <font>
      <sz val="10"/>
      <color rgb="FF0000FF"/>
      <name val="Arial"/>
      <charset val="1"/>
    </font>
  </fonts>
  <fills count="6">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E2EFDA"/>
        <bgColor rgb="FFD9E2F3"/>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6">
    <xf numFmtId="0" fontId="0" fillId="0" borderId="0" xfId="0"/>
    <xf numFmtId="0" fontId="3" fillId="0" borderId="0" xfId="0" applyFont="1" applyAlignment="1">
      <alignment vertical="center" wrapText="1"/>
    </xf>
    <xf numFmtId="0" fontId="2" fillId="0" borderId="0" xfId="0" applyFont="1" applyAlignment="1">
      <alignment vertical="top" wrapText="1"/>
    </xf>
    <xf numFmtId="0" fontId="1" fillId="0" borderId="0" xfId="0" applyFont="1"/>
    <xf numFmtId="0" fontId="2" fillId="0" borderId="0" xfId="0" applyFont="1" applyAlignment="1">
      <alignment vertical="top" wrapText="1"/>
    </xf>
    <xf numFmtId="0" fontId="4" fillId="2" borderId="1" xfId="0" applyFont="1" applyFill="1" applyBorder="1" applyAlignment="1">
      <alignment horizontal="center" vertical="center" wrapText="1"/>
    </xf>
    <xf numFmtId="0" fontId="5" fillId="3" borderId="0" xfId="0" applyFont="1" applyFill="1"/>
    <xf numFmtId="0" fontId="0" fillId="3" borderId="0" xfId="0" applyFill="1"/>
    <xf numFmtId="0" fontId="2" fillId="0" borderId="0" xfId="0" applyFont="1"/>
    <xf numFmtId="1" fontId="5" fillId="4" borderId="1" xfId="0" applyNumberFormat="1" applyFont="1" applyFill="1" applyBorder="1" applyAlignment="1">
      <alignment horizontal="right"/>
    </xf>
    <xf numFmtId="1" fontId="2" fillId="0" borderId="1" xfId="0" applyNumberFormat="1" applyFont="1" applyBorder="1" applyAlignment="1">
      <alignment horizontal="right"/>
    </xf>
    <xf numFmtId="3" fontId="6" fillId="5" borderId="1" xfId="0" applyNumberFormat="1" applyFont="1" applyFill="1" applyBorder="1" applyAlignment="1">
      <alignment horizontal="right"/>
    </xf>
    <xf numFmtId="1" fontId="6" fillId="5" borderId="1" xfId="0" applyNumberFormat="1" applyFont="1" applyFill="1" applyBorder="1" applyAlignment="1">
      <alignment horizontal="right"/>
    </xf>
    <xf numFmtId="0" fontId="6" fillId="5" borderId="1" xfId="0" applyFont="1" applyFill="1" applyBorder="1" applyAlignment="1">
      <alignment horizontal="right"/>
    </xf>
    <xf numFmtId="164" fontId="5" fillId="4" borderId="1" xfId="0" applyNumberFormat="1" applyFont="1" applyFill="1" applyBorder="1" applyAlignment="1">
      <alignment horizontal="right"/>
    </xf>
    <xf numFmtId="164" fontId="2" fillId="0" borderId="1" xfId="0" applyNumberFormat="1" applyFont="1" applyBorder="1" applyAlignment="1">
      <alignment horizontal="right"/>
    </xf>
    <xf numFmtId="2" fontId="6" fillId="5" borderId="1" xfId="0" applyNumberFormat="1" applyFont="1" applyFill="1" applyBorder="1" applyAlignment="1">
      <alignment horizontal="right"/>
    </xf>
    <xf numFmtId="2" fontId="5" fillId="4" borderId="1" xfId="0" applyNumberFormat="1" applyFont="1" applyFill="1" applyBorder="1" applyAlignment="1">
      <alignment horizontal="right"/>
    </xf>
    <xf numFmtId="2" fontId="2" fillId="0" borderId="1" xfId="0" applyNumberFormat="1" applyFont="1" applyBorder="1" applyAlignment="1">
      <alignment horizontal="right"/>
    </xf>
    <xf numFmtId="3" fontId="5" fillId="4" borderId="1" xfId="0" applyNumberFormat="1" applyFont="1" applyFill="1" applyBorder="1" applyAlignment="1">
      <alignment horizontal="right"/>
    </xf>
    <xf numFmtId="3" fontId="2" fillId="0" borderId="1" xfId="0" applyNumberFormat="1" applyFont="1" applyBorder="1" applyAlignment="1">
      <alignment horizontal="right"/>
    </xf>
    <xf numFmtId="164" fontId="6" fillId="5" borderId="1" xfId="0" applyNumberFormat="1" applyFont="1" applyFill="1" applyBorder="1" applyAlignment="1">
      <alignment horizontal="right"/>
    </xf>
    <xf numFmtId="9" fontId="5" fillId="4" borderId="1" xfId="0" applyNumberFormat="1" applyFont="1" applyFill="1" applyBorder="1" applyAlignment="1">
      <alignment horizontal="right"/>
    </xf>
    <xf numFmtId="9" fontId="2" fillId="0" borderId="1" xfId="0" applyNumberFormat="1" applyFont="1" applyBorder="1" applyAlignment="1">
      <alignment horizontal="right"/>
    </xf>
    <xf numFmtId="3" fontId="5" fillId="0" borderId="1" xfId="0" applyNumberFormat="1" applyFont="1" applyBorder="1" applyAlignment="1">
      <alignment horizontal="right"/>
    </xf>
    <xf numFmtId="9" fontId="6" fillId="5" borderId="1" xfId="0" applyNumberFormat="1" applyFont="1" applyFill="1" applyBorder="1" applyAlignment="1">
      <alignment horizontal="right"/>
    </xf>
    <xf numFmtId="0" fontId="5" fillId="0" borderId="1" xfId="0" applyFont="1" applyBorder="1" applyAlignment="1">
      <alignment horizontal="right"/>
    </xf>
    <xf numFmtId="0" fontId="2" fillId="0" borderId="0" xfId="0" applyFont="1" applyAlignment="1">
      <alignment vertical="center"/>
    </xf>
    <xf numFmtId="0" fontId="5" fillId="0" borderId="0" xfId="0" applyFont="1"/>
    <xf numFmtId="1" fontId="2" fillId="0" borderId="1" xfId="0" applyNumberFormat="1" applyFont="1" applyBorder="1"/>
    <xf numFmtId="164" fontId="2" fillId="0" borderId="1" xfId="0" applyNumberFormat="1" applyFont="1" applyBorder="1"/>
    <xf numFmtId="3" fontId="2" fillId="0" borderId="1" xfId="0" applyNumberFormat="1" applyFont="1" applyBorder="1"/>
    <xf numFmtId="49" fontId="5" fillId="0" borderId="1" xfId="0" applyNumberFormat="1" applyFont="1" applyBorder="1" applyAlignment="1">
      <alignment horizontal="right"/>
    </xf>
    <xf numFmtId="2" fontId="5" fillId="0" borderId="1" xfId="0" applyNumberFormat="1" applyFont="1" applyBorder="1" applyAlignment="1">
      <alignment horizontal="right"/>
    </xf>
    <xf numFmtId="164" fontId="5" fillId="0" borderId="1" xfId="0" applyNumberFormat="1" applyFont="1" applyBorder="1" applyAlignment="1">
      <alignment horizontal="right"/>
    </xf>
    <xf numFmtId="1" fontId="5" fillId="0" borderId="1" xfId="0" applyNumberFormat="1" applyFont="1" applyBorder="1" applyAlignment="1">
      <alignment horizontal="right"/>
    </xf>
    <xf numFmtId="0" fontId="6" fillId="5" borderId="1" xfId="0" applyFont="1" applyFill="1" applyBorder="1"/>
    <xf numFmtId="2" fontId="2" fillId="0" borderId="0" xfId="0" applyNumberFormat="1" applyFont="1"/>
    <xf numFmtId="0" fontId="5" fillId="0" borderId="0" xfId="0" applyFont="1" applyAlignment="1">
      <alignment vertical="top" wrapText="1"/>
    </xf>
    <xf numFmtId="0" fontId="6" fillId="0" borderId="0" xfId="0" applyFont="1"/>
    <xf numFmtId="165" fontId="0" fillId="0" borderId="0" xfId="0" applyNumberFormat="1"/>
    <xf numFmtId="0" fontId="2" fillId="4" borderId="0" xfId="0" applyFont="1" applyFill="1"/>
    <xf numFmtId="1" fontId="2" fillId="4" borderId="0" xfId="0" applyNumberFormat="1" applyFont="1" applyFill="1"/>
    <xf numFmtId="166" fontId="2" fillId="4" borderId="0" xfId="0" applyNumberFormat="1" applyFont="1" applyFill="1"/>
    <xf numFmtId="164" fontId="2" fillId="4" borderId="0" xfId="0" applyNumberFormat="1" applyFont="1" applyFill="1"/>
    <xf numFmtId="2" fontId="2" fillId="4" borderId="0" xfId="0" applyNumberFormat="1" applyFont="1" applyFill="1"/>
    <xf numFmtId="3" fontId="2" fillId="4" borderId="0" xfId="0" applyNumberFormat="1" applyFont="1" applyFill="1"/>
    <xf numFmtId="165" fontId="2" fillId="4" borderId="0" xfId="0" applyNumberFormat="1" applyFont="1" applyFill="1"/>
    <xf numFmtId="3" fontId="2" fillId="0" borderId="0" xfId="0" applyNumberFormat="1" applyFont="1"/>
    <xf numFmtId="166" fontId="2" fillId="0" borderId="0" xfId="0" applyNumberFormat="1" applyFont="1"/>
    <xf numFmtId="164" fontId="2" fillId="0" borderId="0" xfId="0" applyNumberFormat="1" applyFont="1"/>
    <xf numFmtId="165" fontId="2" fillId="0" borderId="0" xfId="0" applyNumberFormat="1" applyFont="1"/>
    <xf numFmtId="11" fontId="0" fillId="0" borderId="0" xfId="0" applyNumberFormat="1"/>
    <xf numFmtId="167" fontId="0" fillId="0" borderId="0" xfId="0" applyNumberFormat="1"/>
    <xf numFmtId="164" fontId="0" fillId="0" borderId="0" xfId="0" applyNumberFormat="1"/>
    <xf numFmtId="2" fontId="0" fillId="0" borderId="0" xfId="0" applyNumberFormat="1"/>
    <xf numFmtId="166" fontId="0" fillId="0" borderId="0" xfId="0" applyNumberFormat="1"/>
    <xf numFmtId="9" fontId="2" fillId="0" borderId="0" xfId="0" applyNumberFormat="1" applyFont="1"/>
    <xf numFmtId="1" fontId="2" fillId="0" borderId="0" xfId="0" applyNumberFormat="1" applyFont="1"/>
    <xf numFmtId="164" fontId="5" fillId="0" borderId="0" xfId="0" applyNumberFormat="1" applyFont="1"/>
    <xf numFmtId="2" fontId="5" fillId="0" borderId="0" xfId="0" applyNumberFormat="1" applyFont="1"/>
    <xf numFmtId="3" fontId="5" fillId="0" borderId="0" xfId="0" applyNumberFormat="1" applyFont="1"/>
    <xf numFmtId="0" fontId="2" fillId="0" borderId="1" xfId="0" applyFont="1" applyBorder="1"/>
    <xf numFmtId="0" fontId="6" fillId="0" borderId="1" xfId="0" applyFont="1" applyBorder="1"/>
    <xf numFmtId="164" fontId="6" fillId="0" borderId="1" xfId="0" applyNumberFormat="1" applyFont="1" applyBorder="1"/>
    <xf numFmtId="1" fontId="6" fillId="0" borderId="1" xfId="0" applyNumberFormat="1" applyFont="1" applyBorder="1"/>
  </cellXfs>
  <cellStyles count="1">
    <cellStyle name="Normal" xfId="0" builtinId="0"/>
  </cellStyles>
  <dxfs count="6">
    <dxf>
      <font>
        <sz val="10"/>
        <color rgb="FFD9D9D9"/>
        <name val="Arial"/>
        <charset val="1"/>
      </font>
    </dxf>
    <dxf>
      <font>
        <b/>
        <color rgb="FF006100"/>
      </font>
      <fill>
        <patternFill>
          <bgColor rgb="FFC6EFCE"/>
        </patternFill>
      </fill>
    </dxf>
    <dxf>
      <font>
        <b/>
        <color rgb="FF9C0006"/>
      </font>
      <fill>
        <patternFill>
          <bgColor rgb="FFF8CBAD"/>
        </patternFill>
      </fill>
    </dxf>
    <dxf>
      <font>
        <b/>
        <color rgb="FF9C0006"/>
      </font>
      <fill>
        <patternFill>
          <bgColor rgb="FFF8CBAD"/>
        </patternFill>
      </fill>
    </dxf>
    <dxf>
      <font>
        <b/>
        <color rgb="FF9C0006"/>
      </font>
    </dxf>
    <dxf>
      <font>
        <color rgb="FF2E7D32"/>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677E38"/>
      <rgbColor rgb="FF800080"/>
      <rgbColor rgb="FF738C3F"/>
      <rgbColor rgb="FFBFBFBF"/>
      <rgbColor rgb="FF7F7F7F"/>
      <rgbColor rgb="FFA6C178"/>
      <rgbColor rgb="FFBE4B48"/>
      <rgbColor rgb="FFFFF2CC"/>
      <rgbColor rgb="FFE2EFDA"/>
      <rgbColor rgb="FF660066"/>
      <rgbColor rgb="FFFF8080"/>
      <rgbColor rgb="FF1F77B4"/>
      <rgbColor rgb="FFD9D9D9"/>
      <rgbColor rgb="FF000080"/>
      <rgbColor rgb="FFFF00FF"/>
      <rgbColor rgb="FFFFFF00"/>
      <rgbColor rgb="FF00FFFF"/>
      <rgbColor rgb="FF800080"/>
      <rgbColor rgb="FF800000"/>
      <rgbColor rgb="FF7E9945"/>
      <rgbColor rgb="FF0000FF"/>
      <rgbColor rgb="FF00CCFF"/>
      <rgbColor rgb="FFD9E2F3"/>
      <rgbColor rgb="FFC6EFCE"/>
      <rgbColor rgb="FFD7E0C9"/>
      <rgbColor rgb="FFC0D2A7"/>
      <rgbColor rgb="FFCCDAB8"/>
      <rgbColor rgb="FFB3C992"/>
      <rgbColor rgb="FFF8CBAD"/>
      <rgbColor rgb="FF4F81BD"/>
      <rgbColor rgb="FF8FAF50"/>
      <rgbColor rgb="FF98B855"/>
      <rgbColor rgb="FFFFCC00"/>
      <rgbColor rgb="FF87A44B"/>
      <rgbColor rgb="FFD35400"/>
      <rgbColor rgb="FF7D5FA0"/>
      <rgbColor rgb="FF878787"/>
      <rgbColor rgb="FF1F3864"/>
      <rgbColor rgb="FF2E7D32"/>
      <rgbColor rgb="FF003300"/>
      <rgbColor rgb="FF333300"/>
      <rgbColor rgb="FFC0392B"/>
      <rgbColor rgb="FFC0504D"/>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Objective vs number of tiers (one line per N_C)</a:t>
            </a:r>
          </a:p>
        </c:rich>
      </c:tx>
      <c:overlay val="0"/>
      <c:spPr>
        <a:noFill/>
        <a:ln w="0">
          <a:noFill/>
        </a:ln>
      </c:spPr>
    </c:title>
    <c:autoTitleDeleted val="0"/>
    <c:plotArea>
      <c:layout/>
      <c:scatterChart>
        <c:scatterStyle val="lineMarker"/>
        <c:varyColors val="0"/>
        <c:ser>
          <c:idx val="0"/>
          <c:order val="0"/>
          <c:tx>
            <c:strRef>
              <c:f>Optimizer!$AK$6</c:f>
              <c:strCache>
                <c:ptCount val="1"/>
                <c:pt idx="0">
                  <c:v>6</c:v>
                </c:pt>
              </c:strCache>
            </c:strRef>
          </c:tx>
          <c:spPr>
            <a:ln w="47520">
              <a:solidFill>
                <a:srgbClr val="677E38"/>
              </a:solidFill>
              <a:round/>
            </a:ln>
          </c:spPr>
          <c:marker>
            <c:symbol val="circle"/>
            <c:size val="4"/>
            <c:spPr>
              <a:solidFill>
                <a:srgbClr val="677E3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Optimizer!$AK$7:$AK$26</c:f>
              <c:numCache>
                <c:formatCode>#,##0</c:formatCode>
                <c:ptCount val="20"/>
                <c:pt idx="0">
                  <c:v>#N/A</c:v>
                </c:pt>
                <c:pt idx="1">
                  <c:v>#N/A</c:v>
                </c:pt>
                <c:pt idx="2">
                  <c:v>#N/A</c:v>
                </c:pt>
                <c:pt idx="3">
                  <c:v>#N/A</c:v>
                </c:pt>
                <c:pt idx="4">
                  <c:v>#N/A</c:v>
                </c:pt>
                <c:pt idx="5">
                  <c:v>#N/A</c:v>
                </c:pt>
                <c:pt idx="6">
                  <c:v>2237851</c:v>
                </c:pt>
                <c:pt idx="7">
                  <c:v>2240767.7000000002</c:v>
                </c:pt>
                <c:pt idx="8">
                  <c:v>2239754.65</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0-5902-4129-8A8C-6B9D7CF164F8}"/>
            </c:ext>
          </c:extLst>
        </c:ser>
        <c:ser>
          <c:idx val="1"/>
          <c:order val="1"/>
          <c:tx>
            <c:strRef>
              <c:f>Optimizer!$AL$6</c:f>
              <c:strCache>
                <c:ptCount val="1"/>
                <c:pt idx="0">
                  <c:v>6</c:v>
                </c:pt>
              </c:strCache>
            </c:strRef>
          </c:tx>
          <c:spPr>
            <a:ln w="47520">
              <a:solidFill>
                <a:srgbClr val="738C3F"/>
              </a:solidFill>
              <a:round/>
            </a:ln>
          </c:spPr>
          <c:marker>
            <c:symbol val="circle"/>
            <c:size val="4"/>
            <c:spPr>
              <a:solidFill>
                <a:srgbClr val="738C3F"/>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Optimizer!$AL$7:$AL$26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1-5902-4129-8A8C-6B9D7CF164F8}"/>
            </c:ext>
          </c:extLst>
        </c:ser>
        <c:ser>
          <c:idx val="2"/>
          <c:order val="2"/>
          <c:tx>
            <c:strRef>
              <c:f>Optimizer!$AM$6</c:f>
              <c:strCache>
                <c:ptCount val="1"/>
                <c:pt idx="0">
                  <c:v>6</c:v>
                </c:pt>
              </c:strCache>
            </c:strRef>
          </c:tx>
          <c:spPr>
            <a:ln w="47520">
              <a:solidFill>
                <a:srgbClr val="7E9945"/>
              </a:solidFill>
              <a:round/>
            </a:ln>
          </c:spPr>
          <c:marker>
            <c:symbol val="circle"/>
            <c:size val="4"/>
            <c:spPr>
              <a:solidFill>
                <a:srgbClr val="7E9945"/>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Optimizer!$AM$7:$AM$26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2-5902-4129-8A8C-6B9D7CF164F8}"/>
            </c:ext>
          </c:extLst>
        </c:ser>
        <c:ser>
          <c:idx val="3"/>
          <c:order val="3"/>
          <c:tx>
            <c:strRef>
              <c:f>Optimizer!$AN$6</c:f>
              <c:strCache>
                <c:ptCount val="1"/>
                <c:pt idx="0">
                  <c:v>6</c:v>
                </c:pt>
              </c:strCache>
            </c:strRef>
          </c:tx>
          <c:spPr>
            <a:ln w="47520">
              <a:solidFill>
                <a:srgbClr val="87A44B"/>
              </a:solidFill>
              <a:round/>
            </a:ln>
          </c:spPr>
          <c:marker>
            <c:symbol val="circle"/>
            <c:size val="4"/>
            <c:spPr>
              <a:solidFill>
                <a:srgbClr val="87A4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Optimizer!$AN$7:$AN$26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3-5902-4129-8A8C-6B9D7CF164F8}"/>
            </c:ext>
          </c:extLst>
        </c:ser>
        <c:ser>
          <c:idx val="4"/>
          <c:order val="4"/>
          <c:tx>
            <c:strRef>
              <c:f>Optimizer!$AO$6</c:f>
              <c:strCache>
                <c:ptCount val="1"/>
                <c:pt idx="0">
                  <c:v>6</c:v>
                </c:pt>
              </c:strCache>
            </c:strRef>
          </c:tx>
          <c:spPr>
            <a:ln w="47520">
              <a:solidFill>
                <a:srgbClr val="8FAF50"/>
              </a:solidFill>
              <a:round/>
            </a:ln>
          </c:spPr>
          <c:marker>
            <c:symbol val="circle"/>
            <c:size val="4"/>
            <c:spPr>
              <a:solidFill>
                <a:srgbClr val="8FAF50"/>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Optimizer!$AO$7:$AO$26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4-5902-4129-8A8C-6B9D7CF164F8}"/>
            </c:ext>
          </c:extLst>
        </c:ser>
        <c:ser>
          <c:idx val="5"/>
          <c:order val="5"/>
          <c:tx>
            <c:strRef>
              <c:f>Optimizer!$AP$6</c:f>
              <c:strCache>
                <c:ptCount val="1"/>
                <c:pt idx="0">
                  <c:v>6</c:v>
                </c:pt>
              </c:strCache>
            </c:strRef>
          </c:tx>
          <c:spPr>
            <a:ln w="47520">
              <a:solidFill>
                <a:srgbClr val="98B855"/>
              </a:solidFill>
              <a:round/>
            </a:ln>
          </c:spPr>
          <c:marker>
            <c:symbol val="circle"/>
            <c:size val="4"/>
            <c:spPr>
              <a:solidFill>
                <a:srgbClr val="98B855"/>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Optimizer!$AP$7:$AP$26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5-5902-4129-8A8C-6B9D7CF164F8}"/>
            </c:ext>
          </c:extLst>
        </c:ser>
        <c:ser>
          <c:idx val="6"/>
          <c:order val="6"/>
          <c:tx>
            <c:strRef>
              <c:f>Optimizer!$AQ$6</c:f>
              <c:strCache>
                <c:ptCount val="1"/>
                <c:pt idx="0">
                  <c:v>6</c:v>
                </c:pt>
              </c:strCache>
            </c:strRef>
          </c:tx>
          <c:spPr>
            <a:ln w="47520">
              <a:solidFill>
                <a:srgbClr val="A6C178"/>
              </a:solidFill>
              <a:round/>
            </a:ln>
          </c:spPr>
          <c:marker>
            <c:symbol val="circle"/>
            <c:size val="4"/>
            <c:spPr>
              <a:solidFill>
                <a:srgbClr val="A6C17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Optimizer!$AQ$7:$AQ$26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6-5902-4129-8A8C-6B9D7CF164F8}"/>
            </c:ext>
          </c:extLst>
        </c:ser>
        <c:ser>
          <c:idx val="7"/>
          <c:order val="7"/>
          <c:tx>
            <c:strRef>
              <c:f>Optimizer!$AR$6</c:f>
              <c:strCache>
                <c:ptCount val="1"/>
                <c:pt idx="0">
                  <c:v>6</c:v>
                </c:pt>
              </c:strCache>
            </c:strRef>
          </c:tx>
          <c:spPr>
            <a:ln w="47520">
              <a:solidFill>
                <a:srgbClr val="B3C992"/>
              </a:solidFill>
              <a:round/>
            </a:ln>
          </c:spPr>
          <c:marker>
            <c:symbol val="circle"/>
            <c:size val="4"/>
            <c:spPr>
              <a:solidFill>
                <a:srgbClr val="B3C992"/>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Optimizer!$AR$7:$AR$26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7-5902-4129-8A8C-6B9D7CF164F8}"/>
            </c:ext>
          </c:extLst>
        </c:ser>
        <c:ser>
          <c:idx val="8"/>
          <c:order val="8"/>
          <c:tx>
            <c:strRef>
              <c:f>Optimizer!$AS$6</c:f>
              <c:strCache>
                <c:ptCount val="1"/>
                <c:pt idx="0">
                  <c:v>6</c:v>
                </c:pt>
              </c:strCache>
            </c:strRef>
          </c:tx>
          <c:spPr>
            <a:ln w="47520">
              <a:solidFill>
                <a:srgbClr val="C0D2A7"/>
              </a:solidFill>
              <a:round/>
            </a:ln>
          </c:spPr>
          <c:marker>
            <c:symbol val="circle"/>
            <c:size val="4"/>
            <c:spPr>
              <a:solidFill>
                <a:srgbClr val="C0D2A7"/>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Optimizer!$AS$7:$AS$26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8-5902-4129-8A8C-6B9D7CF164F8}"/>
            </c:ext>
          </c:extLst>
        </c:ser>
        <c:ser>
          <c:idx val="9"/>
          <c:order val="9"/>
          <c:tx>
            <c:strRef>
              <c:f>Optimizer!$AT$6</c:f>
              <c:strCache>
                <c:ptCount val="1"/>
                <c:pt idx="0">
                  <c:v>6</c:v>
                </c:pt>
              </c:strCache>
            </c:strRef>
          </c:tx>
          <c:spPr>
            <a:ln w="47520">
              <a:solidFill>
                <a:srgbClr val="CCDAB8"/>
              </a:solidFill>
              <a:round/>
            </a:ln>
          </c:spPr>
          <c:marker>
            <c:symbol val="circle"/>
            <c:size val="4"/>
            <c:spPr>
              <a:solidFill>
                <a:srgbClr val="CCDAB8"/>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Optimizer!$AT$7:$AT$26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9-5902-4129-8A8C-6B9D7CF164F8}"/>
            </c:ext>
          </c:extLst>
        </c:ser>
        <c:ser>
          <c:idx val="10"/>
          <c:order val="10"/>
          <c:tx>
            <c:strRef>
              <c:f>Optimizer!$AU$6</c:f>
              <c:strCache>
                <c:ptCount val="1"/>
                <c:pt idx="0">
                  <c:v>6</c:v>
                </c:pt>
              </c:strCache>
            </c:strRef>
          </c:tx>
          <c:spPr>
            <a:ln w="47520">
              <a:solidFill>
                <a:srgbClr val="D7E0C9"/>
              </a:solidFill>
              <a:round/>
            </a:ln>
          </c:spPr>
          <c:marker>
            <c:symbol val="circle"/>
            <c:size val="4"/>
            <c:spPr>
              <a:solidFill>
                <a:srgbClr val="D7E0C9"/>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Optimizer!$AJ$7:$AJ$26</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xVal>
          <c:yVal>
            <c:numRef>
              <c:f>Optimizer!$AU$7:$AU$26</c:f>
              <c:numCache>
                <c:formatCode>#,##0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A-5902-4129-8A8C-6B9D7CF164F8}"/>
            </c:ext>
          </c:extLst>
        </c:ser>
        <c:dLbls>
          <c:showLegendKey val="0"/>
          <c:showVal val="0"/>
          <c:showCatName val="0"/>
          <c:showSerName val="0"/>
          <c:showPercent val="0"/>
          <c:showBubbleSize val="0"/>
        </c:dLbls>
        <c:axId val="96587305"/>
        <c:axId val="60987873"/>
      </c:scatterChart>
      <c:valAx>
        <c:axId val="96587305"/>
        <c:scaling>
          <c:orientation val="minMax"/>
          <c:max val="20"/>
          <c:min val="0"/>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Number of tiers N_T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0987873"/>
        <c:crosses val="autoZero"/>
        <c:crossBetween val="midCat"/>
      </c:valAx>
      <c:valAx>
        <c:axId val="60987873"/>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Objective (EUR / s / m²)</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6587305"/>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Shape: shuttle cycle vs D/W</a:t>
            </a:r>
          </a:p>
        </c:rich>
      </c:tx>
      <c:overlay val="0"/>
      <c:spPr>
        <a:noFill/>
        <a:ln w="0">
          <a:noFill/>
        </a:ln>
      </c:spPr>
    </c:title>
    <c:autoTitleDeleted val="0"/>
    <c:plotArea>
      <c:layout/>
      <c:scatterChart>
        <c:scatterStyle val="lineMarker"/>
        <c:varyColors val="0"/>
        <c:ser>
          <c:idx val="0"/>
          <c:order val="0"/>
          <c:tx>
            <c:v>N_C values at optimal N_T</c:v>
          </c:tx>
          <c:spPr>
            <a:ln w="47520">
              <a:solidFill>
                <a:srgbClr val="87A44B"/>
              </a:solidFill>
              <a:round/>
            </a:ln>
          </c:spPr>
          <c:marker>
            <c:symbol val="circle"/>
            <c:size val="5"/>
            <c:spPr>
              <a:solidFill>
                <a:srgbClr val="87A4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Chart_data!$C$8:$C$18</c:f>
              <c:numCache>
                <c:formatCode>0.00</c:formatCode>
                <c:ptCount val="11"/>
                <c:pt idx="0">
                  <c:v>0.13</c:v>
                </c:pt>
                <c:pt idx="1">
                  <c:v>0.13</c:v>
                </c:pt>
                <c:pt idx="2">
                  <c:v>0.13</c:v>
                </c:pt>
                <c:pt idx="3">
                  <c:v>0.13</c:v>
                </c:pt>
                <c:pt idx="4">
                  <c:v>0.13</c:v>
                </c:pt>
                <c:pt idx="5">
                  <c:v>0.13</c:v>
                </c:pt>
                <c:pt idx="6">
                  <c:v>0.13</c:v>
                </c:pt>
                <c:pt idx="7">
                  <c:v>0.13</c:v>
                </c:pt>
                <c:pt idx="8">
                  <c:v>0.13</c:v>
                </c:pt>
                <c:pt idx="9">
                  <c:v>0.13</c:v>
                </c:pt>
                <c:pt idx="10">
                  <c:v>0.13</c:v>
                </c:pt>
              </c:numCache>
            </c:numRef>
          </c:xVal>
          <c:yVal>
            <c:numRef>
              <c:f>Chart_data!$D$8:$D$18</c:f>
              <c:numCache>
                <c:formatCode>0.0</c:formatCode>
                <c:ptCount val="11"/>
                <c:pt idx="0">
                  <c:v>89.149242943443724</c:v>
                </c:pt>
                <c:pt idx="1">
                  <c:v>89.149242943443724</c:v>
                </c:pt>
                <c:pt idx="2">
                  <c:v>89.149242943443724</c:v>
                </c:pt>
                <c:pt idx="3">
                  <c:v>89.149242943443724</c:v>
                </c:pt>
                <c:pt idx="4">
                  <c:v>89.149242943443724</c:v>
                </c:pt>
                <c:pt idx="5">
                  <c:v>89.149242943443724</c:v>
                </c:pt>
                <c:pt idx="6">
                  <c:v>89.149242943443724</c:v>
                </c:pt>
                <c:pt idx="7">
                  <c:v>89.149242943443724</c:v>
                </c:pt>
                <c:pt idx="8">
                  <c:v>89.149242943443724</c:v>
                </c:pt>
                <c:pt idx="9">
                  <c:v>89.149242943443724</c:v>
                </c:pt>
                <c:pt idx="10">
                  <c:v>89.149242943443724</c:v>
                </c:pt>
              </c:numCache>
            </c:numRef>
          </c:yVal>
          <c:smooth val="0"/>
          <c:extLst>
            <c:ext xmlns:c16="http://schemas.microsoft.com/office/drawing/2014/chart" uri="{C3380CC4-5D6E-409C-BE32-E72D297353CC}">
              <c16:uniqueId val="{00000000-953F-4322-BE16-843769C32505}"/>
            </c:ext>
          </c:extLst>
        </c:ser>
        <c:ser>
          <c:idx val="1"/>
          <c:order val="1"/>
          <c:tx>
            <c:v>Selected design</c:v>
          </c:tx>
          <c:spPr>
            <a:ln w="47520">
              <a:noFill/>
            </a:ln>
          </c:spPr>
          <c:marker>
            <c:symbol val="diamond"/>
            <c:size val="12"/>
            <c:spPr>
              <a:solidFill>
                <a:srgbClr val="C0392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Chart_data!$C$20</c:f>
              <c:numCache>
                <c:formatCode>0.00</c:formatCode>
                <c:ptCount val="1"/>
                <c:pt idx="0">
                  <c:v>0.13</c:v>
                </c:pt>
              </c:numCache>
            </c:numRef>
          </c:xVal>
          <c:yVal>
            <c:numRef>
              <c:f>Chart_data!$D$20</c:f>
              <c:numCache>
                <c:formatCode>0.0</c:formatCode>
                <c:ptCount val="1"/>
                <c:pt idx="0">
                  <c:v>89.149242943443724</c:v>
                </c:pt>
              </c:numCache>
            </c:numRef>
          </c:yVal>
          <c:smooth val="0"/>
          <c:extLst>
            <c:ext xmlns:c16="http://schemas.microsoft.com/office/drawing/2014/chart" uri="{C3380CC4-5D6E-409C-BE32-E72D297353CC}">
              <c16:uniqueId val="{00000001-953F-4322-BE16-843769C32505}"/>
            </c:ext>
          </c:extLst>
        </c:ser>
        <c:dLbls>
          <c:showLegendKey val="0"/>
          <c:showVal val="0"/>
          <c:showCatName val="0"/>
          <c:showSerName val="0"/>
          <c:showPercent val="0"/>
          <c:showBubbleSize val="0"/>
        </c:dLbls>
        <c:axId val="3745238"/>
        <c:axId val="89254958"/>
      </c:scatterChart>
      <c:valAx>
        <c:axId val="3745238"/>
        <c:scaling>
          <c:logBase val="10"/>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D/W</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254958"/>
        <c:crosses val="autoZero"/>
        <c:crossBetween val="midCat"/>
      </c:valAx>
      <c:valAx>
        <c:axId val="8925495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Shuttle cycle (s)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745238"/>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Shape: total cost vs D/W</a:t>
            </a:r>
          </a:p>
        </c:rich>
      </c:tx>
      <c:overlay val="0"/>
      <c:spPr>
        <a:noFill/>
        <a:ln w="0">
          <a:noFill/>
        </a:ln>
      </c:spPr>
    </c:title>
    <c:autoTitleDeleted val="0"/>
    <c:plotArea>
      <c:layout/>
      <c:scatterChart>
        <c:scatterStyle val="lineMarker"/>
        <c:varyColors val="0"/>
        <c:ser>
          <c:idx val="0"/>
          <c:order val="0"/>
          <c:tx>
            <c:v>Feasible N_C values</c:v>
          </c:tx>
          <c:spPr>
            <a:ln w="47520">
              <a:solidFill>
                <a:srgbClr val="87A44B"/>
              </a:solidFill>
              <a:round/>
            </a:ln>
          </c:spPr>
          <c:marker>
            <c:symbol val="circle"/>
            <c:size val="5"/>
            <c:spPr>
              <a:solidFill>
                <a:srgbClr val="87A44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Chart_data!$C$8:$C$18</c:f>
              <c:numCache>
                <c:formatCode>0.00</c:formatCode>
                <c:ptCount val="11"/>
                <c:pt idx="0">
                  <c:v>0.13</c:v>
                </c:pt>
                <c:pt idx="1">
                  <c:v>0.13</c:v>
                </c:pt>
                <c:pt idx="2">
                  <c:v>0.13</c:v>
                </c:pt>
                <c:pt idx="3">
                  <c:v>0.13</c:v>
                </c:pt>
                <c:pt idx="4">
                  <c:v>0.13</c:v>
                </c:pt>
                <c:pt idx="5">
                  <c:v>0.13</c:v>
                </c:pt>
                <c:pt idx="6">
                  <c:v>0.13</c:v>
                </c:pt>
                <c:pt idx="7">
                  <c:v>0.13</c:v>
                </c:pt>
                <c:pt idx="8">
                  <c:v>0.13</c:v>
                </c:pt>
                <c:pt idx="9">
                  <c:v>0.13</c:v>
                </c:pt>
                <c:pt idx="10">
                  <c:v>0.13</c:v>
                </c:pt>
              </c:numCache>
            </c:numRef>
          </c:xVal>
          <c:yVal>
            <c:numRef>
              <c:f>Chart_data!$E$8:$E$18</c:f>
              <c:numCache>
                <c:formatCode>#,##0</c:formatCode>
                <c:ptCount val="11"/>
                <c:pt idx="0">
                  <c:v>2237851</c:v>
                </c:pt>
                <c:pt idx="1">
                  <c:v>#N/A</c:v>
                </c:pt>
                <c:pt idx="2">
                  <c:v>#N/A</c:v>
                </c:pt>
                <c:pt idx="3">
                  <c:v>#N/A</c:v>
                </c:pt>
                <c:pt idx="4">
                  <c:v>#N/A</c:v>
                </c:pt>
                <c:pt idx="5">
                  <c:v>#N/A</c:v>
                </c:pt>
                <c:pt idx="6">
                  <c:v>#N/A</c:v>
                </c:pt>
                <c:pt idx="7">
                  <c:v>#N/A</c:v>
                </c:pt>
                <c:pt idx="8">
                  <c:v>#N/A</c:v>
                </c:pt>
                <c:pt idx="9">
                  <c:v>#N/A</c:v>
                </c:pt>
                <c:pt idx="10">
                  <c:v>#N/A</c:v>
                </c:pt>
              </c:numCache>
            </c:numRef>
          </c:yVal>
          <c:smooth val="0"/>
          <c:extLst>
            <c:ext xmlns:c16="http://schemas.microsoft.com/office/drawing/2014/chart" uri="{C3380CC4-5D6E-409C-BE32-E72D297353CC}">
              <c16:uniqueId val="{00000000-4A5C-4292-8045-C298444F16DE}"/>
            </c:ext>
          </c:extLst>
        </c:ser>
        <c:ser>
          <c:idx val="1"/>
          <c:order val="1"/>
          <c:tx>
            <c:v>Selected design</c:v>
          </c:tx>
          <c:spPr>
            <a:ln w="47520">
              <a:noFill/>
            </a:ln>
          </c:spPr>
          <c:marker>
            <c:symbol val="diamond"/>
            <c:size val="12"/>
            <c:spPr>
              <a:solidFill>
                <a:srgbClr val="C0392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Chart_data!$C$20</c:f>
              <c:numCache>
                <c:formatCode>0.00</c:formatCode>
                <c:ptCount val="1"/>
                <c:pt idx="0">
                  <c:v>0.13</c:v>
                </c:pt>
              </c:numCache>
            </c:numRef>
          </c:xVal>
          <c:yVal>
            <c:numRef>
              <c:f>Chart_data!$E$20</c:f>
              <c:numCache>
                <c:formatCode>#,##0</c:formatCode>
                <c:ptCount val="1"/>
                <c:pt idx="0">
                  <c:v>2237851</c:v>
                </c:pt>
              </c:numCache>
            </c:numRef>
          </c:yVal>
          <c:smooth val="0"/>
          <c:extLst>
            <c:ext xmlns:c16="http://schemas.microsoft.com/office/drawing/2014/chart" uri="{C3380CC4-5D6E-409C-BE32-E72D297353CC}">
              <c16:uniqueId val="{00000001-4A5C-4292-8045-C298444F16DE}"/>
            </c:ext>
          </c:extLst>
        </c:ser>
        <c:dLbls>
          <c:showLegendKey val="0"/>
          <c:showVal val="0"/>
          <c:showCatName val="0"/>
          <c:showSerName val="0"/>
          <c:showPercent val="0"/>
          <c:showBubbleSize val="0"/>
        </c:dLbls>
        <c:axId val="98802234"/>
        <c:axId val="49809301"/>
      </c:scatterChart>
      <c:valAx>
        <c:axId val="98802234"/>
        <c:scaling>
          <c:logBase val="10"/>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D/W</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809301"/>
        <c:crosses val="autoZero"/>
        <c:crossBetween val="midCat"/>
      </c:valAx>
      <c:valAx>
        <c:axId val="4980930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Total cost (EUR)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802234"/>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Lift utilization vs number of lifts (optimal design)</a:t>
            </a:r>
          </a:p>
        </c:rich>
      </c:tx>
      <c:overlay val="0"/>
      <c:spPr>
        <a:noFill/>
        <a:ln w="0">
          <a:noFill/>
        </a:ln>
      </c:spPr>
    </c:title>
    <c:autoTitleDeleted val="0"/>
    <c:plotArea>
      <c:layout/>
      <c:barChart>
        <c:barDir val="col"/>
        <c:grouping val="clustered"/>
        <c:varyColors val="0"/>
        <c:ser>
          <c:idx val="0"/>
          <c:order val="0"/>
          <c:tx>
            <c:strRef>
              <c:f>Chart_data!$B$24</c:f>
              <c:strCache>
                <c:ptCount val="1"/>
                <c:pt idx="0">
                  <c:v>Normal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Chart_data!$A$25:$A$30</c:f>
              <c:numCache>
                <c:formatCode>General</c:formatCode>
                <c:ptCount val="6"/>
                <c:pt idx="0">
                  <c:v>1</c:v>
                </c:pt>
                <c:pt idx="1">
                  <c:v>2</c:v>
                </c:pt>
                <c:pt idx="2">
                  <c:v>3</c:v>
                </c:pt>
                <c:pt idx="3">
                  <c:v>4</c:v>
                </c:pt>
                <c:pt idx="4">
                  <c:v>5</c:v>
                </c:pt>
                <c:pt idx="5">
                  <c:v>6</c:v>
                </c:pt>
              </c:numCache>
            </c:numRef>
          </c:cat>
          <c:val>
            <c:numRef>
              <c:f>Chart_data!$B$25:$B$30</c:f>
              <c:numCache>
                <c:formatCode>0%</c:formatCode>
                <c:ptCount val="6"/>
                <c:pt idx="0">
                  <c:v>0.7486607142857139</c:v>
                </c:pt>
                <c:pt idx="1">
                  <c:v>0.37433035714285695</c:v>
                </c:pt>
                <c:pt idx="2">
                  <c:v>0.24955357142857129</c:v>
                </c:pt>
                <c:pt idx="3">
                  <c:v>0.18716517857142848</c:v>
                </c:pt>
                <c:pt idx="4">
                  <c:v>0.14973214285714279</c:v>
                </c:pt>
                <c:pt idx="5">
                  <c:v>0.12477678571428565</c:v>
                </c:pt>
              </c:numCache>
            </c:numRef>
          </c:val>
          <c:extLst>
            <c:ext xmlns:c16="http://schemas.microsoft.com/office/drawing/2014/chart" uri="{C3380CC4-5D6E-409C-BE32-E72D297353CC}">
              <c16:uniqueId val="{00000000-D0EE-4F01-AC61-520024B8BCDF}"/>
            </c:ext>
          </c:extLst>
        </c:ser>
        <c:ser>
          <c:idx val="1"/>
          <c:order val="1"/>
          <c:tx>
            <c:strRef>
              <c:f>Chart_data!$C$24</c:f>
              <c:strCache>
                <c:ptCount val="1"/>
                <c:pt idx="0">
                  <c:v>One lift down</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Chart_data!$A$25:$A$30</c:f>
              <c:numCache>
                <c:formatCode>General</c:formatCode>
                <c:ptCount val="6"/>
                <c:pt idx="0">
                  <c:v>1</c:v>
                </c:pt>
                <c:pt idx="1">
                  <c:v>2</c:v>
                </c:pt>
                <c:pt idx="2">
                  <c:v>3</c:v>
                </c:pt>
                <c:pt idx="3">
                  <c:v>4</c:v>
                </c:pt>
                <c:pt idx="4">
                  <c:v>5</c:v>
                </c:pt>
                <c:pt idx="5">
                  <c:v>6</c:v>
                </c:pt>
              </c:numCache>
            </c:numRef>
          </c:cat>
          <c:val>
            <c:numRef>
              <c:f>Chart_data!$C$25:$C$30</c:f>
              <c:numCache>
                <c:formatCode>0%</c:formatCode>
                <c:ptCount val="6"/>
                <c:pt idx="0">
                  <c:v>#N/A</c:v>
                </c:pt>
                <c:pt idx="1">
                  <c:v>0.7486607142857139</c:v>
                </c:pt>
                <c:pt idx="2">
                  <c:v>0.37433035714285695</c:v>
                </c:pt>
                <c:pt idx="3">
                  <c:v>0.24955357142857129</c:v>
                </c:pt>
                <c:pt idx="4">
                  <c:v>0.18716517857142848</c:v>
                </c:pt>
                <c:pt idx="5">
                  <c:v>0.14973214285714279</c:v>
                </c:pt>
              </c:numCache>
            </c:numRef>
          </c:val>
          <c:extLst>
            <c:ext xmlns:c16="http://schemas.microsoft.com/office/drawing/2014/chart" uri="{C3380CC4-5D6E-409C-BE32-E72D297353CC}">
              <c16:uniqueId val="{00000001-D0EE-4F01-AC61-520024B8BCDF}"/>
            </c:ext>
          </c:extLst>
        </c:ser>
        <c:dLbls>
          <c:showLegendKey val="0"/>
          <c:showVal val="0"/>
          <c:showCatName val="0"/>
          <c:showSerName val="0"/>
          <c:showPercent val="0"/>
          <c:showBubbleSize val="0"/>
        </c:dLbls>
        <c:gapWidth val="150"/>
        <c:axId val="1991729"/>
        <c:axId val="25589536"/>
      </c:barChart>
      <c:lineChart>
        <c:grouping val="standard"/>
        <c:varyColors val="0"/>
        <c:ser>
          <c:idx val="2"/>
          <c:order val="2"/>
          <c:tx>
            <c:strRef>
              <c:f>Chart_data!$D$24</c:f>
              <c:strCache>
                <c:ptCount val="1"/>
                <c:pt idx="0">
                  <c:v>Target normal</c:v>
                </c:pt>
              </c:strCache>
            </c:strRef>
          </c:tx>
          <c:spPr>
            <a:ln w="28440">
              <a:solidFill>
                <a:srgbClr val="98B855"/>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Chart_data!$A$25:$A$30</c:f>
              <c:numCache>
                <c:formatCode>General</c:formatCode>
                <c:ptCount val="6"/>
                <c:pt idx="0">
                  <c:v>1</c:v>
                </c:pt>
                <c:pt idx="1">
                  <c:v>2</c:v>
                </c:pt>
                <c:pt idx="2">
                  <c:v>3</c:v>
                </c:pt>
                <c:pt idx="3">
                  <c:v>4</c:v>
                </c:pt>
                <c:pt idx="4">
                  <c:v>5</c:v>
                </c:pt>
                <c:pt idx="5">
                  <c:v>6</c:v>
                </c:pt>
              </c:numCache>
            </c:numRef>
          </c:cat>
          <c:val>
            <c:numRef>
              <c:f>Chart_data!$D$25:$D$30</c:f>
              <c:numCache>
                <c:formatCode>0%</c:formatCode>
                <c:ptCount val="6"/>
                <c:pt idx="0">
                  <c:v>0.75</c:v>
                </c:pt>
                <c:pt idx="1">
                  <c:v>0.75</c:v>
                </c:pt>
                <c:pt idx="2">
                  <c:v>0.75</c:v>
                </c:pt>
                <c:pt idx="3">
                  <c:v>0.75</c:v>
                </c:pt>
                <c:pt idx="4">
                  <c:v>0.75</c:v>
                </c:pt>
                <c:pt idx="5">
                  <c:v>0.75</c:v>
                </c:pt>
              </c:numCache>
            </c:numRef>
          </c:val>
          <c:smooth val="1"/>
          <c:extLst>
            <c:ext xmlns:c16="http://schemas.microsoft.com/office/drawing/2014/chart" uri="{C3380CC4-5D6E-409C-BE32-E72D297353CC}">
              <c16:uniqueId val="{00000002-D0EE-4F01-AC61-520024B8BCDF}"/>
            </c:ext>
          </c:extLst>
        </c:ser>
        <c:ser>
          <c:idx val="3"/>
          <c:order val="3"/>
          <c:tx>
            <c:strRef>
              <c:f>Chart_data!$E$24</c:f>
              <c:strCache>
                <c:ptCount val="1"/>
                <c:pt idx="0">
                  <c:v>Target one down</c:v>
                </c:pt>
              </c:strCache>
            </c:strRef>
          </c:tx>
          <c:spPr>
            <a:ln w="28440">
              <a:solidFill>
                <a:srgbClr val="7D5FA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Chart_data!$A$25:$A$30</c:f>
              <c:numCache>
                <c:formatCode>General</c:formatCode>
                <c:ptCount val="6"/>
                <c:pt idx="0">
                  <c:v>1</c:v>
                </c:pt>
                <c:pt idx="1">
                  <c:v>2</c:v>
                </c:pt>
                <c:pt idx="2">
                  <c:v>3</c:v>
                </c:pt>
                <c:pt idx="3">
                  <c:v>4</c:v>
                </c:pt>
                <c:pt idx="4">
                  <c:v>5</c:v>
                </c:pt>
                <c:pt idx="5">
                  <c:v>6</c:v>
                </c:pt>
              </c:numCache>
            </c:numRef>
          </c:cat>
          <c:val>
            <c:numRef>
              <c:f>Chart_data!$E$25:$E$30</c:f>
              <c:numCache>
                <c:formatCode>0%</c:formatCode>
                <c:ptCount val="6"/>
                <c:pt idx="0">
                  <c:v>0.95</c:v>
                </c:pt>
                <c:pt idx="1">
                  <c:v>0.95</c:v>
                </c:pt>
                <c:pt idx="2">
                  <c:v>0.95</c:v>
                </c:pt>
                <c:pt idx="3">
                  <c:v>0.95</c:v>
                </c:pt>
                <c:pt idx="4">
                  <c:v>0.95</c:v>
                </c:pt>
                <c:pt idx="5">
                  <c:v>0.95</c:v>
                </c:pt>
              </c:numCache>
            </c:numRef>
          </c:val>
          <c:smooth val="1"/>
          <c:extLst>
            <c:ext xmlns:c16="http://schemas.microsoft.com/office/drawing/2014/chart" uri="{C3380CC4-5D6E-409C-BE32-E72D297353CC}">
              <c16:uniqueId val="{00000003-D0EE-4F01-AC61-520024B8BCDF}"/>
            </c:ext>
          </c:extLst>
        </c:ser>
        <c:dLbls>
          <c:showLegendKey val="0"/>
          <c:showVal val="0"/>
          <c:showCatName val="0"/>
          <c:showSerName val="0"/>
          <c:showPercent val="0"/>
          <c:showBubbleSize val="0"/>
        </c:dLbls>
        <c:hiLowLines>
          <c:spPr>
            <a:ln w="0">
              <a:noFill/>
            </a:ln>
          </c:spPr>
        </c:hiLowLines>
        <c:marker val="1"/>
        <c:smooth val="0"/>
        <c:axId val="1991729"/>
        <c:axId val="25589536"/>
      </c:lineChart>
      <c:catAx>
        <c:axId val="1991729"/>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Number of lifts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589536"/>
        <c:crosses val="autoZero"/>
        <c:auto val="1"/>
        <c:lblAlgn val="ctr"/>
        <c:lblOffset val="100"/>
        <c:noMultiLvlLbl val="0"/>
      </c:catAx>
      <c:valAx>
        <c:axId val="25589536"/>
        <c:scaling>
          <c:orientation val="minMax"/>
          <c:max val="1.5"/>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Utilization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9172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Shuttle utilization per tier (optimal design)</a:t>
            </a:r>
          </a:p>
        </c:rich>
      </c:tx>
      <c:overlay val="0"/>
      <c:spPr>
        <a:noFill/>
        <a:ln w="0">
          <a:noFill/>
        </a:ln>
      </c:spPr>
    </c:title>
    <c:autoTitleDeleted val="0"/>
    <c:plotArea>
      <c:layout/>
      <c:barChart>
        <c:barDir val="col"/>
        <c:grouping val="clustered"/>
        <c:varyColors val="0"/>
        <c:ser>
          <c:idx val="0"/>
          <c:order val="0"/>
          <c:tx>
            <c:strRef>
              <c:f>Chart_data!$E$34</c:f>
              <c:strCache>
                <c:ptCount val="1"/>
                <c:pt idx="0">
                  <c:v>Utilization</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Chart_data!$A$35:$A$54</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Chart_data!$E$35:$E$54</c:f>
              <c:numCache>
                <c:formatCode>0%</c:formatCode>
                <c:ptCount val="20"/>
                <c:pt idx="0">
                  <c:v>0.49527357190802063</c:v>
                </c:pt>
                <c:pt idx="1">
                  <c:v>0.49527357190802063</c:v>
                </c:pt>
                <c:pt idx="2">
                  <c:v>0.12381839297700512</c:v>
                </c:pt>
                <c:pt idx="3">
                  <c:v>0.12381839297700512</c:v>
                </c:pt>
                <c:pt idx="4">
                  <c:v>0.12381839297700512</c:v>
                </c:pt>
                <c:pt idx="5">
                  <c:v>6.1909196488502578E-2</c:v>
                </c:pt>
                <c:pt idx="6">
                  <c:v>6.1909196488502578E-2</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0-E174-4DB1-AF01-21EBE8DED4D8}"/>
            </c:ext>
          </c:extLst>
        </c:ser>
        <c:dLbls>
          <c:showLegendKey val="0"/>
          <c:showVal val="0"/>
          <c:showCatName val="0"/>
          <c:showSerName val="0"/>
          <c:showPercent val="0"/>
          <c:showBubbleSize val="0"/>
        </c:dLbls>
        <c:gapWidth val="150"/>
        <c:axId val="75928996"/>
        <c:axId val="27377742"/>
      </c:barChart>
      <c:lineChart>
        <c:grouping val="standard"/>
        <c:varyColors val="0"/>
        <c:ser>
          <c:idx val="1"/>
          <c:order val="1"/>
          <c:tx>
            <c:strRef>
              <c:f>Chart_data!$F$34</c:f>
              <c:strCache>
                <c:ptCount val="1"/>
                <c:pt idx="0">
                  <c:v>Target</c:v>
                </c:pt>
              </c:strCache>
            </c:strRef>
          </c:tx>
          <c:spPr>
            <a:ln w="28440">
              <a:solidFill>
                <a:srgbClr val="BE4B48"/>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Chart_data!$A$35:$A$54</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Chart_data!$F$35:$F$54</c:f>
              <c:numCache>
                <c:formatCode>0%</c:formatCode>
                <c:ptCount val="20"/>
                <c:pt idx="0">
                  <c:v>0.75</c:v>
                </c:pt>
                <c:pt idx="1">
                  <c:v>0.75</c:v>
                </c:pt>
                <c:pt idx="2">
                  <c:v>0.75</c:v>
                </c:pt>
                <c:pt idx="3">
                  <c:v>0.75</c:v>
                </c:pt>
                <c:pt idx="4">
                  <c:v>0.75</c:v>
                </c:pt>
                <c:pt idx="5">
                  <c:v>0.75</c:v>
                </c:pt>
                <c:pt idx="6">
                  <c:v>0.75</c:v>
                </c:pt>
                <c:pt idx="7">
                  <c:v>0.75</c:v>
                </c:pt>
                <c:pt idx="8">
                  <c:v>0.75</c:v>
                </c:pt>
                <c:pt idx="9">
                  <c:v>0.75</c:v>
                </c:pt>
                <c:pt idx="10">
                  <c:v>0.75</c:v>
                </c:pt>
                <c:pt idx="11">
                  <c:v>0.75</c:v>
                </c:pt>
                <c:pt idx="12">
                  <c:v>0.75</c:v>
                </c:pt>
                <c:pt idx="13">
                  <c:v>0.75</c:v>
                </c:pt>
                <c:pt idx="14">
                  <c:v>0.75</c:v>
                </c:pt>
                <c:pt idx="15">
                  <c:v>0.75</c:v>
                </c:pt>
                <c:pt idx="16">
                  <c:v>0.75</c:v>
                </c:pt>
                <c:pt idx="17">
                  <c:v>0.75</c:v>
                </c:pt>
                <c:pt idx="18">
                  <c:v>0.75</c:v>
                </c:pt>
                <c:pt idx="19">
                  <c:v>0.75</c:v>
                </c:pt>
              </c:numCache>
            </c:numRef>
          </c:val>
          <c:smooth val="1"/>
          <c:extLst>
            <c:ext xmlns:c16="http://schemas.microsoft.com/office/drawing/2014/chart" uri="{C3380CC4-5D6E-409C-BE32-E72D297353CC}">
              <c16:uniqueId val="{00000001-E174-4DB1-AF01-21EBE8DED4D8}"/>
            </c:ext>
          </c:extLst>
        </c:ser>
        <c:dLbls>
          <c:showLegendKey val="0"/>
          <c:showVal val="0"/>
          <c:showCatName val="0"/>
          <c:showSerName val="0"/>
          <c:showPercent val="0"/>
          <c:showBubbleSize val="0"/>
        </c:dLbls>
        <c:hiLowLines>
          <c:spPr>
            <a:ln w="0">
              <a:noFill/>
            </a:ln>
          </c:spPr>
        </c:hiLowLines>
        <c:marker val="1"/>
        <c:smooth val="0"/>
        <c:axId val="75928996"/>
        <c:axId val="27377742"/>
      </c:lineChart>
      <c:catAx>
        <c:axId val="75928996"/>
        <c:scaling>
          <c:orientation val="minMax"/>
        </c:scaling>
        <c:delete val="0"/>
        <c:axPos val="b"/>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Tier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377742"/>
        <c:crosses val="autoZero"/>
        <c:auto val="1"/>
        <c:lblAlgn val="ctr"/>
        <c:lblOffset val="100"/>
        <c:noMultiLvlLbl val="0"/>
      </c:catAx>
      <c:valAx>
        <c:axId val="27377742"/>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Utilization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92899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Cost breakdown: optimal vs manual design</a:t>
            </a:r>
          </a:p>
        </c:rich>
      </c:tx>
      <c:overlay val="0"/>
      <c:spPr>
        <a:noFill/>
        <a:ln w="0">
          <a:noFill/>
        </a:ln>
      </c:spPr>
    </c:title>
    <c:autoTitleDeleted val="0"/>
    <c:plotArea>
      <c:layout/>
      <c:barChart>
        <c:barDir val="col"/>
        <c:grouping val="clustered"/>
        <c:varyColors val="0"/>
        <c:ser>
          <c:idx val="0"/>
          <c:order val="0"/>
          <c:tx>
            <c:strRef>
              <c:f>Chart_data!$B$58</c:f>
              <c:strCache>
                <c:ptCount val="1"/>
                <c:pt idx="0">
                  <c:v>Optimal</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Chart_data!$A$59:$A$62</c:f>
              <c:strCache>
                <c:ptCount val="4"/>
                <c:pt idx="0">
                  <c:v>Lifts</c:v>
                </c:pt>
                <c:pt idx="1">
                  <c:v>Shuttles</c:v>
                </c:pt>
                <c:pt idx="2">
                  <c:v>Racks</c:v>
                </c:pt>
                <c:pt idx="3">
                  <c:v>Building</c:v>
                </c:pt>
              </c:strCache>
            </c:strRef>
          </c:cat>
          <c:val>
            <c:numRef>
              <c:f>Chart_data!$B$59:$B$62</c:f>
              <c:numCache>
                <c:formatCode>#,##0</c:formatCode>
                <c:ptCount val="4"/>
                <c:pt idx="0">
                  <c:v>300000</c:v>
                </c:pt>
                <c:pt idx="1">
                  <c:v>550000</c:v>
                </c:pt>
                <c:pt idx="2">
                  <c:v>478800</c:v>
                </c:pt>
                <c:pt idx="3">
                  <c:v>909051</c:v>
                </c:pt>
              </c:numCache>
            </c:numRef>
          </c:val>
          <c:extLst>
            <c:ext xmlns:c16="http://schemas.microsoft.com/office/drawing/2014/chart" uri="{C3380CC4-5D6E-409C-BE32-E72D297353CC}">
              <c16:uniqueId val="{00000000-E230-4291-9851-05B4C271A02C}"/>
            </c:ext>
          </c:extLst>
        </c:ser>
        <c:ser>
          <c:idx val="1"/>
          <c:order val="1"/>
          <c:tx>
            <c:strRef>
              <c:f>Chart_data!$C$58</c:f>
              <c:strCache>
                <c:ptCount val="1"/>
                <c:pt idx="0">
                  <c:v>Manual</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Chart_data!$A$59:$A$62</c:f>
              <c:strCache>
                <c:ptCount val="4"/>
                <c:pt idx="0">
                  <c:v>Lifts</c:v>
                </c:pt>
                <c:pt idx="1">
                  <c:v>Shuttles</c:v>
                </c:pt>
                <c:pt idx="2">
                  <c:v>Racks</c:v>
                </c:pt>
                <c:pt idx="3">
                  <c:v>Building</c:v>
                </c:pt>
              </c:strCache>
            </c:strRef>
          </c:cat>
          <c:val>
            <c:numRef>
              <c:f>Chart_data!$C$59:$C$62</c:f>
              <c:numCache>
                <c:formatCode>#,##0</c:formatCode>
                <c:ptCount val="4"/>
                <c:pt idx="0">
                  <c:v>300000</c:v>
                </c:pt>
                <c:pt idx="1">
                  <c:v>600000</c:v>
                </c:pt>
                <c:pt idx="2">
                  <c:v>473600</c:v>
                </c:pt>
                <c:pt idx="3">
                  <c:v>849524</c:v>
                </c:pt>
              </c:numCache>
            </c:numRef>
          </c:val>
          <c:extLst>
            <c:ext xmlns:c16="http://schemas.microsoft.com/office/drawing/2014/chart" uri="{C3380CC4-5D6E-409C-BE32-E72D297353CC}">
              <c16:uniqueId val="{00000001-E230-4291-9851-05B4C271A02C}"/>
            </c:ext>
          </c:extLst>
        </c:ser>
        <c:dLbls>
          <c:showLegendKey val="0"/>
          <c:showVal val="0"/>
          <c:showCatName val="0"/>
          <c:showSerName val="0"/>
          <c:showPercent val="0"/>
          <c:showBubbleSize val="0"/>
        </c:dLbls>
        <c:gapWidth val="150"/>
        <c:axId val="19153148"/>
        <c:axId val="67548939"/>
      </c:barChart>
      <c:catAx>
        <c:axId val="1915314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548939"/>
        <c:crosses val="autoZero"/>
        <c:auto val="1"/>
        <c:lblAlgn val="ctr"/>
        <c:lblOffset val="100"/>
        <c:noMultiLvlLbl val="0"/>
      </c:catAx>
      <c:valAx>
        <c:axId val="6754893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EUR</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915314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GB" sz="1800" b="1" strike="noStrike" spc="-1">
                <a:solidFill>
                  <a:srgbClr val="000000"/>
                </a:solidFill>
                <a:latin typeface="Calibri"/>
              </a:rPr>
              <a:t>Plan view: rack block, cross-aisle and lifts</a:t>
            </a:r>
          </a:p>
        </c:rich>
      </c:tx>
      <c:overlay val="0"/>
      <c:spPr>
        <a:noFill/>
        <a:ln w="0">
          <a:noFill/>
        </a:ln>
      </c:spPr>
    </c:title>
    <c:autoTitleDeleted val="0"/>
    <c:plotArea>
      <c:layout/>
      <c:scatterChart>
        <c:scatterStyle val="lineMarker"/>
        <c:varyColors val="0"/>
        <c:ser>
          <c:idx val="0"/>
          <c:order val="0"/>
          <c:tx>
            <c:v>Building</c:v>
          </c:tx>
          <c:spPr>
            <a:ln w="47520">
              <a:solidFill>
                <a:srgbClr val="7F7F7F"/>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Chart_data!$G$72:$G$76</c:f>
              <c:numCache>
                <c:formatCode>0.0</c:formatCode>
                <c:ptCount val="5"/>
                <c:pt idx="0" formatCode="General">
                  <c:v>0</c:v>
                </c:pt>
                <c:pt idx="1">
                  <c:v>60</c:v>
                </c:pt>
                <c:pt idx="2">
                  <c:v>60</c:v>
                </c:pt>
                <c:pt idx="3" formatCode="General">
                  <c:v>0</c:v>
                </c:pt>
                <c:pt idx="4" formatCode="General">
                  <c:v>0</c:v>
                </c:pt>
              </c:numCache>
            </c:numRef>
          </c:xVal>
          <c:yVal>
            <c:numRef>
              <c:f>Chart_data!$H$72:$H$76</c:f>
              <c:numCache>
                <c:formatCode>General</c:formatCode>
                <c:ptCount val="5"/>
                <c:pt idx="0">
                  <c:v>0</c:v>
                </c:pt>
                <c:pt idx="1">
                  <c:v>0</c:v>
                </c:pt>
                <c:pt idx="2" formatCode="0.0">
                  <c:v>40</c:v>
                </c:pt>
                <c:pt idx="3" formatCode="0.0">
                  <c:v>40</c:v>
                </c:pt>
                <c:pt idx="4">
                  <c:v>0</c:v>
                </c:pt>
              </c:numCache>
            </c:numRef>
          </c:yVal>
          <c:smooth val="0"/>
          <c:extLst>
            <c:ext xmlns:c16="http://schemas.microsoft.com/office/drawing/2014/chart" uri="{C3380CC4-5D6E-409C-BE32-E72D297353CC}">
              <c16:uniqueId val="{00000000-5FA5-40BA-87B8-BA0F2C69BE1C}"/>
            </c:ext>
          </c:extLst>
        </c:ser>
        <c:ser>
          <c:idx val="1"/>
          <c:order val="1"/>
          <c:tx>
            <c:v>Rack block</c:v>
          </c:tx>
          <c:spPr>
            <a:ln w="47520">
              <a:solidFill>
                <a:srgbClr val="1F386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Chart_data!$A$72:$A$76</c:f>
              <c:numCache>
                <c:formatCode>0.0</c:formatCode>
                <c:ptCount val="5"/>
                <c:pt idx="0">
                  <c:v>0</c:v>
                </c:pt>
                <c:pt idx="1">
                  <c:v>60</c:v>
                </c:pt>
                <c:pt idx="2">
                  <c:v>60</c:v>
                </c:pt>
                <c:pt idx="3">
                  <c:v>0</c:v>
                </c:pt>
                <c:pt idx="4">
                  <c:v>0</c:v>
                </c:pt>
              </c:numCache>
            </c:numRef>
          </c:xVal>
          <c:yVal>
            <c:numRef>
              <c:f>Chart_data!$B$72:$B$76</c:f>
              <c:numCache>
                <c:formatCode>0.0</c:formatCode>
                <c:ptCount val="5"/>
                <c:pt idx="0">
                  <c:v>5</c:v>
                </c:pt>
                <c:pt idx="1">
                  <c:v>5</c:v>
                </c:pt>
                <c:pt idx="2">
                  <c:v>21.900000000000002</c:v>
                </c:pt>
                <c:pt idx="3">
                  <c:v>21.900000000000002</c:v>
                </c:pt>
                <c:pt idx="4">
                  <c:v>5</c:v>
                </c:pt>
              </c:numCache>
            </c:numRef>
          </c:yVal>
          <c:smooth val="0"/>
          <c:extLst>
            <c:ext xmlns:c16="http://schemas.microsoft.com/office/drawing/2014/chart" uri="{C3380CC4-5D6E-409C-BE32-E72D297353CC}">
              <c16:uniqueId val="{00000001-5FA5-40BA-87B8-BA0F2C69BE1C}"/>
            </c:ext>
          </c:extLst>
        </c:ser>
        <c:ser>
          <c:idx val="2"/>
          <c:order val="2"/>
          <c:tx>
            <c:v>Cross-aisle</c:v>
          </c:tx>
          <c:spPr>
            <a:ln w="47520">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Chart_data!$C$72:$C$73</c:f>
              <c:numCache>
                <c:formatCode>0.0</c:formatCode>
                <c:ptCount val="2"/>
                <c:pt idx="0">
                  <c:v>0</c:v>
                </c:pt>
                <c:pt idx="1">
                  <c:v>60</c:v>
                </c:pt>
              </c:numCache>
            </c:numRef>
          </c:xVal>
          <c:yVal>
            <c:numRef>
              <c:f>Chart_data!$D$72:$D$73</c:f>
              <c:numCache>
                <c:formatCode>General</c:formatCode>
                <c:ptCount val="2"/>
                <c:pt idx="0">
                  <c:v>13.450000000000001</c:v>
                </c:pt>
                <c:pt idx="1">
                  <c:v>13.450000000000001</c:v>
                </c:pt>
              </c:numCache>
            </c:numRef>
          </c:yVal>
          <c:smooth val="0"/>
          <c:extLst>
            <c:ext xmlns:c16="http://schemas.microsoft.com/office/drawing/2014/chart" uri="{C3380CC4-5D6E-409C-BE32-E72D297353CC}">
              <c16:uniqueId val="{00000002-5FA5-40BA-87B8-BA0F2C69BE1C}"/>
            </c:ext>
          </c:extLst>
        </c:ser>
        <c:ser>
          <c:idx val="3"/>
          <c:order val="3"/>
          <c:tx>
            <c:v>Lifts</c:v>
          </c:tx>
          <c:spPr>
            <a:ln w="47520">
              <a:noFill/>
            </a:ln>
          </c:spPr>
          <c:marker>
            <c:symbol val="diamond"/>
            <c:size val="11"/>
            <c:spPr>
              <a:solidFill>
                <a:srgbClr val="C0392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Chart_data!$E$72:$E$77</c:f>
              <c:numCache>
                <c:formatCode>0.0</c:formatCode>
                <c:ptCount val="6"/>
                <c:pt idx="0">
                  <c:v>15</c:v>
                </c:pt>
                <c:pt idx="1">
                  <c:v>45</c:v>
                </c:pt>
                <c:pt idx="2" formatCode="General">
                  <c:v>#N/A</c:v>
                </c:pt>
                <c:pt idx="3" formatCode="General">
                  <c:v>#N/A</c:v>
                </c:pt>
                <c:pt idx="4" formatCode="General">
                  <c:v>#N/A</c:v>
                </c:pt>
                <c:pt idx="5" formatCode="General">
                  <c:v>#N/A</c:v>
                </c:pt>
              </c:numCache>
            </c:numRef>
          </c:xVal>
          <c:yVal>
            <c:numRef>
              <c:f>Chart_data!$F$72:$F$77</c:f>
              <c:numCache>
                <c:formatCode>General</c:formatCode>
                <c:ptCount val="6"/>
                <c:pt idx="0">
                  <c:v>13.450000000000001</c:v>
                </c:pt>
                <c:pt idx="1">
                  <c:v>13.450000000000001</c:v>
                </c:pt>
                <c:pt idx="2">
                  <c:v>#N/A</c:v>
                </c:pt>
                <c:pt idx="3">
                  <c:v>#N/A</c:v>
                </c:pt>
                <c:pt idx="4">
                  <c:v>#N/A</c:v>
                </c:pt>
                <c:pt idx="5">
                  <c:v>#N/A</c:v>
                </c:pt>
              </c:numCache>
            </c:numRef>
          </c:yVal>
          <c:smooth val="0"/>
          <c:extLst>
            <c:ext xmlns:c16="http://schemas.microsoft.com/office/drawing/2014/chart" uri="{C3380CC4-5D6E-409C-BE32-E72D297353CC}">
              <c16:uniqueId val="{00000003-5FA5-40BA-87B8-BA0F2C69BE1C}"/>
            </c:ext>
          </c:extLst>
        </c:ser>
        <c:ser>
          <c:idx val="4"/>
          <c:order val="4"/>
          <c:tx>
            <c:v>IN bay</c:v>
          </c:tx>
          <c:spPr>
            <a:ln w="28440">
              <a:noFill/>
            </a:ln>
          </c:spPr>
          <c:marker>
            <c:symbol val="triangle"/>
            <c:size val="12"/>
            <c:spPr>
              <a:solidFill>
                <a:srgbClr val="1F77B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Chart_data!$I$72</c:f>
              <c:numCache>
                <c:formatCode>0.0</c:formatCode>
                <c:ptCount val="1"/>
                <c:pt idx="0">
                  <c:v>5</c:v>
                </c:pt>
              </c:numCache>
            </c:numRef>
          </c:xVal>
          <c:yVal>
            <c:numRef>
              <c:f>Chart_data!$J$72</c:f>
              <c:numCache>
                <c:formatCode>General</c:formatCode>
                <c:ptCount val="1"/>
                <c:pt idx="0">
                  <c:v>0</c:v>
                </c:pt>
              </c:numCache>
            </c:numRef>
          </c:yVal>
          <c:smooth val="0"/>
          <c:extLst>
            <c:ext xmlns:c16="http://schemas.microsoft.com/office/drawing/2014/chart" uri="{C3380CC4-5D6E-409C-BE32-E72D297353CC}">
              <c16:uniqueId val="{00000004-5FA5-40BA-87B8-BA0F2C69BE1C}"/>
            </c:ext>
          </c:extLst>
        </c:ser>
        <c:ser>
          <c:idx val="5"/>
          <c:order val="5"/>
          <c:tx>
            <c:v>OUT bay</c:v>
          </c:tx>
          <c:spPr>
            <a:ln w="28440">
              <a:noFill/>
            </a:ln>
          </c:spPr>
          <c:marker>
            <c:symbol val="triangle"/>
            <c:size val="12"/>
            <c:spPr>
              <a:solidFill>
                <a:srgbClr val="D35400"/>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Chart_data!$K$72</c:f>
              <c:numCache>
                <c:formatCode>0.0</c:formatCode>
                <c:ptCount val="1"/>
                <c:pt idx="0">
                  <c:v>40</c:v>
                </c:pt>
              </c:numCache>
            </c:numRef>
          </c:xVal>
          <c:yVal>
            <c:numRef>
              <c:f>Chart_data!$L$72</c:f>
              <c:numCache>
                <c:formatCode>General</c:formatCode>
                <c:ptCount val="1"/>
                <c:pt idx="0">
                  <c:v>0</c:v>
                </c:pt>
              </c:numCache>
            </c:numRef>
          </c:yVal>
          <c:smooth val="0"/>
          <c:extLst>
            <c:ext xmlns:c16="http://schemas.microsoft.com/office/drawing/2014/chart" uri="{C3380CC4-5D6E-409C-BE32-E72D297353CC}">
              <c16:uniqueId val="{00000005-5FA5-40BA-87B8-BA0F2C69BE1C}"/>
            </c:ext>
          </c:extLst>
        </c:ser>
        <c:dLbls>
          <c:showLegendKey val="0"/>
          <c:showVal val="0"/>
          <c:showCatName val="0"/>
          <c:showSerName val="0"/>
          <c:showPercent val="0"/>
          <c:showBubbleSize val="0"/>
        </c:dLbls>
        <c:axId val="41169726"/>
        <c:axId val="9385877"/>
      </c:scatterChart>
      <c:valAx>
        <c:axId val="41169726"/>
        <c:scaling>
          <c:orientation val="minMax"/>
          <c:min val="0"/>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GB" sz="1000" b="1" strike="noStrike" spc="-1">
                    <a:solidFill>
                      <a:srgbClr val="000000"/>
                    </a:solidFill>
                    <a:latin typeface="Calibri"/>
                  </a:rPr>
                  <a:t>x along the aisle (m)</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385877"/>
        <c:crosses val="autoZero"/>
        <c:crossBetween val="midCat"/>
      </c:valAx>
      <c:valAx>
        <c:axId val="9385877"/>
        <c:scaling>
          <c:orientation val="minMax"/>
          <c:min val="0"/>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y (m)</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1169726"/>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145440</xdr:rowOff>
    </xdr:from>
    <xdr:to>
      <xdr:col>17</xdr:col>
      <xdr:colOff>14629</xdr:colOff>
      <xdr:row>16</xdr:row>
      <xdr:rowOff>126720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xdr:row>
      <xdr:rowOff>145440</xdr:rowOff>
    </xdr:from>
    <xdr:to>
      <xdr:col>26</xdr:col>
      <xdr:colOff>74160</xdr:colOff>
      <xdr:row>16</xdr:row>
      <xdr:rowOff>126720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18</xdr:row>
      <xdr:rowOff>145440</xdr:rowOff>
    </xdr:from>
    <xdr:to>
      <xdr:col>17</xdr:col>
      <xdr:colOff>14629</xdr:colOff>
      <xdr:row>32</xdr:row>
      <xdr:rowOff>126360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18</xdr:row>
      <xdr:rowOff>145440</xdr:rowOff>
    </xdr:from>
    <xdr:to>
      <xdr:col>26</xdr:col>
      <xdr:colOff>74160</xdr:colOff>
      <xdr:row>32</xdr:row>
      <xdr:rowOff>126360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34</xdr:row>
      <xdr:rowOff>145440</xdr:rowOff>
    </xdr:from>
    <xdr:to>
      <xdr:col>17</xdr:col>
      <xdr:colOff>14629</xdr:colOff>
      <xdr:row>49</xdr:row>
      <xdr:rowOff>21600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34</xdr:row>
      <xdr:rowOff>145440</xdr:rowOff>
    </xdr:from>
    <xdr:to>
      <xdr:col>26</xdr:col>
      <xdr:colOff>74160</xdr:colOff>
      <xdr:row>49</xdr:row>
      <xdr:rowOff>21600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50</xdr:row>
      <xdr:rowOff>145440</xdr:rowOff>
    </xdr:from>
    <xdr:to>
      <xdr:col>17</xdr:col>
      <xdr:colOff>14629</xdr:colOff>
      <xdr:row>65</xdr:row>
      <xdr:rowOff>21960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
  <sheetViews>
    <sheetView showGridLines="0" tabSelected="1" zoomScale="83" zoomScaleNormal="100" workbookViewId="0">
      <pane ySplit="4" topLeftCell="A5" activePane="bottomLeft" state="frozen"/>
      <selection pane="bottomLeft" activeCell="B60" sqref="B60"/>
    </sheetView>
  </sheetViews>
  <sheetFormatPr defaultColWidth="8.7109375" defaultRowHeight="15" x14ac:dyDescent="0.25"/>
  <cols>
    <col min="1" max="1" width="50" customWidth="1"/>
    <col min="2" max="2" width="24" customWidth="1"/>
    <col min="3" max="3" width="11" customWidth="1"/>
    <col min="4" max="4" width="2" customWidth="1"/>
    <col min="5" max="5" width="32" customWidth="1"/>
    <col min="6" max="7" width="15" customWidth="1"/>
    <col min="8" max="8" width="9" customWidth="1"/>
    <col min="9" max="11" width="8.85546875" bestFit="1" customWidth="1"/>
    <col min="12" max="12" width="9.140625" bestFit="1" customWidth="1"/>
  </cols>
  <sheetData>
    <row r="1" spans="1:8" ht="18" customHeight="1" x14ac:dyDescent="0.3">
      <c r="A1" s="3" t="s">
        <v>0</v>
      </c>
    </row>
    <row r="2" spans="1:8" ht="30" customHeight="1" x14ac:dyDescent="0.25">
      <c r="A2" s="2" t="s">
        <v>1</v>
      </c>
      <c r="B2" s="2"/>
      <c r="C2" s="2"/>
      <c r="D2" s="2"/>
      <c r="E2" s="2"/>
      <c r="F2" s="2"/>
      <c r="G2" s="2"/>
      <c r="H2" s="2"/>
    </row>
    <row r="3" spans="1:8" ht="30" customHeight="1" x14ac:dyDescent="0.25">
      <c r="A3" s="1" t="str">
        <f>IF(lam_total&lt;=0,"CHECK: inbound + outbound rate is zero.",IF(AND(dist_mode="ABC",ABS(shareA+shareB+shareC-1)&gt;0.001),"NOTE: ABC shares do not sum to 100 % – they are normalised.",IF(OR(bay_in_x&gt;L_bldg,bay_out_x&gt;L_bldg),"CHECK: a bay is outside the building length.",IF(AND(lane_policy="Fixed = pallets per SKU",n_feas=0),"Fixed lane depth = pallets per SKU leaves no feasible design: try Free, a larger building / height, or lower capacity.","Inputs OK"))))</f>
        <v>Inputs OK</v>
      </c>
      <c r="B3" s="1"/>
      <c r="C3" s="1"/>
      <c r="D3" s="1"/>
      <c r="E3" s="1"/>
      <c r="F3" s="1"/>
      <c r="G3" s="1"/>
      <c r="H3" s="1"/>
    </row>
    <row r="4" spans="1:8" ht="21.75" customHeight="1" x14ac:dyDescent="0.25">
      <c r="A4" s="5" t="s">
        <v>2</v>
      </c>
      <c r="B4" s="5" t="s">
        <v>3</v>
      </c>
      <c r="C4" s="5" t="s">
        <v>4</v>
      </c>
      <c r="E4" s="5" t="s">
        <v>5</v>
      </c>
      <c r="F4" s="5" t="str">
        <f>IF(n_feas=0,"Least-violating (INFEASIBLE)","Optimal design")</f>
        <v>Optimal design</v>
      </c>
      <c r="G4" s="5" t="s">
        <v>6</v>
      </c>
    </row>
    <row r="5" spans="1:8" ht="15" customHeight="1" x14ac:dyDescent="0.25">
      <c r="A5" s="6" t="s">
        <v>7</v>
      </c>
      <c r="B5" s="7"/>
      <c r="C5" s="7"/>
      <c r="E5" s="8" t="s">
        <v>8</v>
      </c>
      <c r="F5" s="9">
        <f>INDEX(Optimizer!$B$8:$B$227,best_i)</f>
        <v>6</v>
      </c>
      <c r="G5" s="10">
        <f>Optimizer!B7</f>
        <v>8</v>
      </c>
    </row>
    <row r="6" spans="1:8" ht="15" customHeight="1" x14ac:dyDescent="0.25">
      <c r="A6" s="8" t="s">
        <v>9</v>
      </c>
      <c r="B6" s="11">
        <v>4000</v>
      </c>
      <c r="C6" s="8" t="s">
        <v>10</v>
      </c>
      <c r="E6" s="8" t="s">
        <v>11</v>
      </c>
      <c r="F6" s="9">
        <f>INDEX(Optimizer!$C$8:$C$227,best_i)</f>
        <v>7</v>
      </c>
      <c r="G6" s="10">
        <f>Optimizer!C7</f>
        <v>8</v>
      </c>
    </row>
    <row r="7" spans="1:8" ht="15" customHeight="1" x14ac:dyDescent="0.25">
      <c r="A7" s="8" t="s">
        <v>12</v>
      </c>
      <c r="B7" s="12">
        <v>6</v>
      </c>
      <c r="C7" s="8" t="s">
        <v>10</v>
      </c>
      <c r="E7" s="8" t="s">
        <v>13</v>
      </c>
      <c r="F7" s="9">
        <f>INDEX(Optimizer!$G$8:$G$227,best_i)</f>
        <v>2</v>
      </c>
      <c r="G7" s="10">
        <f>Optimizer!G7</f>
        <v>2</v>
      </c>
    </row>
    <row r="8" spans="1:8" ht="15" customHeight="1" x14ac:dyDescent="0.25">
      <c r="A8" s="8" t="s">
        <v>14</v>
      </c>
      <c r="B8" s="13">
        <v>40</v>
      </c>
      <c r="C8" s="8" t="s">
        <v>15</v>
      </c>
      <c r="E8" s="8" t="s">
        <v>16</v>
      </c>
      <c r="F8" s="9">
        <f>INDEX(Optimizer!$H$8:$H$227,best_i)</f>
        <v>60</v>
      </c>
      <c r="G8" s="10">
        <f>Optimizer!H7</f>
        <v>40</v>
      </c>
    </row>
    <row r="9" spans="1:8" ht="15" customHeight="1" x14ac:dyDescent="0.25">
      <c r="A9" s="8" t="s">
        <v>17</v>
      </c>
      <c r="B9" s="13">
        <v>60</v>
      </c>
      <c r="C9" s="8" t="s">
        <v>15</v>
      </c>
      <c r="E9" s="8" t="s">
        <v>18</v>
      </c>
      <c r="F9" s="14">
        <f>INDEX(Optimizer!$I$8:$I$227,best_i)</f>
        <v>60</v>
      </c>
      <c r="G9" s="15">
        <f>Optimizer!I7</f>
        <v>40</v>
      </c>
    </row>
    <row r="10" spans="1:8" ht="15" customHeight="1" x14ac:dyDescent="0.25">
      <c r="A10" s="8" t="s">
        <v>19</v>
      </c>
      <c r="B10" s="13">
        <v>24</v>
      </c>
      <c r="C10" s="8" t="s">
        <v>20</v>
      </c>
      <c r="E10" s="8" t="s">
        <v>21</v>
      </c>
      <c r="F10" s="14">
        <f>INDEX(Optimizer!$J$8:$J$227,best_i)</f>
        <v>16.900000000000002</v>
      </c>
      <c r="G10" s="15">
        <f>Optimizer!J7</f>
        <v>22.1</v>
      </c>
    </row>
    <row r="11" spans="1:8" ht="15" customHeight="1" x14ac:dyDescent="0.25">
      <c r="A11" s="8" t="s">
        <v>22</v>
      </c>
      <c r="B11" s="13">
        <v>16</v>
      </c>
      <c r="C11" s="8" t="s">
        <v>20</v>
      </c>
      <c r="E11" s="8" t="s">
        <v>23</v>
      </c>
      <c r="F11" s="14">
        <f>INDEX(Optimizer!$K$8:$K$227,best_i)</f>
        <v>15.049999999999999</v>
      </c>
      <c r="G11" s="15">
        <f>Optimizer!K7</f>
        <v>17.2</v>
      </c>
    </row>
    <row r="12" spans="1:8" ht="15" customHeight="1" x14ac:dyDescent="0.25">
      <c r="A12" s="8" t="s">
        <v>24</v>
      </c>
      <c r="B12" s="16">
        <v>1</v>
      </c>
      <c r="C12" s="8" t="s">
        <v>25</v>
      </c>
      <c r="E12" s="8" t="s">
        <v>26</v>
      </c>
      <c r="F12" s="17">
        <f>INDEX(Optimizer!$AA$8:$AA$227,best_i)</f>
        <v>0.13</v>
      </c>
      <c r="G12" s="18">
        <f>Optimizer!AA7</f>
        <v>0.26</v>
      </c>
    </row>
    <row r="13" spans="1:8" ht="15" customHeight="1" x14ac:dyDescent="0.25">
      <c r="A13" s="6" t="s">
        <v>27</v>
      </c>
      <c r="B13" s="7"/>
      <c r="C13" s="7"/>
      <c r="E13" s="8" t="s">
        <v>28</v>
      </c>
      <c r="F13" s="19">
        <f>INDEX(Optimizer!$R$8:$R$227,best_i)</f>
        <v>4788</v>
      </c>
      <c r="G13" s="20">
        <f>Optimizer!R7</f>
        <v>4736</v>
      </c>
    </row>
    <row r="14" spans="1:8" ht="15" customHeight="1" x14ac:dyDescent="0.25">
      <c r="A14" s="8" t="s">
        <v>29</v>
      </c>
      <c r="B14" s="21">
        <v>20</v>
      </c>
      <c r="C14" s="8" t="s">
        <v>30</v>
      </c>
      <c r="E14" s="8" t="s">
        <v>31</v>
      </c>
      <c r="F14" s="19">
        <f>INDEX(Optimizer!$S$8:$S$227,best_i)</f>
        <v>4069.7999999999997</v>
      </c>
      <c r="G14" s="20">
        <f>Optimizer!S7</f>
        <v>4025.6</v>
      </c>
    </row>
    <row r="15" spans="1:8" ht="15" customHeight="1" x14ac:dyDescent="0.25">
      <c r="A15" s="8" t="s">
        <v>32</v>
      </c>
      <c r="B15" s="13" t="s">
        <v>33</v>
      </c>
      <c r="C15" s="8"/>
      <c r="E15" s="8" t="s">
        <v>34</v>
      </c>
      <c r="F15" s="19">
        <f>INDEX(Optimizer!$T$8:$T$227,best_i)</f>
        <v>1014.0000000000001</v>
      </c>
      <c r="G15" s="20">
        <f>Optimizer!T7</f>
        <v>884</v>
      </c>
    </row>
    <row r="16" spans="1:8" ht="15" customHeight="1" x14ac:dyDescent="0.25">
      <c r="A16" s="8" t="s">
        <v>35</v>
      </c>
      <c r="B16" s="21">
        <v>60</v>
      </c>
      <c r="C16" s="8" t="s">
        <v>30</v>
      </c>
      <c r="E16" s="8" t="s">
        <v>36</v>
      </c>
      <c r="F16" s="14">
        <f>INDEX(Optimizer!$O$8:$O$227,best_i)</f>
        <v>89.149242943443724</v>
      </c>
      <c r="G16" s="15">
        <f>Optimizer!O7</f>
        <v>87.781007272308443</v>
      </c>
    </row>
    <row r="17" spans="1:12" ht="15" customHeight="1" x14ac:dyDescent="0.25">
      <c r="A17" s="8" t="s">
        <v>37</v>
      </c>
      <c r="B17" s="21">
        <v>40</v>
      </c>
      <c r="C17" s="8" t="s">
        <v>30</v>
      </c>
      <c r="E17" s="8" t="s">
        <v>38</v>
      </c>
      <c r="F17" s="9">
        <f>INDEX(Optimizer!$Q$8:$Q$227,best_i)</f>
        <v>11</v>
      </c>
      <c r="G17" s="10">
        <f>Optimizer!Q7</f>
        <v>12</v>
      </c>
    </row>
    <row r="18" spans="1:12" ht="15" customHeight="1" x14ac:dyDescent="0.25">
      <c r="A18" s="6" t="s">
        <v>39</v>
      </c>
      <c r="B18" s="7"/>
      <c r="C18" s="7"/>
      <c r="E18" s="8" t="s">
        <v>40</v>
      </c>
      <c r="F18" s="22">
        <f>INDEX(Optimizer!$AB$8:$AB$227,best_i)</f>
        <v>0.37433035714285695</v>
      </c>
      <c r="G18" s="23">
        <f>Optimizer!AB7</f>
        <v>0.37582341269841252</v>
      </c>
    </row>
    <row r="19" spans="1:12" ht="15" customHeight="1" x14ac:dyDescent="0.25">
      <c r="A19" s="8" t="s">
        <v>8</v>
      </c>
      <c r="B19" s="13" t="s">
        <v>352</v>
      </c>
      <c r="C19" s="8"/>
      <c r="E19" s="8" t="s">
        <v>41</v>
      </c>
      <c r="F19" s="22">
        <f>INDEX(Optimizer!$AC$8:$AC$227,best_i)</f>
        <v>0.7486607142857139</v>
      </c>
      <c r="G19" s="23">
        <f>Optimizer!AC7</f>
        <v>0.75164682539682504</v>
      </c>
    </row>
    <row r="20" spans="1:12" ht="15" customHeight="1" x14ac:dyDescent="0.25">
      <c r="A20" s="8" t="s">
        <v>42</v>
      </c>
      <c r="B20" s="13" t="s">
        <v>43</v>
      </c>
      <c r="C20" s="8"/>
      <c r="E20" s="8" t="s">
        <v>44</v>
      </c>
      <c r="F20" s="14">
        <f>INDEX(Optimizer!$AD$8:$AD$227,best_i)</f>
        <v>12.654899999999998</v>
      </c>
      <c r="G20" s="15">
        <f>Optimizer!AD7</f>
        <v>12.936119999999995</v>
      </c>
    </row>
    <row r="21" spans="1:12" ht="15" customHeight="1" x14ac:dyDescent="0.25">
      <c r="A21" s="8" t="s">
        <v>45</v>
      </c>
      <c r="B21" s="12">
        <v>2</v>
      </c>
      <c r="C21" s="8" t="s">
        <v>46</v>
      </c>
      <c r="E21" s="8" t="s">
        <v>47</v>
      </c>
      <c r="F21" s="19">
        <f>INDEX(Optimizer!$Z$8:$Z$227,best_i)</f>
        <v>2237851</v>
      </c>
      <c r="G21" s="20">
        <f>Optimizer!Z7</f>
        <v>2223124</v>
      </c>
    </row>
    <row r="22" spans="1:12" ht="15" customHeight="1" x14ac:dyDescent="0.25">
      <c r="A22" s="8" t="s">
        <v>48</v>
      </c>
      <c r="B22" s="12">
        <v>3</v>
      </c>
      <c r="C22" s="8" t="s">
        <v>46</v>
      </c>
      <c r="E22" s="8" t="s">
        <v>49</v>
      </c>
      <c r="F22" s="24">
        <f>INDEX(Optimizer!$Z$8:$Z$227,best_i)/INDEX(Optimizer!$S$8:$S$227,best_i)</f>
        <v>549.86756105951156</v>
      </c>
      <c r="G22" s="24">
        <f>Optimizer!Z7/Optimizer!S7</f>
        <v>552.24662162162167</v>
      </c>
    </row>
    <row r="23" spans="1:12" ht="15" customHeight="1" x14ac:dyDescent="0.25">
      <c r="A23" s="8" t="s">
        <v>50</v>
      </c>
      <c r="B23" s="25">
        <v>0.8</v>
      </c>
      <c r="C23" s="8"/>
      <c r="E23" s="8" t="s">
        <v>51</v>
      </c>
      <c r="F23" s="26" t="str">
        <f>IF(n_feas&gt;0,"Yes","NO – "&amp;INDEX(Optimizer!$AH$8:$AH$227,best_i))</f>
        <v>Yes</v>
      </c>
      <c r="G23" s="26" t="str">
        <f>IF(Optimizer!AE7=1,"Yes","No – "&amp;Optimizer!AH7)</f>
        <v>No – lane policy</v>
      </c>
    </row>
    <row r="24" spans="1:12" ht="15" customHeight="1" x14ac:dyDescent="0.25">
      <c r="A24" s="8" t="s">
        <v>52</v>
      </c>
      <c r="B24" s="25">
        <v>0.15</v>
      </c>
      <c r="C24" s="8"/>
      <c r="E24" s="27" t="str">
        <f>IF(n_feas=0,"NO design meets all constraints – least-violating shown","Feasible designs: "&amp;n_feas&amp;" of 220")</f>
        <v>Feasible designs: 3 of 220</v>
      </c>
    </row>
    <row r="25" spans="1:12" ht="15" customHeight="1" x14ac:dyDescent="0.25">
      <c r="A25" s="8" t="s">
        <v>53</v>
      </c>
      <c r="B25" s="25">
        <v>0.05</v>
      </c>
      <c r="C25" s="8"/>
    </row>
    <row r="26" spans="1:12" ht="21.75" customHeight="1" x14ac:dyDescent="0.25">
      <c r="A26" s="6" t="s">
        <v>54</v>
      </c>
      <c r="B26" s="7"/>
      <c r="C26" s="7"/>
      <c r="E26" s="5" t="s">
        <v>55</v>
      </c>
      <c r="F26" s="5" t="s">
        <v>56</v>
      </c>
      <c r="G26" s="5" t="s">
        <v>57</v>
      </c>
      <c r="H26" s="5" t="s">
        <v>13</v>
      </c>
      <c r="I26" s="5" t="s">
        <v>58</v>
      </c>
      <c r="J26" s="5" t="s">
        <v>59</v>
      </c>
      <c r="K26" s="5" t="s">
        <v>60</v>
      </c>
      <c r="L26" s="5" t="s">
        <v>61</v>
      </c>
    </row>
    <row r="27" spans="1:12" ht="15" customHeight="1" x14ac:dyDescent="0.25">
      <c r="A27" s="8" t="s">
        <v>62</v>
      </c>
      <c r="B27" s="16">
        <v>1</v>
      </c>
      <c r="C27" s="8" t="s">
        <v>30</v>
      </c>
      <c r="E27" s="28">
        <v>1</v>
      </c>
      <c r="F27" s="29">
        <f>Chart_data!C82</f>
        <v>6</v>
      </c>
      <c r="G27" s="29">
        <f>Chart_data!D82</f>
        <v>7</v>
      </c>
      <c r="H27" s="29">
        <f>Chart_data!E82</f>
        <v>2</v>
      </c>
      <c r="I27" s="29">
        <f>Chart_data!F82</f>
        <v>60</v>
      </c>
      <c r="J27" s="29">
        <f>Chart_data!G82</f>
        <v>11</v>
      </c>
      <c r="K27" s="30">
        <f>Chart_data!L82</f>
        <v>89.149242943443724</v>
      </c>
      <c r="L27" s="31">
        <f>Chart_data!M82</f>
        <v>2237851</v>
      </c>
    </row>
    <row r="28" spans="1:12" ht="15" customHeight="1" x14ac:dyDescent="0.25">
      <c r="A28" s="8" t="s">
        <v>63</v>
      </c>
      <c r="B28" s="16">
        <v>1.3</v>
      </c>
      <c r="C28" s="8" t="s">
        <v>30</v>
      </c>
      <c r="E28" s="28">
        <v>2</v>
      </c>
      <c r="F28" s="29">
        <f>Chart_data!C83</f>
        <v>6</v>
      </c>
      <c r="G28" s="29">
        <f>Chart_data!D83</f>
        <v>9</v>
      </c>
      <c r="H28" s="29">
        <f>Chart_data!E83</f>
        <v>2</v>
      </c>
      <c r="I28" s="29">
        <f>Chart_data!F83</f>
        <v>47</v>
      </c>
      <c r="J28" s="29">
        <f>Chart_data!G83</f>
        <v>13</v>
      </c>
      <c r="K28" s="30">
        <f>Chart_data!L83</f>
        <v>86.813775186159162</v>
      </c>
      <c r="L28" s="31">
        <f>Chart_data!M83</f>
        <v>2239754.65</v>
      </c>
    </row>
    <row r="29" spans="1:12" ht="15" customHeight="1" x14ac:dyDescent="0.25">
      <c r="A29" s="8" t="s">
        <v>64</v>
      </c>
      <c r="B29" s="16">
        <v>2.15</v>
      </c>
      <c r="C29" s="8" t="s">
        <v>30</v>
      </c>
      <c r="E29" s="28">
        <v>3</v>
      </c>
      <c r="F29" s="29">
        <f>Chart_data!C84</f>
        <v>6</v>
      </c>
      <c r="G29" s="29">
        <f>Chart_data!D84</f>
        <v>8</v>
      </c>
      <c r="H29" s="29">
        <f>Chart_data!E84</f>
        <v>2</v>
      </c>
      <c r="I29" s="29">
        <f>Chart_data!F84</f>
        <v>53</v>
      </c>
      <c r="J29" s="29">
        <f>Chart_data!G84</f>
        <v>12</v>
      </c>
      <c r="K29" s="30">
        <f>Chart_data!L84</f>
        <v>87.89253918125705</v>
      </c>
      <c r="L29" s="31">
        <f>Chart_data!M84</f>
        <v>2240767.7000000002</v>
      </c>
    </row>
    <row r="30" spans="1:12" ht="15" customHeight="1" x14ac:dyDescent="0.25">
      <c r="A30" s="8" t="s">
        <v>65</v>
      </c>
      <c r="B30" s="21">
        <v>1.3</v>
      </c>
      <c r="C30" s="8" t="s">
        <v>30</v>
      </c>
      <c r="E30" s="28">
        <v>4</v>
      </c>
      <c r="F30" s="29" t="str">
        <f>Chart_data!C85</f>
        <v/>
      </c>
      <c r="G30" s="29" t="str">
        <f>Chart_data!D85</f>
        <v/>
      </c>
      <c r="H30" s="29" t="str">
        <f>Chart_data!E85</f>
        <v/>
      </c>
      <c r="I30" s="29" t="str">
        <f>Chart_data!F85</f>
        <v/>
      </c>
      <c r="J30" s="29" t="str">
        <f>Chart_data!G85</f>
        <v/>
      </c>
      <c r="K30" s="30" t="str">
        <f>Chart_data!L85</f>
        <v/>
      </c>
      <c r="L30" s="31" t="str">
        <f>Chart_data!M85</f>
        <v/>
      </c>
    </row>
    <row r="31" spans="1:12" ht="15" customHeight="1" x14ac:dyDescent="0.25">
      <c r="A31" s="8" t="s">
        <v>66</v>
      </c>
      <c r="B31" s="21">
        <v>1.3</v>
      </c>
      <c r="C31" s="8" t="s">
        <v>30</v>
      </c>
      <c r="E31" s="28">
        <v>5</v>
      </c>
      <c r="F31" s="29" t="str">
        <f>Chart_data!C86</f>
        <v/>
      </c>
      <c r="G31" s="29" t="str">
        <f>Chart_data!D86</f>
        <v/>
      </c>
      <c r="H31" s="29" t="str">
        <f>Chart_data!E86</f>
        <v/>
      </c>
      <c r="I31" s="29" t="str">
        <f>Chart_data!F86</f>
        <v/>
      </c>
      <c r="J31" s="29" t="str">
        <f>Chart_data!G86</f>
        <v/>
      </c>
      <c r="K31" s="30" t="str">
        <f>Chart_data!L86</f>
        <v/>
      </c>
      <c r="L31" s="31" t="str">
        <f>Chart_data!M86</f>
        <v/>
      </c>
    </row>
    <row r="32" spans="1:12" ht="15" customHeight="1" x14ac:dyDescent="0.25">
      <c r="A32" s="8" t="s">
        <v>67</v>
      </c>
      <c r="B32" s="21">
        <v>1.5</v>
      </c>
      <c r="C32" s="8" t="s">
        <v>30</v>
      </c>
      <c r="E32" s="8" t="s">
        <v>68</v>
      </c>
    </row>
    <row r="33" spans="1:7" ht="15" customHeight="1" x14ac:dyDescent="0.25">
      <c r="A33" s="8" t="s">
        <v>69</v>
      </c>
      <c r="B33" s="16">
        <v>0.2</v>
      </c>
      <c r="C33" s="8"/>
    </row>
    <row r="34" spans="1:7" ht="15" customHeight="1" x14ac:dyDescent="0.25">
      <c r="A34" s="8" t="s">
        <v>70</v>
      </c>
      <c r="B34" s="12">
        <v>3</v>
      </c>
      <c r="C34" s="8" t="s">
        <v>71</v>
      </c>
      <c r="E34" s="6" t="s">
        <v>72</v>
      </c>
      <c r="F34" s="7"/>
      <c r="G34" s="7"/>
    </row>
    <row r="35" spans="1:7" ht="15" customHeight="1" x14ac:dyDescent="0.25">
      <c r="A35" s="8" t="s">
        <v>73</v>
      </c>
      <c r="B35" s="25">
        <v>0.85</v>
      </c>
      <c r="C35" s="8"/>
      <c r="E35" s="8" t="s">
        <v>74</v>
      </c>
      <c r="F35" s="32" t="str">
        <f>lift_layout</f>
        <v>Equispaced</v>
      </c>
    </row>
    <row r="36" spans="1:7" ht="15" customHeight="1" x14ac:dyDescent="0.25">
      <c r="A36" s="6" t="s">
        <v>75</v>
      </c>
      <c r="B36" s="7"/>
      <c r="C36" s="7"/>
      <c r="E36" s="8" t="s">
        <v>76</v>
      </c>
      <c r="F36" s="32" t="str">
        <f>IF(Bay_position!B12="","",IF(0&gt;0," / ","")&amp;TEXT(Bay_position!B12,"0.0"))&amp;IF(Bay_position!B13="","",IF(1&gt;0," / ","")&amp;TEXT(Bay_position!B13,"0.0"))&amp;IF(Bay_position!B14="","",IF(2&gt;0," / ","")&amp;TEXT(Bay_position!B14,"0.0"))&amp;IF(Bay_position!B15="","",IF(3&gt;0," / ","")&amp;TEXT(Bay_position!B15,"0.0"))&amp;IF(Bay_position!B16="","",IF(4&gt;0," / ","")&amp;TEXT(Bay_position!B16,"0.0"))&amp;IF(Bay_position!B17="","",IF(5&gt;0," / ","")&amp;TEXT(Bay_position!B17,"0.0"))</f>
        <v>15.0 / 45.0</v>
      </c>
    </row>
    <row r="37" spans="1:7" ht="15" customHeight="1" x14ac:dyDescent="0.25">
      <c r="A37" s="8" t="s">
        <v>77</v>
      </c>
      <c r="B37" s="25">
        <v>0.75</v>
      </c>
      <c r="C37" s="8"/>
      <c r="E37" s="8" t="s">
        <v>78</v>
      </c>
      <c r="F37" s="33">
        <f>sum_ta</f>
        <v>9.0617953870154757</v>
      </c>
    </row>
    <row r="38" spans="1:7" ht="15" customHeight="1" x14ac:dyDescent="0.25">
      <c r="A38" s="8" t="s">
        <v>79</v>
      </c>
      <c r="B38" s="25">
        <v>0.95</v>
      </c>
      <c r="C38" s="8"/>
      <c r="E38" s="8" t="s">
        <v>80</v>
      </c>
      <c r="F38" s="34">
        <f>sum_cyc</f>
        <v>89.152162202602383</v>
      </c>
    </row>
    <row r="39" spans="1:7" ht="15" customHeight="1" x14ac:dyDescent="0.25">
      <c r="A39" s="8" t="s">
        <v>81</v>
      </c>
      <c r="B39" s="13" t="s">
        <v>33</v>
      </c>
      <c r="C39" s="8"/>
      <c r="E39" s="8" t="s">
        <v>82</v>
      </c>
      <c r="F39" s="34">
        <f>sum_cv</f>
        <v>32.450000000000031</v>
      </c>
    </row>
    <row r="40" spans="1:7" ht="15" customHeight="1" x14ac:dyDescent="0.25">
      <c r="A40" s="8" t="s">
        <v>83</v>
      </c>
      <c r="B40" s="21">
        <v>1</v>
      </c>
      <c r="C40" s="8" t="s">
        <v>84</v>
      </c>
      <c r="E40" s="8" t="s">
        <v>85</v>
      </c>
      <c r="F40" s="34">
        <f>sum_ct</f>
        <v>81.125000000000071</v>
      </c>
    </row>
    <row r="41" spans="1:7" ht="15" customHeight="1" x14ac:dyDescent="0.25">
      <c r="A41" s="8" t="s">
        <v>86</v>
      </c>
      <c r="B41" s="12">
        <v>2</v>
      </c>
      <c r="C41" s="8" t="s">
        <v>84</v>
      </c>
      <c r="E41" s="8" t="s">
        <v>87</v>
      </c>
      <c r="F41" s="35">
        <f>sum_trunk</f>
        <v>123.80000000000001</v>
      </c>
    </row>
    <row r="42" spans="1:7" ht="15" customHeight="1" x14ac:dyDescent="0.25">
      <c r="A42" s="6" t="s">
        <v>88</v>
      </c>
      <c r="B42" s="7"/>
      <c r="C42" s="7"/>
      <c r="E42" s="8" t="s">
        <v>89</v>
      </c>
      <c r="F42" s="24">
        <f>sum_cc</f>
        <v>74280</v>
      </c>
    </row>
    <row r="43" spans="1:7" ht="15" customHeight="1" x14ac:dyDescent="0.25">
      <c r="A43" s="8" t="s">
        <v>90</v>
      </c>
      <c r="B43" s="11">
        <v>150000</v>
      </c>
      <c r="C43" s="8" t="s">
        <v>91</v>
      </c>
    </row>
    <row r="44" spans="1:7" ht="15" customHeight="1" x14ac:dyDescent="0.25">
      <c r="A44" s="8" t="s">
        <v>92</v>
      </c>
      <c r="B44" s="11">
        <v>50000</v>
      </c>
      <c r="C44" s="8" t="s">
        <v>91</v>
      </c>
      <c r="E44" s="8" t="s">
        <v>93</v>
      </c>
    </row>
    <row r="45" spans="1:7" ht="15" customHeight="1" x14ac:dyDescent="0.25">
      <c r="A45" s="8" t="s">
        <v>94</v>
      </c>
      <c r="B45" s="11">
        <v>100</v>
      </c>
      <c r="C45" s="8" t="s">
        <v>91</v>
      </c>
    </row>
    <row r="46" spans="1:7" ht="15" customHeight="1" x14ac:dyDescent="0.25">
      <c r="A46" s="8" t="s">
        <v>95</v>
      </c>
      <c r="B46" s="11">
        <v>400</v>
      </c>
      <c r="C46" s="8" t="s">
        <v>96</v>
      </c>
    </row>
    <row r="47" spans="1:7" ht="15" customHeight="1" x14ac:dyDescent="0.25">
      <c r="A47" s="8" t="s">
        <v>97</v>
      </c>
      <c r="B47" s="11">
        <v>30</v>
      </c>
      <c r="C47" s="8" t="s">
        <v>98</v>
      </c>
    </row>
    <row r="48" spans="1:7" ht="15" customHeight="1" x14ac:dyDescent="0.25">
      <c r="A48" s="6" t="s">
        <v>99</v>
      </c>
      <c r="B48" s="7"/>
      <c r="C48" s="7"/>
    </row>
    <row r="49" spans="1:3" ht="15" customHeight="1" x14ac:dyDescent="0.25">
      <c r="A49" s="8" t="s">
        <v>100</v>
      </c>
      <c r="B49" s="13" t="s">
        <v>101</v>
      </c>
      <c r="C49" s="8"/>
    </row>
    <row r="50" spans="1:3" ht="15" customHeight="1" x14ac:dyDescent="0.25">
      <c r="A50" s="8" t="s">
        <v>102</v>
      </c>
      <c r="B50" s="11">
        <v>1000</v>
      </c>
      <c r="C50" s="8" t="s">
        <v>103</v>
      </c>
    </row>
    <row r="51" spans="1:3" ht="15" customHeight="1" x14ac:dyDescent="0.25">
      <c r="A51" s="8" t="s">
        <v>104</v>
      </c>
      <c r="B51" s="12">
        <v>8</v>
      </c>
      <c r="C51" s="8" t="s">
        <v>105</v>
      </c>
    </row>
    <row r="52" spans="1:3" ht="15" customHeight="1" x14ac:dyDescent="0.25">
      <c r="A52" s="8" t="s">
        <v>106</v>
      </c>
      <c r="B52" s="12">
        <v>8</v>
      </c>
      <c r="C52" s="8" t="s">
        <v>46</v>
      </c>
    </row>
    <row r="53" spans="1:3" ht="15" customHeight="1" x14ac:dyDescent="0.25">
      <c r="A53" s="6" t="s">
        <v>107</v>
      </c>
      <c r="B53" s="7"/>
      <c r="C53" s="7"/>
    </row>
    <row r="54" spans="1:3" ht="15" customHeight="1" x14ac:dyDescent="0.25">
      <c r="A54" s="8" t="s">
        <v>108</v>
      </c>
      <c r="B54" s="21">
        <v>5</v>
      </c>
      <c r="C54" s="8" t="s">
        <v>30</v>
      </c>
    </row>
    <row r="55" spans="1:3" ht="15" customHeight="1" x14ac:dyDescent="0.25">
      <c r="A55" s="8" t="s">
        <v>109</v>
      </c>
      <c r="B55" s="21">
        <v>40</v>
      </c>
      <c r="C55" s="8" t="s">
        <v>30</v>
      </c>
    </row>
    <row r="56" spans="1:3" ht="15" customHeight="1" x14ac:dyDescent="0.25">
      <c r="A56" s="8" t="s">
        <v>110</v>
      </c>
      <c r="B56" s="21">
        <v>5</v>
      </c>
      <c r="C56" s="8" t="s">
        <v>30</v>
      </c>
    </row>
    <row r="57" spans="1:3" ht="15" customHeight="1" x14ac:dyDescent="0.25">
      <c r="A57" s="8" t="s">
        <v>111</v>
      </c>
      <c r="B57" s="16">
        <v>0.4</v>
      </c>
      <c r="C57" s="8" t="s">
        <v>112</v>
      </c>
    </row>
    <row r="58" spans="1:3" ht="15" customHeight="1" x14ac:dyDescent="0.25">
      <c r="A58" s="8" t="s">
        <v>113</v>
      </c>
      <c r="B58" s="11">
        <v>600</v>
      </c>
      <c r="C58" s="8" t="s">
        <v>114</v>
      </c>
    </row>
    <row r="59" spans="1:3" ht="15" customHeight="1" x14ac:dyDescent="0.25">
      <c r="A59" s="8" t="s">
        <v>115</v>
      </c>
      <c r="B59" s="16">
        <v>0.3</v>
      </c>
      <c r="C59" s="8"/>
    </row>
    <row r="60" spans="1:3" ht="15" customHeight="1" x14ac:dyDescent="0.25">
      <c r="A60" s="8" t="s">
        <v>116</v>
      </c>
      <c r="B60" s="13" t="s">
        <v>117</v>
      </c>
      <c r="C60" s="8"/>
    </row>
    <row r="61" spans="1:3" ht="15" customHeight="1" x14ac:dyDescent="0.25">
      <c r="A61" s="8" t="s">
        <v>118</v>
      </c>
      <c r="B61" s="21">
        <v>10</v>
      </c>
      <c r="C61" s="8" t="s">
        <v>30</v>
      </c>
    </row>
    <row r="62" spans="1:3" ht="15" customHeight="1" x14ac:dyDescent="0.25">
      <c r="A62" s="8" t="s">
        <v>119</v>
      </c>
      <c r="B62" s="21">
        <v>20</v>
      </c>
      <c r="C62" s="8" t="s">
        <v>30</v>
      </c>
    </row>
    <row r="63" spans="1:3" ht="15" customHeight="1" x14ac:dyDescent="0.25">
      <c r="A63" s="8" t="s">
        <v>120</v>
      </c>
      <c r="B63" s="21">
        <v>30</v>
      </c>
      <c r="C63" s="8" t="s">
        <v>30</v>
      </c>
    </row>
    <row r="64" spans="1:3" ht="15" customHeight="1" x14ac:dyDescent="0.25">
      <c r="A64" s="8" t="s">
        <v>121</v>
      </c>
      <c r="B64" s="21">
        <v>40</v>
      </c>
      <c r="C64" s="8" t="s">
        <v>30</v>
      </c>
    </row>
    <row r="65" spans="1:3" ht="15" customHeight="1" x14ac:dyDescent="0.25">
      <c r="A65" s="8" t="s">
        <v>122</v>
      </c>
      <c r="B65" s="21">
        <v>50</v>
      </c>
      <c r="C65" s="8" t="s">
        <v>30</v>
      </c>
    </row>
    <row r="66" spans="1:3" ht="15" customHeight="1" x14ac:dyDescent="0.25">
      <c r="A66" s="8" t="s">
        <v>123</v>
      </c>
      <c r="B66" s="21">
        <v>60</v>
      </c>
      <c r="C66" s="8" t="s">
        <v>30</v>
      </c>
    </row>
  </sheetData>
  <mergeCells count="2">
    <mergeCell ref="A2:H2"/>
    <mergeCell ref="A3:H3"/>
  </mergeCells>
  <conditionalFormatting sqref="A3">
    <cfRule type="expression" dxfId="5" priority="2">
      <formula>$A$3="Inputs OK"</formula>
    </cfRule>
  </conditionalFormatting>
  <conditionalFormatting sqref="E24">
    <cfRule type="expression" dxfId="4" priority="6">
      <formula>n_feas=0</formula>
    </cfRule>
  </conditionalFormatting>
  <conditionalFormatting sqref="F4">
    <cfRule type="expression" dxfId="3" priority="5">
      <formula>n_feas=0</formula>
    </cfRule>
  </conditionalFormatting>
  <conditionalFormatting sqref="F23:G23">
    <cfRule type="expression" dxfId="2" priority="3">
      <formula>LEFT(F23,2)="No"</formula>
    </cfRule>
    <cfRule type="expression" dxfId="1" priority="4">
      <formula>F23="Yes"</formula>
    </cfRule>
  </conditionalFormatting>
  <dataValidations count="33">
    <dataValidation type="decimal" showErrorMessage="1" errorTitle="Out of range" error="Enter a value between 100 and 100000" sqref="B6" xr:uid="{00000000-0002-0000-0000-000000000000}">
      <formula1>100</formula1>
      <formula2>100000</formula2>
    </dataValidation>
    <dataValidation type="decimal" showErrorMessage="1" errorTitle="Out of range" error="Enter a value between 1 and 48" sqref="B7" xr:uid="{00000000-0002-0000-0000-000001000000}">
      <formula1>1</formula1>
      <formula2>48</formula2>
    </dataValidation>
    <dataValidation type="decimal" showErrorMessage="1" errorTitle="Out of range" error="Enter a value between 0 and 1000" sqref="B8:B9 B47" xr:uid="{00000000-0002-0000-0000-000002000000}">
      <formula1>0</formula1>
      <formula2>1000</formula2>
    </dataValidation>
    <dataValidation type="decimal" showErrorMessage="1" errorTitle="Out of range" error="Enter a value between 1 and 24" sqref="B10:B11" xr:uid="{00000000-0002-0000-0000-000003000000}">
      <formula1>1</formula1>
      <formula2>24</formula2>
    </dataValidation>
    <dataValidation type="decimal" showErrorMessage="1" errorTitle="Out of range" error="Enter a value between 0.2 and 3" sqref="B12" xr:uid="{00000000-0002-0000-0000-000004000000}">
      <formula1>0.2</formula1>
      <formula2>3</formula2>
    </dataValidation>
    <dataValidation type="decimal" showErrorMessage="1" errorTitle="Out of range" error="Enter a value between 2 and 100" sqref="B14" xr:uid="{00000000-0002-0000-0000-000005000000}">
      <formula1>2</formula1>
      <formula2>100</formula2>
    </dataValidation>
    <dataValidation type="list" sqref="B15" xr:uid="{00000000-0002-0000-0000-000006000000}">
      <formula1>"No,Yes"</formula1>
      <formula2>0</formula2>
    </dataValidation>
    <dataValidation type="decimal" showErrorMessage="1" errorTitle="Out of range" error="Enter a value between 5 and 500" sqref="B16:B17" xr:uid="{00000000-0002-0000-0000-000007000000}">
      <formula1>5</formula1>
      <formula2>500</formula2>
    </dataValidation>
    <dataValidation type="list" sqref="B19" xr:uid="{00000000-0002-0000-0000-000008000000}">
      <formula1>"Fixed = pallets per SKU,Free (optimize N_C)"</formula1>
      <formula2>0</formula2>
    </dataValidation>
    <dataValidation type="list" sqref="B20" xr:uid="{00000000-0002-0000-0000-000009000000}">
      <formula1>"ABC,Uniform"</formula1>
      <formula2>0</formula2>
    </dataValidation>
    <dataValidation type="decimal" showErrorMessage="1" errorTitle="Out of range" error="Enter a value between 1 and 20" sqref="B21 B52" xr:uid="{00000000-0002-0000-0000-00000A000000}">
      <formula1>1</formula1>
      <formula2>20</formula2>
    </dataValidation>
    <dataValidation type="decimal" showErrorMessage="1" errorTitle="Out of range" error="Enter a value between 0 and 20" sqref="B22 B41" xr:uid="{00000000-0002-0000-0000-00000B000000}">
      <formula1>0</formula1>
      <formula2>20</formula2>
    </dataValidation>
    <dataValidation type="decimal" showErrorMessage="1" errorTitle="Out of range" error="Enter a value between 0 and 1" sqref="B23:B25 B33" xr:uid="{00000000-0002-0000-0000-00000C000000}">
      <formula1>0</formula1>
      <formula2>1</formula2>
    </dataValidation>
    <dataValidation type="decimal" showErrorMessage="1" errorTitle="Out of range" error="Enter a value between 0.5 and 2" sqref="B27:B28" xr:uid="{00000000-0002-0000-0000-00000D000000}">
      <formula1>0.5</formula1>
      <formula2>2</formula2>
    </dataValidation>
    <dataValidation type="decimal" showErrorMessage="1" errorTitle="Out of range" error="Enter a value between 1 and 3" sqref="B29" xr:uid="{00000000-0002-0000-0000-00000E000000}">
      <formula1>1</formula1>
      <formula2>3</formula2>
    </dataValidation>
    <dataValidation type="decimal" showErrorMessage="1" errorTitle="Out of range" error="Enter a value between 0.8 and 4" sqref="B30" xr:uid="{00000000-0002-0000-0000-00000F000000}">
      <formula1>0.8</formula1>
      <formula2>4</formula2>
    </dataValidation>
    <dataValidation type="decimal" showErrorMessage="1" errorTitle="Out of range" error="Enter a value between 0 and 3" sqref="B31" xr:uid="{00000000-0002-0000-0000-000010000000}">
      <formula1>0</formula1>
      <formula2>3</formula2>
    </dataValidation>
    <dataValidation type="decimal" showErrorMessage="1" errorTitle="Out of range" error="Enter a value between 0 and 5" sqref="B32 B40 B59" xr:uid="{00000000-0002-0000-0000-000011000000}">
      <formula1>0</formula1>
      <formula2>5</formula2>
    </dataValidation>
    <dataValidation type="decimal" showErrorMessage="1" errorTitle="Out of range" error="Enter a value between 0 and 10" sqref="B34" xr:uid="{00000000-0002-0000-0000-000012000000}">
      <formula1>0</formula1>
      <formula2>10</formula2>
    </dataValidation>
    <dataValidation type="decimal" showErrorMessage="1" errorTitle="Out of range" error="Enter a value between 0.3 and 1" sqref="B35" xr:uid="{00000000-0002-0000-0000-000013000000}">
      <formula1>0.3</formula1>
      <formula2>1</formula2>
    </dataValidation>
    <dataValidation type="decimal" showErrorMessage="1" errorTitle="Out of range" error="Enter a value between 0.2 and 1" sqref="B37" xr:uid="{00000000-0002-0000-0000-000014000000}">
      <formula1>0.2</formula1>
      <formula2>1</formula2>
    </dataValidation>
    <dataValidation type="decimal" showErrorMessage="1" errorTitle="Out of range" error="Enter a value between 0.2 and 1.5" sqref="B38" xr:uid="{00000000-0002-0000-0000-000015000000}">
      <formula1>0.2</formula1>
      <formula2>1.5</formula2>
    </dataValidation>
    <dataValidation type="list" sqref="B39" xr:uid="{00000000-0002-0000-0000-000016000000}">
      <formula1>"Yes,No"</formula1>
      <formula2>0</formula2>
    </dataValidation>
    <dataValidation type="decimal" showErrorMessage="1" errorTitle="Out of range" error="Enter a value between 0 and 5000000.0" sqref="B43:B44" xr:uid="{00000000-0002-0000-0000-000017000000}">
      <formula1>0</formula1>
      <formula2>5000000</formula2>
    </dataValidation>
    <dataValidation type="decimal" showErrorMessage="1" errorTitle="Out of range" error="Enter a value between 0 and 5000" sqref="B45" xr:uid="{00000000-0002-0000-0000-000018000000}">
      <formula1>0</formula1>
      <formula2>5000</formula2>
    </dataValidation>
    <dataValidation type="decimal" showErrorMessage="1" errorTitle="Out of range" error="Enter a value between 0 and 10000" sqref="B46 B58" xr:uid="{00000000-0002-0000-0000-000019000000}">
      <formula1>0</formula1>
      <formula2>10000</formula2>
    </dataValidation>
    <dataValidation type="list" sqref="B49" xr:uid="{00000000-0002-0000-0000-00001A000000}">
      <formula1>"Total cost,Shuttle cycle,Footprint"</formula1>
      <formula2>0</formula2>
    </dataValidation>
    <dataValidation type="decimal" showErrorMessage="1" errorTitle="Out of range" error="Enter a value between 50 and 1500" sqref="B50" xr:uid="{00000000-0002-0000-0000-00001B000000}">
      <formula1>50</formula1>
      <formula2>1500</formula2>
    </dataValidation>
    <dataValidation type="decimal" showErrorMessage="1" errorTitle="Out of range" error="Enter a value between 1 and 40" sqref="B51" xr:uid="{00000000-0002-0000-0000-00001C000000}">
      <formula1>1</formula1>
      <formula2>40</formula2>
    </dataValidation>
    <dataValidation type="decimal" showErrorMessage="1" errorTitle="Out of range" error="Enter a value between 0 and 500" sqref="B54:B55 B61:B66" xr:uid="{00000000-0002-0000-0000-00001D000000}">
      <formula1>0</formula1>
      <formula2>500</formula2>
    </dataValidation>
    <dataValidation type="decimal" showErrorMessage="1" errorTitle="Out of range" error="Enter a value between 0 and 100" sqref="B56" xr:uid="{00000000-0002-0000-0000-00001E000000}">
      <formula1>0</formula1>
      <formula2>100</formula2>
    </dataValidation>
    <dataValidation type="decimal" showErrorMessage="1" errorTitle="Out of range" error="Enter a value between 0.05 and 3" sqref="B57" xr:uid="{00000000-0002-0000-0000-00001F000000}">
      <formula1>0.05</formula1>
      <formula2>3</formula2>
    </dataValidation>
    <dataValidation type="list" sqref="B60" xr:uid="{00000000-0002-0000-0000-000020000000}">
      <formula1>"Equispaced,Manual"</formula1>
      <formula2>0</formula2>
    </dataValidation>
  </dataValidation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showGridLines="0" zoomScaleNormal="100" workbookViewId="0"/>
  </sheetViews>
  <sheetFormatPr defaultColWidth="8.7109375" defaultRowHeight="15" x14ac:dyDescent="0.25"/>
  <cols>
    <col min="1" max="1" width="48" customWidth="1"/>
    <col min="2" max="2" width="14" customWidth="1"/>
    <col min="3" max="3" width="8" customWidth="1"/>
    <col min="4" max="4" width="80" customWidth="1"/>
  </cols>
  <sheetData>
    <row r="1" spans="1:4" ht="18" customHeight="1" x14ac:dyDescent="0.3">
      <c r="A1" s="3" t="s">
        <v>124</v>
      </c>
    </row>
    <row r="3" spans="1:4" ht="15" customHeight="1" x14ac:dyDescent="0.25">
      <c r="A3" s="5" t="s">
        <v>125</v>
      </c>
      <c r="B3" s="5" t="s">
        <v>3</v>
      </c>
      <c r="C3" s="5" t="s">
        <v>4</v>
      </c>
      <c r="D3" s="5" t="s">
        <v>126</v>
      </c>
    </row>
    <row r="4" spans="1:4" ht="15" customHeight="1" x14ac:dyDescent="0.25">
      <c r="A4" s="8" t="s">
        <v>127</v>
      </c>
      <c r="B4" s="36">
        <v>1.4</v>
      </c>
      <c r="C4" s="8" t="s">
        <v>112</v>
      </c>
      <c r="D4" s="8"/>
    </row>
    <row r="5" spans="1:4" ht="15" customHeight="1" x14ac:dyDescent="0.25">
      <c r="A5" s="8" t="s">
        <v>128</v>
      </c>
      <c r="B5" s="36">
        <v>0.5</v>
      </c>
      <c r="C5" s="8" t="s">
        <v>129</v>
      </c>
      <c r="D5" s="8"/>
    </row>
    <row r="6" spans="1:4" ht="15" customHeight="1" x14ac:dyDescent="0.25">
      <c r="A6" s="8" t="s">
        <v>130</v>
      </c>
      <c r="B6" s="36">
        <v>4</v>
      </c>
      <c r="C6" s="8" t="s">
        <v>131</v>
      </c>
      <c r="D6" s="8"/>
    </row>
    <row r="7" spans="1:4" ht="15" customHeight="1" x14ac:dyDescent="0.25">
      <c r="A7" s="8" t="s">
        <v>132</v>
      </c>
      <c r="B7" s="36">
        <v>25</v>
      </c>
      <c r="C7" s="8" t="s">
        <v>131</v>
      </c>
      <c r="D7" s="8"/>
    </row>
    <row r="8" spans="1:4" ht="15" customHeight="1" x14ac:dyDescent="0.25">
      <c r="A8" s="8" t="s">
        <v>133</v>
      </c>
      <c r="B8" s="36">
        <v>1</v>
      </c>
      <c r="C8" s="8" t="s">
        <v>112</v>
      </c>
      <c r="D8" s="8"/>
    </row>
    <row r="9" spans="1:4" ht="15" customHeight="1" x14ac:dyDescent="0.25">
      <c r="A9" s="8" t="s">
        <v>134</v>
      </c>
      <c r="B9" s="36">
        <v>0.7</v>
      </c>
      <c r="C9" s="8" t="s">
        <v>129</v>
      </c>
      <c r="D9" s="8"/>
    </row>
    <row r="10" spans="1:4" ht="15" customHeight="1" x14ac:dyDescent="0.25">
      <c r="A10" s="8" t="s">
        <v>135</v>
      </c>
      <c r="B10" s="36">
        <v>1</v>
      </c>
      <c r="C10" s="8" t="s">
        <v>131</v>
      </c>
      <c r="D10" s="8"/>
    </row>
    <row r="11" spans="1:4" ht="15" customHeight="1" x14ac:dyDescent="0.25">
      <c r="A11" s="8" t="s">
        <v>136</v>
      </c>
      <c r="B11" s="36">
        <v>7</v>
      </c>
      <c r="C11" s="8" t="s">
        <v>131</v>
      </c>
      <c r="D11" s="8"/>
    </row>
    <row r="12" spans="1:4" ht="15" customHeight="1" x14ac:dyDescent="0.25">
      <c r="A12" s="8" t="s">
        <v>137</v>
      </c>
      <c r="B12" s="36">
        <v>25</v>
      </c>
      <c r="C12" s="8" t="s">
        <v>131</v>
      </c>
      <c r="D12" s="8"/>
    </row>
    <row r="13" spans="1:4" ht="15" customHeight="1" x14ac:dyDescent="0.25">
      <c r="A13" s="8" t="s">
        <v>138</v>
      </c>
      <c r="B13" s="36" t="s">
        <v>139</v>
      </c>
      <c r="C13" s="8"/>
      <c r="D13" s="8" t="s">
        <v>140</v>
      </c>
    </row>
    <row r="14" spans="1:4" ht="15" customHeight="1" x14ac:dyDescent="0.25">
      <c r="A14" s="8" t="s">
        <v>141</v>
      </c>
      <c r="B14" s="8">
        <f>IF(lift_iface="Chain",t_ch,t_lift_sh)</f>
        <v>25</v>
      </c>
    </row>
    <row r="16" spans="1:4" ht="15" customHeight="1" x14ac:dyDescent="0.25">
      <c r="A16" s="8" t="s">
        <v>142</v>
      </c>
    </row>
    <row r="18" spans="1:4" ht="15" customHeight="1" x14ac:dyDescent="0.25">
      <c r="A18" s="28" t="s">
        <v>143</v>
      </c>
    </row>
    <row r="19" spans="1:4" ht="15" customHeight="1" x14ac:dyDescent="0.25">
      <c r="A19" s="8" t="s">
        <v>144</v>
      </c>
      <c r="B19" s="37">
        <f>(lam_in+lam_out)*peak_factor</f>
        <v>100</v>
      </c>
      <c r="C19" s="8" t="s">
        <v>145</v>
      </c>
    </row>
    <row r="20" spans="1:4" ht="15" customHeight="1" x14ac:dyDescent="0.25">
      <c r="A20" s="8" t="s">
        <v>146</v>
      </c>
      <c r="B20" s="37">
        <f>lam_in*hours_in+lam_out*hours_out</f>
        <v>1920</v>
      </c>
      <c r="C20" s="8" t="s">
        <v>147</v>
      </c>
    </row>
    <row r="21" spans="1:4" ht="15" customHeight="1" x14ac:dyDescent="0.25">
      <c r="A21" s="8" t="s">
        <v>148</v>
      </c>
      <c r="B21" s="37">
        <f>cap_req/fill</f>
        <v>4705.8823529411766</v>
      </c>
      <c r="C21" s="8" t="s">
        <v>10</v>
      </c>
    </row>
    <row r="23" spans="1:4" ht="15" customHeight="1" x14ac:dyDescent="0.25">
      <c r="A23" s="8" t="s">
        <v>149</v>
      </c>
      <c r="B23" s="36">
        <v>1.5</v>
      </c>
      <c r="C23" s="8" t="s">
        <v>150</v>
      </c>
      <c r="D23" s="8" t="s">
        <v>151</v>
      </c>
    </row>
  </sheetData>
  <dataValidations count="1">
    <dataValidation type="list" sqref="B13" xr:uid="{00000000-0002-0000-0100-000000000000}">
      <formula1>"Shuttle,Chain"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6"/>
  <sheetViews>
    <sheetView showGridLines="0" topLeftCell="A3" zoomScaleNormal="100" workbookViewId="0"/>
  </sheetViews>
  <sheetFormatPr defaultColWidth="8.7109375" defaultRowHeight="15" x14ac:dyDescent="0.25"/>
  <cols>
    <col min="1" max="1" width="150" customWidth="1"/>
  </cols>
  <sheetData>
    <row r="1" spans="1:1" ht="18" customHeight="1" x14ac:dyDescent="0.3">
      <c r="A1" s="3" t="s">
        <v>152</v>
      </c>
    </row>
    <row r="3" spans="1:1" ht="15" customHeight="1" x14ac:dyDescent="0.25">
      <c r="A3" s="38" t="s">
        <v>153</v>
      </c>
    </row>
    <row r="4" spans="1:1" ht="23.25" customHeight="1" x14ac:dyDescent="0.25">
      <c r="A4" s="4" t="s">
        <v>154</v>
      </c>
    </row>
    <row r="5" spans="1:1" ht="15" customHeight="1" x14ac:dyDescent="0.25">
      <c r="A5" s="4"/>
    </row>
    <row r="6" spans="1:1" ht="15" customHeight="1" x14ac:dyDescent="0.25">
      <c r="A6" s="38" t="s">
        <v>155</v>
      </c>
    </row>
    <row r="7" spans="1:1" ht="15" customHeight="1" x14ac:dyDescent="0.25">
      <c r="A7" s="4" t="s">
        <v>156</v>
      </c>
    </row>
    <row r="8" spans="1:1" ht="15" customHeight="1" x14ac:dyDescent="0.25">
      <c r="A8" s="4"/>
    </row>
    <row r="9" spans="1:1" ht="15" customHeight="1" x14ac:dyDescent="0.25">
      <c r="A9" s="38" t="s">
        <v>157</v>
      </c>
    </row>
    <row r="10" spans="1:1" ht="15" customHeight="1" x14ac:dyDescent="0.25">
      <c r="A10" s="4" t="s">
        <v>158</v>
      </c>
    </row>
    <row r="11" spans="1:1" ht="15" customHeight="1" x14ac:dyDescent="0.25">
      <c r="A11" s="4" t="s">
        <v>159</v>
      </c>
    </row>
    <row r="12" spans="1:1" ht="15" customHeight="1" x14ac:dyDescent="0.25">
      <c r="A12" s="4" t="s">
        <v>160</v>
      </c>
    </row>
    <row r="13" spans="1:1" ht="15" customHeight="1" x14ac:dyDescent="0.25">
      <c r="A13" s="4" t="s">
        <v>161</v>
      </c>
    </row>
    <row r="14" spans="1:1" ht="15" customHeight="1" x14ac:dyDescent="0.25">
      <c r="A14" s="4" t="s">
        <v>162</v>
      </c>
    </row>
    <row r="15" spans="1:1" ht="15" customHeight="1" x14ac:dyDescent="0.25">
      <c r="A15" s="4" t="s">
        <v>163</v>
      </c>
    </row>
    <row r="16" spans="1:1" ht="15" customHeight="1" x14ac:dyDescent="0.25">
      <c r="A16" s="4"/>
    </row>
    <row r="17" spans="1:1" ht="15" customHeight="1" x14ac:dyDescent="0.25">
      <c r="A17" s="38" t="s">
        <v>164</v>
      </c>
    </row>
    <row r="18" spans="1:1" ht="23.25" customHeight="1" x14ac:dyDescent="0.25">
      <c r="A18" s="4" t="s">
        <v>165</v>
      </c>
    </row>
    <row r="19" spans="1:1" ht="15" customHeight="1" x14ac:dyDescent="0.25">
      <c r="A19" s="4" t="s">
        <v>166</v>
      </c>
    </row>
    <row r="20" spans="1:1" ht="15" customHeight="1" x14ac:dyDescent="0.25">
      <c r="A20" s="4" t="s">
        <v>167</v>
      </c>
    </row>
    <row r="21" spans="1:1" ht="15" customHeight="1" x14ac:dyDescent="0.25">
      <c r="A21" s="4"/>
    </row>
    <row r="22" spans="1:1" ht="15" customHeight="1" x14ac:dyDescent="0.25">
      <c r="A22" s="38" t="s">
        <v>168</v>
      </c>
    </row>
    <row r="23" spans="1:1" ht="23.25" customHeight="1" x14ac:dyDescent="0.25">
      <c r="A23" s="4" t="s">
        <v>169</v>
      </c>
    </row>
    <row r="24" spans="1:1" ht="15" customHeight="1" x14ac:dyDescent="0.25">
      <c r="A24" s="4"/>
    </row>
    <row r="25" spans="1:1" ht="15" customHeight="1" x14ac:dyDescent="0.25">
      <c r="A25" s="38" t="s">
        <v>170</v>
      </c>
    </row>
    <row r="26" spans="1:1" ht="15" customHeight="1" x14ac:dyDescent="0.25">
      <c r="A26" s="4" t="s">
        <v>171</v>
      </c>
    </row>
    <row r="28" spans="1:1" ht="15" customHeight="1" x14ac:dyDescent="0.25">
      <c r="A28" s="38" t="s">
        <v>172</v>
      </c>
    </row>
    <row r="29" spans="1:1" ht="23.25" customHeight="1" x14ac:dyDescent="0.25">
      <c r="A29" s="4" t="s">
        <v>173</v>
      </c>
    </row>
    <row r="30" spans="1:1" ht="23.25" customHeight="1" x14ac:dyDescent="0.25">
      <c r="A30" s="4" t="s">
        <v>174</v>
      </c>
    </row>
    <row r="32" spans="1:1" x14ac:dyDescent="0.25">
      <c r="A32" s="38" t="s">
        <v>175</v>
      </c>
    </row>
    <row r="33" spans="1:1" ht="25.5" x14ac:dyDescent="0.25">
      <c r="A33" s="4" t="s">
        <v>176</v>
      </c>
    </row>
    <row r="34" spans="1:1" ht="25.5" x14ac:dyDescent="0.25">
      <c r="A34" s="4" t="s">
        <v>177</v>
      </c>
    </row>
    <row r="35" spans="1:1" ht="25.5" x14ac:dyDescent="0.25">
      <c r="A35" s="4" t="s">
        <v>178</v>
      </c>
    </row>
    <row r="36" spans="1:1" x14ac:dyDescent="0.25">
      <c r="A36" s="4" t="s">
        <v>179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227"/>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5" x14ac:dyDescent="0.25"/>
  <cols>
    <col min="1" max="1" width="34" customWidth="1"/>
    <col min="2" max="34" width="12" customWidth="1"/>
    <col min="35" max="35" width="16" customWidth="1"/>
  </cols>
  <sheetData>
    <row r="1" spans="1:47" ht="18" customHeight="1" x14ac:dyDescent="0.3">
      <c r="A1" s="3" t="s">
        <v>180</v>
      </c>
    </row>
    <row r="2" spans="1:47" ht="15" customHeight="1" x14ac:dyDescent="0.25">
      <c r="A2" s="8" t="s">
        <v>181</v>
      </c>
      <c r="B2" s="39">
        <v>2</v>
      </c>
      <c r="C2" s="39">
        <v>3</v>
      </c>
      <c r="D2" s="39">
        <v>4</v>
      </c>
      <c r="E2" s="39">
        <v>5</v>
      </c>
      <c r="F2" s="39">
        <v>6</v>
      </c>
      <c r="G2" s="39">
        <v>8</v>
      </c>
      <c r="H2" s="39">
        <v>10</v>
      </c>
      <c r="I2" s="39">
        <v>12</v>
      </c>
      <c r="J2" s="39">
        <v>16</v>
      </c>
      <c r="K2" s="39">
        <v>20</v>
      </c>
      <c r="L2" s="39">
        <v>24</v>
      </c>
    </row>
    <row r="3" spans="1:47" ht="15" customHeight="1" x14ac:dyDescent="0.25">
      <c r="A3" s="28" t="s">
        <v>182</v>
      </c>
      <c r="B3" s="36">
        <f t="shared" ref="B3:L3" si="0">IF(lane_policy="Free (optimize N_C)",B2,sku_pal)</f>
        <v>6</v>
      </c>
      <c r="C3" s="36">
        <f t="shared" si="0"/>
        <v>6</v>
      </c>
      <c r="D3" s="36">
        <f t="shared" si="0"/>
        <v>6</v>
      </c>
      <c r="E3" s="36">
        <f t="shared" si="0"/>
        <v>6</v>
      </c>
      <c r="F3" s="36">
        <f t="shared" si="0"/>
        <v>6</v>
      </c>
      <c r="G3" s="36">
        <f t="shared" si="0"/>
        <v>6</v>
      </c>
      <c r="H3" s="36">
        <f t="shared" si="0"/>
        <v>6</v>
      </c>
      <c r="I3" s="36">
        <f t="shared" si="0"/>
        <v>6</v>
      </c>
      <c r="J3" s="36">
        <f t="shared" si="0"/>
        <v>6</v>
      </c>
      <c r="K3" s="36">
        <f t="shared" si="0"/>
        <v>6</v>
      </c>
      <c r="L3" s="36">
        <f t="shared" si="0"/>
        <v>6</v>
      </c>
    </row>
    <row r="4" spans="1:47" ht="15" customHeight="1" x14ac:dyDescent="0.25">
      <c r="A4" s="28" t="s">
        <v>183</v>
      </c>
      <c r="B4" s="40">
        <f>MIN(AG8:AG227)</f>
        <v>2237851.0015664957</v>
      </c>
      <c r="D4">
        <f>IF(F4&gt;0,MATCH(B4,AG8:AG227,0),MATCH(MIN(AI8:AI227),AI8:AI227,0))</f>
        <v>7</v>
      </c>
      <c r="F4">
        <f>COUNTIF(AE8:AE227,1)</f>
        <v>3</v>
      </c>
    </row>
    <row r="5" spans="1:47" ht="15" customHeight="1" x14ac:dyDescent="0.25">
      <c r="AJ5" s="28" t="s">
        <v>184</v>
      </c>
    </row>
    <row r="6" spans="1:47" ht="43.5" customHeight="1" x14ac:dyDescent="0.25">
      <c r="A6" s="5" t="s">
        <v>185</v>
      </c>
      <c r="B6" s="5" t="s">
        <v>56</v>
      </c>
      <c r="C6" s="5" t="s">
        <v>57</v>
      </c>
      <c r="D6" s="5" t="s">
        <v>186</v>
      </c>
      <c r="E6" s="5" t="s">
        <v>187</v>
      </c>
      <c r="F6" s="5" t="s">
        <v>188</v>
      </c>
      <c r="G6" s="5" t="s">
        <v>189</v>
      </c>
      <c r="H6" s="5" t="s">
        <v>190</v>
      </c>
      <c r="I6" s="5" t="s">
        <v>191</v>
      </c>
      <c r="J6" s="5" t="s">
        <v>21</v>
      </c>
      <c r="K6" s="5" t="s">
        <v>23</v>
      </c>
      <c r="L6" s="5" t="s">
        <v>192</v>
      </c>
      <c r="M6" s="5" t="s">
        <v>193</v>
      </c>
      <c r="N6" s="5" t="s">
        <v>194</v>
      </c>
      <c r="O6" s="5" t="s">
        <v>36</v>
      </c>
      <c r="P6" s="5" t="s">
        <v>195</v>
      </c>
      <c r="Q6" s="5" t="s">
        <v>196</v>
      </c>
      <c r="R6" s="5" t="s">
        <v>28</v>
      </c>
      <c r="S6" s="5" t="s">
        <v>31</v>
      </c>
      <c r="T6" s="5" t="s">
        <v>34</v>
      </c>
      <c r="U6" s="5" t="s">
        <v>197</v>
      </c>
      <c r="V6" s="5" t="s">
        <v>198</v>
      </c>
      <c r="W6" s="5" t="s">
        <v>199</v>
      </c>
      <c r="X6" s="5" t="s">
        <v>200</v>
      </c>
      <c r="Y6" s="5" t="s">
        <v>201</v>
      </c>
      <c r="Z6" s="5" t="s">
        <v>47</v>
      </c>
      <c r="AA6" s="5" t="s">
        <v>26</v>
      </c>
      <c r="AB6" s="5" t="s">
        <v>202</v>
      </c>
      <c r="AC6" s="5" t="s">
        <v>203</v>
      </c>
      <c r="AD6" s="5" t="s">
        <v>44</v>
      </c>
      <c r="AE6" s="5" t="s">
        <v>204</v>
      </c>
      <c r="AF6" s="5" t="s">
        <v>100</v>
      </c>
      <c r="AG6" s="5" t="s">
        <v>205</v>
      </c>
      <c r="AH6" s="5" t="s">
        <v>206</v>
      </c>
      <c r="AI6" s="5" t="s">
        <v>207</v>
      </c>
      <c r="AJ6" s="5" t="s">
        <v>208</v>
      </c>
      <c r="AK6" s="5">
        <f t="shared" ref="AK6:AU6" si="1">B3</f>
        <v>6</v>
      </c>
      <c r="AL6" s="5">
        <f t="shared" si="1"/>
        <v>6</v>
      </c>
      <c r="AM6" s="5">
        <f t="shared" si="1"/>
        <v>6</v>
      </c>
      <c r="AN6" s="5">
        <f t="shared" si="1"/>
        <v>6</v>
      </c>
      <c r="AO6" s="5">
        <f t="shared" si="1"/>
        <v>6</v>
      </c>
      <c r="AP6" s="5">
        <f t="shared" si="1"/>
        <v>6</v>
      </c>
      <c r="AQ6" s="5">
        <f t="shared" si="1"/>
        <v>6</v>
      </c>
      <c r="AR6" s="5">
        <f t="shared" si="1"/>
        <v>6</v>
      </c>
      <c r="AS6" s="5">
        <f t="shared" si="1"/>
        <v>6</v>
      </c>
      <c r="AT6" s="5">
        <f t="shared" si="1"/>
        <v>6</v>
      </c>
      <c r="AU6" s="5">
        <f t="shared" si="1"/>
        <v>6</v>
      </c>
    </row>
    <row r="7" spans="1:47" ht="15" customHeight="1" x14ac:dyDescent="0.25">
      <c r="A7" s="41">
        <v>0</v>
      </c>
      <c r="B7" s="42">
        <f>NC_man</f>
        <v>8</v>
      </c>
      <c r="C7" s="42">
        <f>NT_man</f>
        <v>8</v>
      </c>
      <c r="D7" s="43">
        <f t="shared" ref="D7:D70" si="2">INDEX(Tc_pl,C7)</f>
        <v>0.60000000000000009</v>
      </c>
      <c r="E7" s="44">
        <f t="shared" ref="E7:E70" si="3">INDEX(Tc_S,C7)</f>
        <v>45.0988095238095</v>
      </c>
      <c r="F7" s="45">
        <f t="shared" ref="F7:F70" si="4">lam_total*D7*E7/3600</f>
        <v>0.75164682539682504</v>
      </c>
      <c r="G7" s="41">
        <f t="shared" ref="G7:G70" si="5">IF(F7&lt;=0.000000000001,0,MAX(ROUNDUP(F7/rho_max-0.000000001,0),IF(redund="Yes",ROUNDUP(F7/rho_fail-0.000000001,0)+1,0)))</f>
        <v>2</v>
      </c>
      <c r="H7" s="41">
        <f t="shared" ref="H7:H70" si="6">MAX(1,ROUNDUP((P_req/(B7*C7)+G7*lpl)/2-0.000000001,0))</f>
        <v>40</v>
      </c>
      <c r="I7" s="44">
        <f t="shared" ref="I7:I70" si="7">H7*u_w</f>
        <v>40</v>
      </c>
      <c r="J7" s="44">
        <f t="shared" ref="J7:J70" si="8">2*B7*u_d+aisle_w</f>
        <v>22.1</v>
      </c>
      <c r="K7" s="44">
        <f t="shared" ref="K7:K70" si="9">C7*u_h</f>
        <v>17.2</v>
      </c>
      <c r="L7" s="44">
        <f t="shared" ref="L7:L70" si="10">IF(G7=0,I7,I7/(2*G7))</f>
        <v>10</v>
      </c>
      <c r="M7" s="45">
        <f t="shared" ref="M7:M70" si="11">((IF((lane_off+(L7))&lt;=(v_sh^2/a_sh),(4/3)*(lane_off+(L7))^1.5/SQRT(a_sh),(4/3)*(v_sh^2/a_sh)^1.5/SQRT(a_sh)+((lane_off+(L7))^2-(v_sh^2/a_sh)^2)/(2*v_sh)+(v_sh/a_sh)*((lane_off+(L7))-(v_sh^2/a_sh))))-(IF((lane_off)&lt;=(v_sh^2/a_sh),(4/3)*(lane_off)^1.5/SQRT(a_sh),(4/3)*(v_sh^2/a_sh)^1.5/SQRT(a_sh)+((lane_off)^2-(v_sh^2/a_sh)^2)/(2*v_sh)+(v_sh/a_sh)*((lane_off)-(v_sh^2/a_sh)))))/(L7)</f>
        <v>7.2619322075827926</v>
      </c>
      <c r="N7" s="45">
        <f t="shared" ref="N7:N70" si="12">IF(((B7-1)*u_d/2*(1+f_hc)+lane_off)&lt;=0,0,IF(((B7-1)*u_d/2*(1+f_hc)+lane_off)&gt;=v_sh^2/a_sh,((B7-1)*u_d/2*(1+f_hc)+lane_off)/v_sh+v_sh/a_sh,2*SQRT(((B7-1)*u_d/2*(1+f_hc)+lane_off)/a_sh)))</f>
        <v>7.6285714285714281</v>
      </c>
      <c r="O7" s="44">
        <f t="shared" ref="O7:O70" si="13">2*t_sh+2*t_turn+2*M7+2*N7</f>
        <v>87.781007272308443</v>
      </c>
      <c r="P7" s="44">
        <f t="shared" ref="P7:P70" si="14">SUMPRODUCT((Tc_idx&lt;=C7)*(ROUNDUP(lam_total*INDEX(Tc_P,C7,0)*O7/(3600*rho_max)-0.000000001,0)+(ROUNDUP(lam_total*INDEX(Tc_P,C7,0)*O7/(3600*rho_max)-0.000000001,0)&lt;min_sh)*(min_sh-ROUNDUP(lam_total*INDEX(Tc_P,C7,0)*O7/(3600*rho_max)-0.000000001,0))))</f>
        <v>10</v>
      </c>
      <c r="Q7" s="41">
        <f t="shared" ref="Q7:Q70" si="15">ROUNDUP(P7-0.000000001,0)+spares</f>
        <v>12</v>
      </c>
      <c r="R7" s="46">
        <f t="shared" ref="R7:R70" si="16">B7*C7*(2*H7-G7*lpl)</f>
        <v>4736</v>
      </c>
      <c r="S7" s="46">
        <f t="shared" ref="S7:S70" si="17">R7*fill</f>
        <v>4025.6</v>
      </c>
      <c r="T7" s="46">
        <f t="shared" ref="T7:T70" si="18">I7*J7</f>
        <v>884</v>
      </c>
      <c r="U7" s="46">
        <f t="shared" ref="U7:U70" si="19">T7*(K7+headroom)</f>
        <v>16530.8</v>
      </c>
      <c r="V7" s="46">
        <f t="shared" ref="V7:V70" si="20">G7*c_lift</f>
        <v>300000</v>
      </c>
      <c r="W7" s="46">
        <f t="shared" ref="W7:W70" si="21">Q7*c_shut</f>
        <v>600000</v>
      </c>
      <c r="X7" s="46">
        <f t="shared" ref="X7:X70" si="22">R7*c_pos</f>
        <v>473600</v>
      </c>
      <c r="Y7" s="46">
        <f t="shared" ref="Y7:Y70" si="23">T7*c_m2+U7*c_m3</f>
        <v>849524</v>
      </c>
      <c r="Z7" s="46">
        <f t="shared" ref="Z7:Z70" si="24">SUM(V7:Y7)</f>
        <v>2223124</v>
      </c>
      <c r="AA7" s="45">
        <f t="shared" ref="AA7:AA70" si="25">B7*u_d/(H7*u_w)</f>
        <v>0.26</v>
      </c>
      <c r="AB7" s="43">
        <f t="shared" ref="AB7:AB70" si="26">IF(G7=0,0,F7/G7)</f>
        <v>0.37582341269841252</v>
      </c>
      <c r="AC7" s="43">
        <f t="shared" ref="AC7:AC70" si="27">IF(G7&gt;1,F7/(G7-1),"n/a")</f>
        <v>0.75164682539682504</v>
      </c>
      <c r="AD7" s="44">
        <f t="shared" ref="AD7:AD70" si="28">moves_day*m_pallet*9.81*INDEX(Tc_mh,C7)/3600000</f>
        <v>12.936119999999995</v>
      </c>
      <c r="AE7" s="41">
        <f t="shared" ref="AE7:AE70" si="29">IF(AND(K7&lt;=H_max,H7&lt;=300,G7&lt;=6,NOT(AND(env_use="Yes",NOT(OR(AND(I7&lt;=L_bldg,J7&lt;=W_bldg),AND(I7&lt;=W_bldg,J7&lt;=L_bldg))))),OR(lane_policy="Free (optimize N_C)",AND(B7=sku_pal,A7&lt;=20))),1,0)</f>
        <v>0</v>
      </c>
      <c r="AF7" s="47">
        <f t="shared" ref="AF7:AF70" si="30">IF(obj_mode="Total cost",Z7,IF(obj_mode="Shuttle cycle",O7,T7))</f>
        <v>2223124</v>
      </c>
      <c r="AG7" s="41"/>
      <c r="AH7" s="41" t="str">
        <f t="shared" ref="AH7:AH70" si="31">IF(AE7=1,"",TRIM(IF(K7&gt;H_max,"height ","")&amp;IF(AND(env_use="Yes",NOT(OR(AND(I7&lt;=L_bldg,J7&lt;=W_bldg),AND(I7&lt;=W_bldg,J7&lt;=L_bldg)))),"footprint ","")&amp;IF(H7&gt;300,"lanes&gt;300 ","")&amp;IF(G7&gt;6,"lifts&gt;6 ","")&amp;IF(AND(lane_policy&lt;&gt;"Free (optimize N_C)",B7&lt;&gt;sku_pal),"lane policy ","")&amp;IF(AND(lane_policy&lt;&gt;"Free (optimize N_C)",B7=sku_pal,A7&gt;20),"duplicate","")))</f>
        <v>lane policy</v>
      </c>
      <c r="AJ7" s="8">
        <v>1</v>
      </c>
      <c r="AK7" s="48" t="e">
        <f t="shared" ref="AK7:AK26" si="32">IF(AE8=1,AF8,NA())</f>
        <v>#N/A</v>
      </c>
      <c r="AL7" s="48" t="e">
        <f t="shared" ref="AL7:AL26" si="33">IF(AE28=1,AF28,NA())</f>
        <v>#N/A</v>
      </c>
      <c r="AM7" s="48" t="e">
        <f t="shared" ref="AM7:AM26" si="34">IF(AE48=1,AF48,NA())</f>
        <v>#N/A</v>
      </c>
      <c r="AN7" s="48" t="e">
        <f t="shared" ref="AN7:AN26" si="35">IF(AE68=1,AF68,NA())</f>
        <v>#N/A</v>
      </c>
      <c r="AO7" s="48" t="e">
        <f t="shared" ref="AO7:AO26" si="36">IF(AE88=1,AF88,NA())</f>
        <v>#N/A</v>
      </c>
      <c r="AP7" s="48" t="e">
        <f t="shared" ref="AP7:AP26" si="37">IF(AE108=1,AF108,NA())</f>
        <v>#N/A</v>
      </c>
      <c r="AQ7" s="48" t="e">
        <f t="shared" ref="AQ7:AQ26" si="38">IF(AE128=1,AF128,NA())</f>
        <v>#N/A</v>
      </c>
      <c r="AR7" s="48" t="e">
        <f t="shared" ref="AR7:AR26" si="39">IF(AE148=1,AF148,NA())</f>
        <v>#N/A</v>
      </c>
      <c r="AS7" s="48" t="e">
        <f t="shared" ref="AS7:AS26" si="40">IF(AE168=1,AF168,NA())</f>
        <v>#N/A</v>
      </c>
      <c r="AT7" s="48" t="e">
        <f t="shared" ref="AT7:AT26" si="41">IF(AE188=1,AF188,NA())</f>
        <v>#N/A</v>
      </c>
      <c r="AU7" s="48" t="e">
        <f t="shared" ref="AU7:AU26" si="42">IF(AE208=1,AF208,NA())</f>
        <v>#N/A</v>
      </c>
    </row>
    <row r="8" spans="1:47" ht="15" customHeight="1" x14ac:dyDescent="0.25">
      <c r="A8" s="8">
        <v>1</v>
      </c>
      <c r="B8" s="8">
        <f t="shared" ref="B8:B27" si="43">$B$3</f>
        <v>6</v>
      </c>
      <c r="C8" s="8">
        <v>1</v>
      </c>
      <c r="D8" s="49">
        <f t="shared" si="2"/>
        <v>0</v>
      </c>
      <c r="E8" s="50">
        <f t="shared" si="3"/>
        <v>0</v>
      </c>
      <c r="F8" s="37">
        <f t="shared" si="4"/>
        <v>0</v>
      </c>
      <c r="G8" s="8">
        <f t="shared" si="5"/>
        <v>0</v>
      </c>
      <c r="H8" s="8">
        <f t="shared" si="6"/>
        <v>393</v>
      </c>
      <c r="I8" s="50">
        <f t="shared" si="7"/>
        <v>393</v>
      </c>
      <c r="J8" s="50">
        <f t="shared" si="8"/>
        <v>16.900000000000002</v>
      </c>
      <c r="K8" s="50">
        <f t="shared" si="9"/>
        <v>2.15</v>
      </c>
      <c r="L8" s="50">
        <f t="shared" si="10"/>
        <v>393</v>
      </c>
      <c r="M8" s="37">
        <f t="shared" si="11"/>
        <v>144.0847456395968</v>
      </c>
      <c r="N8" s="37">
        <f t="shared" si="12"/>
        <v>6.5142857142857142</v>
      </c>
      <c r="O8" s="50">
        <f t="shared" si="13"/>
        <v>359.19806270776502</v>
      </c>
      <c r="P8" s="50">
        <f t="shared" si="14"/>
        <v>14</v>
      </c>
      <c r="Q8" s="8">
        <f t="shared" si="15"/>
        <v>16</v>
      </c>
      <c r="R8" s="48">
        <f t="shared" si="16"/>
        <v>4716</v>
      </c>
      <c r="S8" s="48">
        <f t="shared" si="17"/>
        <v>4008.6</v>
      </c>
      <c r="T8" s="48">
        <f t="shared" si="18"/>
        <v>6641.7000000000007</v>
      </c>
      <c r="U8" s="48">
        <f t="shared" si="19"/>
        <v>24242.205000000002</v>
      </c>
      <c r="V8" s="48">
        <f t="shared" si="20"/>
        <v>0</v>
      </c>
      <c r="W8" s="48">
        <f t="shared" si="21"/>
        <v>800000</v>
      </c>
      <c r="X8" s="48">
        <f t="shared" si="22"/>
        <v>471600</v>
      </c>
      <c r="Y8" s="48">
        <f t="shared" si="23"/>
        <v>3383946.1500000004</v>
      </c>
      <c r="Z8" s="48">
        <f t="shared" si="24"/>
        <v>4655546.1500000004</v>
      </c>
      <c r="AA8" s="37">
        <f t="shared" si="25"/>
        <v>1.984732824427481E-2</v>
      </c>
      <c r="AB8" s="49">
        <f t="shared" si="26"/>
        <v>0</v>
      </c>
      <c r="AC8" s="49" t="str">
        <f t="shared" si="27"/>
        <v>n/a</v>
      </c>
      <c r="AD8" s="50">
        <f t="shared" si="28"/>
        <v>0</v>
      </c>
      <c r="AE8" s="8">
        <f t="shared" si="29"/>
        <v>0</v>
      </c>
      <c r="AF8" s="51">
        <f t="shared" si="30"/>
        <v>4655546.1500000004</v>
      </c>
      <c r="AG8" s="8">
        <f t="shared" ref="AG8:AG71" si="44">IF(AE8=1,AF8*(1+A8*0.0000000001),1E+99)</f>
        <v>9.9999999999999997E+98</v>
      </c>
      <c r="AH8" s="8" t="str">
        <f t="shared" si="31"/>
        <v>footprint lanes&gt;300</v>
      </c>
      <c r="AI8" s="52">
        <f t="shared" ref="AI8:AI71" si="45">(MAX(0,K8/H_max-1)+IF(env_use="Yes",MIN(MAX(0,I8/L_bldg-1)+MAX(0,J8/W_bldg-1),MAX(0,I8/W_bldg-1)+MAX(0,J8/L_bldg-1)),0)+MAX(0,H8/300-1)+MAX(0,G8/6-1)+IF(AND(lane_policy&lt;&gt;"Free (optimize N_C)",B8&lt;&gt;sku_pal),1000,0))*1000000000000000+AF8*(1+A8*0.0000000001)</f>
        <v>5860000004655545</v>
      </c>
      <c r="AJ8" s="8">
        <v>2</v>
      </c>
      <c r="AK8" s="48" t="e">
        <f t="shared" si="32"/>
        <v>#N/A</v>
      </c>
      <c r="AL8" s="48" t="e">
        <f t="shared" si="33"/>
        <v>#N/A</v>
      </c>
      <c r="AM8" s="48" t="e">
        <f t="shared" si="34"/>
        <v>#N/A</v>
      </c>
      <c r="AN8" s="48" t="e">
        <f t="shared" si="35"/>
        <v>#N/A</v>
      </c>
      <c r="AO8" s="48" t="e">
        <f t="shared" si="36"/>
        <v>#N/A</v>
      </c>
      <c r="AP8" s="48" t="e">
        <f t="shared" si="37"/>
        <v>#N/A</v>
      </c>
      <c r="AQ8" s="48" t="e">
        <f t="shared" si="38"/>
        <v>#N/A</v>
      </c>
      <c r="AR8" s="48" t="e">
        <f t="shared" si="39"/>
        <v>#N/A</v>
      </c>
      <c r="AS8" s="48" t="e">
        <f t="shared" si="40"/>
        <v>#N/A</v>
      </c>
      <c r="AT8" s="48" t="e">
        <f t="shared" si="41"/>
        <v>#N/A</v>
      </c>
      <c r="AU8" s="48" t="e">
        <f t="shared" si="42"/>
        <v>#N/A</v>
      </c>
    </row>
    <row r="9" spans="1:47" ht="15" customHeight="1" x14ac:dyDescent="0.25">
      <c r="A9" s="8">
        <v>2</v>
      </c>
      <c r="B9" s="8">
        <f t="shared" si="43"/>
        <v>6</v>
      </c>
      <c r="C9" s="8">
        <v>2</v>
      </c>
      <c r="D9" s="49">
        <f t="shared" si="2"/>
        <v>0.5</v>
      </c>
      <c r="E9" s="50">
        <f t="shared" si="3"/>
        <v>41.157142857142851</v>
      </c>
      <c r="F9" s="37">
        <f t="shared" si="4"/>
        <v>0.57162698412698409</v>
      </c>
      <c r="G9" s="8">
        <f t="shared" si="5"/>
        <v>2</v>
      </c>
      <c r="H9" s="8">
        <f t="shared" si="6"/>
        <v>200</v>
      </c>
      <c r="I9" s="50">
        <f t="shared" si="7"/>
        <v>200</v>
      </c>
      <c r="J9" s="50">
        <f t="shared" si="8"/>
        <v>16.900000000000002</v>
      </c>
      <c r="K9" s="50">
        <f t="shared" si="9"/>
        <v>4.3</v>
      </c>
      <c r="L9" s="50">
        <f t="shared" si="10"/>
        <v>50</v>
      </c>
      <c r="M9" s="37">
        <f t="shared" si="11"/>
        <v>21.57810072723084</v>
      </c>
      <c r="N9" s="37">
        <f t="shared" si="12"/>
        <v>6.5142857142857142</v>
      </c>
      <c r="O9" s="50">
        <f t="shared" si="13"/>
        <v>114.18477288303311</v>
      </c>
      <c r="P9" s="50">
        <f t="shared" si="14"/>
        <v>6</v>
      </c>
      <c r="Q9" s="8">
        <f t="shared" si="15"/>
        <v>8</v>
      </c>
      <c r="R9" s="48">
        <f t="shared" si="16"/>
        <v>4728</v>
      </c>
      <c r="S9" s="48">
        <f t="shared" si="17"/>
        <v>4018.7999999999997</v>
      </c>
      <c r="T9" s="48">
        <f t="shared" si="18"/>
        <v>3380.0000000000005</v>
      </c>
      <c r="U9" s="48">
        <f t="shared" si="19"/>
        <v>19604.000000000004</v>
      </c>
      <c r="V9" s="48">
        <f t="shared" si="20"/>
        <v>300000</v>
      </c>
      <c r="W9" s="48">
        <f t="shared" si="21"/>
        <v>400000</v>
      </c>
      <c r="X9" s="48">
        <f t="shared" si="22"/>
        <v>472800</v>
      </c>
      <c r="Y9" s="48">
        <f t="shared" si="23"/>
        <v>1940120.0000000005</v>
      </c>
      <c r="Z9" s="48">
        <f t="shared" si="24"/>
        <v>3112920.0000000005</v>
      </c>
      <c r="AA9" s="37">
        <f t="shared" si="25"/>
        <v>3.9000000000000007E-2</v>
      </c>
      <c r="AB9" s="49">
        <f t="shared" si="26"/>
        <v>0.28581349206349205</v>
      </c>
      <c r="AC9" s="49">
        <f t="shared" si="27"/>
        <v>0.57162698412698409</v>
      </c>
      <c r="AD9" s="50">
        <f t="shared" si="28"/>
        <v>5.6243999999999996</v>
      </c>
      <c r="AE9" s="8">
        <f t="shared" si="29"/>
        <v>0</v>
      </c>
      <c r="AF9" s="51">
        <f t="shared" si="30"/>
        <v>3112920.0000000005</v>
      </c>
      <c r="AG9" s="8">
        <f t="shared" si="44"/>
        <v>9.9999999999999997E+98</v>
      </c>
      <c r="AH9" s="8" t="str">
        <f t="shared" si="31"/>
        <v>footprint</v>
      </c>
      <c r="AI9" s="52">
        <f t="shared" si="45"/>
        <v>2333333336446253.5</v>
      </c>
      <c r="AJ9" s="8">
        <v>3</v>
      </c>
      <c r="AK9" s="48" t="e">
        <f t="shared" si="32"/>
        <v>#N/A</v>
      </c>
      <c r="AL9" s="48" t="e">
        <f t="shared" si="33"/>
        <v>#N/A</v>
      </c>
      <c r="AM9" s="48" t="e">
        <f t="shared" si="34"/>
        <v>#N/A</v>
      </c>
      <c r="AN9" s="48" t="e">
        <f t="shared" si="35"/>
        <v>#N/A</v>
      </c>
      <c r="AO9" s="48" t="e">
        <f t="shared" si="36"/>
        <v>#N/A</v>
      </c>
      <c r="AP9" s="48" t="e">
        <f t="shared" si="37"/>
        <v>#N/A</v>
      </c>
      <c r="AQ9" s="48" t="e">
        <f t="shared" si="38"/>
        <v>#N/A</v>
      </c>
      <c r="AR9" s="48" t="e">
        <f t="shared" si="39"/>
        <v>#N/A</v>
      </c>
      <c r="AS9" s="48" t="e">
        <f t="shared" si="40"/>
        <v>#N/A</v>
      </c>
      <c r="AT9" s="48" t="e">
        <f t="shared" si="41"/>
        <v>#N/A</v>
      </c>
      <c r="AU9" s="48" t="e">
        <f t="shared" si="42"/>
        <v>#N/A</v>
      </c>
    </row>
    <row r="10" spans="1:47" ht="15" customHeight="1" x14ac:dyDescent="0.25">
      <c r="A10" s="8">
        <v>3</v>
      </c>
      <c r="B10" s="8">
        <f t="shared" si="43"/>
        <v>6</v>
      </c>
      <c r="C10" s="8">
        <v>3</v>
      </c>
      <c r="D10" s="49">
        <f t="shared" si="2"/>
        <v>0.52941176470588236</v>
      </c>
      <c r="E10" s="50">
        <f t="shared" si="3"/>
        <v>41.634920634920626</v>
      </c>
      <c r="F10" s="37">
        <f t="shared" si="4"/>
        <v>0.61227824463118574</v>
      </c>
      <c r="G10" s="8">
        <f t="shared" si="5"/>
        <v>2</v>
      </c>
      <c r="H10" s="8">
        <f t="shared" si="6"/>
        <v>134</v>
      </c>
      <c r="I10" s="50">
        <f t="shared" si="7"/>
        <v>134</v>
      </c>
      <c r="J10" s="50">
        <f t="shared" si="8"/>
        <v>16.900000000000002</v>
      </c>
      <c r="K10" s="50">
        <f t="shared" si="9"/>
        <v>6.4499999999999993</v>
      </c>
      <c r="L10" s="50">
        <f t="shared" si="10"/>
        <v>33.5</v>
      </c>
      <c r="M10" s="37">
        <f t="shared" si="11"/>
        <v>15.681493622732603</v>
      </c>
      <c r="N10" s="37">
        <f t="shared" si="12"/>
        <v>6.5142857142857142</v>
      </c>
      <c r="O10" s="50">
        <f t="shared" si="13"/>
        <v>102.39155867403663</v>
      </c>
      <c r="P10" s="50">
        <f t="shared" si="14"/>
        <v>5</v>
      </c>
      <c r="Q10" s="8">
        <f t="shared" si="15"/>
        <v>7</v>
      </c>
      <c r="R10" s="48">
        <f t="shared" si="16"/>
        <v>4716</v>
      </c>
      <c r="S10" s="48">
        <f t="shared" si="17"/>
        <v>4008.6</v>
      </c>
      <c r="T10" s="48">
        <f t="shared" si="18"/>
        <v>2264.6000000000004</v>
      </c>
      <c r="U10" s="48">
        <f t="shared" si="19"/>
        <v>18003.57</v>
      </c>
      <c r="V10" s="48">
        <f t="shared" si="20"/>
        <v>300000</v>
      </c>
      <c r="W10" s="48">
        <f t="shared" si="21"/>
        <v>350000</v>
      </c>
      <c r="X10" s="48">
        <f t="shared" si="22"/>
        <v>471600</v>
      </c>
      <c r="Y10" s="48">
        <f t="shared" si="23"/>
        <v>1445947.1</v>
      </c>
      <c r="Z10" s="48">
        <f t="shared" si="24"/>
        <v>2567547.1</v>
      </c>
      <c r="AA10" s="37">
        <f t="shared" si="25"/>
        <v>5.8208955223880601E-2</v>
      </c>
      <c r="AB10" s="49">
        <f t="shared" si="26"/>
        <v>0.30613912231559287</v>
      </c>
      <c r="AC10" s="49">
        <f t="shared" si="27"/>
        <v>0.61227824463118574</v>
      </c>
      <c r="AD10" s="50">
        <f t="shared" si="28"/>
        <v>6.6169411764705863</v>
      </c>
      <c r="AE10" s="8">
        <f t="shared" si="29"/>
        <v>0</v>
      </c>
      <c r="AF10" s="51">
        <f t="shared" si="30"/>
        <v>2567547.1</v>
      </c>
      <c r="AG10" s="8">
        <f t="shared" si="44"/>
        <v>9.9999999999999997E+98</v>
      </c>
      <c r="AH10" s="8" t="str">
        <f t="shared" si="31"/>
        <v>footprint</v>
      </c>
      <c r="AI10" s="52">
        <f t="shared" si="45"/>
        <v>1233333335900880.5</v>
      </c>
      <c r="AJ10" s="8">
        <v>4</v>
      </c>
      <c r="AK10" s="48" t="e">
        <f t="shared" si="32"/>
        <v>#N/A</v>
      </c>
      <c r="AL10" s="48" t="e">
        <f t="shared" si="33"/>
        <v>#N/A</v>
      </c>
      <c r="AM10" s="48" t="e">
        <f t="shared" si="34"/>
        <v>#N/A</v>
      </c>
      <c r="AN10" s="48" t="e">
        <f t="shared" si="35"/>
        <v>#N/A</v>
      </c>
      <c r="AO10" s="48" t="e">
        <f t="shared" si="36"/>
        <v>#N/A</v>
      </c>
      <c r="AP10" s="48" t="e">
        <f t="shared" si="37"/>
        <v>#N/A</v>
      </c>
      <c r="AQ10" s="48" t="e">
        <f t="shared" si="38"/>
        <v>#N/A</v>
      </c>
      <c r="AR10" s="48" t="e">
        <f t="shared" si="39"/>
        <v>#N/A</v>
      </c>
      <c r="AS10" s="48" t="e">
        <f t="shared" si="40"/>
        <v>#N/A</v>
      </c>
      <c r="AT10" s="48" t="e">
        <f t="shared" si="41"/>
        <v>#N/A</v>
      </c>
      <c r="AU10" s="48" t="e">
        <f t="shared" si="42"/>
        <v>#N/A</v>
      </c>
    </row>
    <row r="11" spans="1:47" ht="15" customHeight="1" x14ac:dyDescent="0.25">
      <c r="A11" s="8">
        <v>4</v>
      </c>
      <c r="B11" s="8">
        <f t="shared" si="43"/>
        <v>6</v>
      </c>
      <c r="C11" s="8">
        <v>4</v>
      </c>
      <c r="D11" s="49">
        <f t="shared" si="2"/>
        <v>0.55555555555555558</v>
      </c>
      <c r="E11" s="50">
        <f t="shared" si="3"/>
        <v>42.447142857142843</v>
      </c>
      <c r="F11" s="37">
        <f t="shared" si="4"/>
        <v>0.65504850088183397</v>
      </c>
      <c r="G11" s="8">
        <f t="shared" si="5"/>
        <v>2</v>
      </c>
      <c r="H11" s="8">
        <f t="shared" si="6"/>
        <v>102</v>
      </c>
      <c r="I11" s="50">
        <f t="shared" si="7"/>
        <v>102</v>
      </c>
      <c r="J11" s="50">
        <f t="shared" si="8"/>
        <v>16.900000000000002</v>
      </c>
      <c r="K11" s="50">
        <f t="shared" si="9"/>
        <v>8.6</v>
      </c>
      <c r="L11" s="50">
        <f t="shared" si="10"/>
        <v>25.5</v>
      </c>
      <c r="M11" s="37">
        <f t="shared" si="11"/>
        <v>12.820785739668324</v>
      </c>
      <c r="N11" s="37">
        <f t="shared" si="12"/>
        <v>6.5142857142857142</v>
      </c>
      <c r="O11" s="50">
        <f t="shared" si="13"/>
        <v>96.670142907908073</v>
      </c>
      <c r="P11" s="50">
        <f t="shared" si="14"/>
        <v>6</v>
      </c>
      <c r="Q11" s="8">
        <f t="shared" si="15"/>
        <v>8</v>
      </c>
      <c r="R11" s="48">
        <f t="shared" si="16"/>
        <v>4752</v>
      </c>
      <c r="S11" s="48">
        <f t="shared" si="17"/>
        <v>4039.2</v>
      </c>
      <c r="T11" s="48">
        <f t="shared" si="18"/>
        <v>1723.8000000000002</v>
      </c>
      <c r="U11" s="48">
        <f t="shared" si="19"/>
        <v>17410.38</v>
      </c>
      <c r="V11" s="48">
        <f t="shared" si="20"/>
        <v>300000</v>
      </c>
      <c r="W11" s="48">
        <f t="shared" si="21"/>
        <v>400000</v>
      </c>
      <c r="X11" s="48">
        <f t="shared" si="22"/>
        <v>475200</v>
      </c>
      <c r="Y11" s="48">
        <f t="shared" si="23"/>
        <v>1211831.4000000001</v>
      </c>
      <c r="Z11" s="48">
        <f t="shared" si="24"/>
        <v>2387031.4000000004</v>
      </c>
      <c r="AA11" s="37">
        <f t="shared" si="25"/>
        <v>7.6470588235294124E-2</v>
      </c>
      <c r="AB11" s="49">
        <f t="shared" si="26"/>
        <v>0.32752425044091699</v>
      </c>
      <c r="AC11" s="49">
        <f t="shared" si="27"/>
        <v>0.65504850088183397</v>
      </c>
      <c r="AD11" s="50">
        <f t="shared" si="28"/>
        <v>8.124133333333333</v>
      </c>
      <c r="AE11" s="8">
        <f t="shared" si="29"/>
        <v>0</v>
      </c>
      <c r="AF11" s="51">
        <f t="shared" si="30"/>
        <v>2387031.4000000004</v>
      </c>
      <c r="AG11" s="8">
        <f t="shared" si="44"/>
        <v>9.9999999999999997E+98</v>
      </c>
      <c r="AH11" s="8" t="str">
        <f t="shared" si="31"/>
        <v>footprint</v>
      </c>
      <c r="AI11" s="52">
        <f t="shared" si="45"/>
        <v>700000002387031.38</v>
      </c>
      <c r="AJ11" s="8">
        <v>5</v>
      </c>
      <c r="AK11" s="48" t="e">
        <f t="shared" si="32"/>
        <v>#N/A</v>
      </c>
      <c r="AL11" s="48" t="e">
        <f t="shared" si="33"/>
        <v>#N/A</v>
      </c>
      <c r="AM11" s="48" t="e">
        <f t="shared" si="34"/>
        <v>#N/A</v>
      </c>
      <c r="AN11" s="48" t="e">
        <f t="shared" si="35"/>
        <v>#N/A</v>
      </c>
      <c r="AO11" s="48" t="e">
        <f t="shared" si="36"/>
        <v>#N/A</v>
      </c>
      <c r="AP11" s="48" t="e">
        <f t="shared" si="37"/>
        <v>#N/A</v>
      </c>
      <c r="AQ11" s="48" t="e">
        <f t="shared" si="38"/>
        <v>#N/A</v>
      </c>
      <c r="AR11" s="48" t="e">
        <f t="shared" si="39"/>
        <v>#N/A</v>
      </c>
      <c r="AS11" s="48" t="e">
        <f t="shared" si="40"/>
        <v>#N/A</v>
      </c>
      <c r="AT11" s="48" t="e">
        <f t="shared" si="41"/>
        <v>#N/A</v>
      </c>
      <c r="AU11" s="48" t="e">
        <f t="shared" si="42"/>
        <v>#N/A</v>
      </c>
    </row>
    <row r="12" spans="1:47" ht="15" customHeight="1" x14ac:dyDescent="0.25">
      <c r="A12" s="8">
        <v>5</v>
      </c>
      <c r="B12" s="8">
        <f t="shared" si="43"/>
        <v>6</v>
      </c>
      <c r="C12" s="8">
        <v>5</v>
      </c>
      <c r="D12" s="49">
        <f t="shared" si="2"/>
        <v>0.57894736842105265</v>
      </c>
      <c r="E12" s="50">
        <f t="shared" si="3"/>
        <v>43.502597402597381</v>
      </c>
      <c r="F12" s="37">
        <f t="shared" si="4"/>
        <v>0.69960317460317434</v>
      </c>
      <c r="G12" s="8">
        <f t="shared" si="5"/>
        <v>2</v>
      </c>
      <c r="H12" s="8">
        <f t="shared" si="6"/>
        <v>82</v>
      </c>
      <c r="I12" s="50">
        <f t="shared" si="7"/>
        <v>82</v>
      </c>
      <c r="J12" s="50">
        <f t="shared" si="8"/>
        <v>16.900000000000002</v>
      </c>
      <c r="K12" s="50">
        <f t="shared" si="9"/>
        <v>10.75</v>
      </c>
      <c r="L12" s="50">
        <f t="shared" si="10"/>
        <v>20.5</v>
      </c>
      <c r="M12" s="37">
        <f t="shared" si="11"/>
        <v>11.03143034516234</v>
      </c>
      <c r="N12" s="37">
        <f t="shared" si="12"/>
        <v>6.5142857142857142</v>
      </c>
      <c r="O12" s="50">
        <f t="shared" si="13"/>
        <v>93.091432118896108</v>
      </c>
      <c r="P12" s="50">
        <f t="shared" si="14"/>
        <v>7</v>
      </c>
      <c r="Q12" s="8">
        <f t="shared" si="15"/>
        <v>9</v>
      </c>
      <c r="R12" s="48">
        <f t="shared" si="16"/>
        <v>4740</v>
      </c>
      <c r="S12" s="48">
        <f t="shared" si="17"/>
        <v>4029</v>
      </c>
      <c r="T12" s="48">
        <f t="shared" si="18"/>
        <v>1385.8000000000002</v>
      </c>
      <c r="U12" s="48">
        <f t="shared" si="19"/>
        <v>16976.050000000003</v>
      </c>
      <c r="V12" s="48">
        <f t="shared" si="20"/>
        <v>300000</v>
      </c>
      <c r="W12" s="48">
        <f t="shared" si="21"/>
        <v>450000</v>
      </c>
      <c r="X12" s="48">
        <f t="shared" si="22"/>
        <v>474000</v>
      </c>
      <c r="Y12" s="48">
        <f t="shared" si="23"/>
        <v>1063601.5000000002</v>
      </c>
      <c r="Z12" s="48">
        <f t="shared" si="24"/>
        <v>2287601.5</v>
      </c>
      <c r="AA12" s="37">
        <f t="shared" si="25"/>
        <v>9.512195121951221E-2</v>
      </c>
      <c r="AB12" s="49">
        <f t="shared" si="26"/>
        <v>0.34980158730158717</v>
      </c>
      <c r="AC12" s="49">
        <f t="shared" si="27"/>
        <v>0.69960317460317434</v>
      </c>
      <c r="AD12" s="50">
        <f t="shared" si="28"/>
        <v>10.064715789473683</v>
      </c>
      <c r="AE12" s="8">
        <f t="shared" si="29"/>
        <v>0</v>
      </c>
      <c r="AF12" s="51">
        <f t="shared" si="30"/>
        <v>2287601.5</v>
      </c>
      <c r="AG12" s="8">
        <f t="shared" si="44"/>
        <v>9.9999999999999997E+98</v>
      </c>
      <c r="AH12" s="8" t="str">
        <f t="shared" si="31"/>
        <v>footprint</v>
      </c>
      <c r="AI12" s="52">
        <f t="shared" si="45"/>
        <v>366666668954268.19</v>
      </c>
      <c r="AJ12" s="8">
        <v>6</v>
      </c>
      <c r="AK12" s="48" t="e">
        <f t="shared" si="32"/>
        <v>#N/A</v>
      </c>
      <c r="AL12" s="48" t="e">
        <f t="shared" si="33"/>
        <v>#N/A</v>
      </c>
      <c r="AM12" s="48" t="e">
        <f t="shared" si="34"/>
        <v>#N/A</v>
      </c>
      <c r="AN12" s="48" t="e">
        <f t="shared" si="35"/>
        <v>#N/A</v>
      </c>
      <c r="AO12" s="48" t="e">
        <f t="shared" si="36"/>
        <v>#N/A</v>
      </c>
      <c r="AP12" s="48" t="e">
        <f t="shared" si="37"/>
        <v>#N/A</v>
      </c>
      <c r="AQ12" s="48" t="e">
        <f t="shared" si="38"/>
        <v>#N/A</v>
      </c>
      <c r="AR12" s="48" t="e">
        <f t="shared" si="39"/>
        <v>#N/A</v>
      </c>
      <c r="AS12" s="48" t="e">
        <f t="shared" si="40"/>
        <v>#N/A</v>
      </c>
      <c r="AT12" s="48" t="e">
        <f t="shared" si="41"/>
        <v>#N/A</v>
      </c>
      <c r="AU12" s="48" t="e">
        <f t="shared" si="42"/>
        <v>#N/A</v>
      </c>
    </row>
    <row r="13" spans="1:47" ht="15" customHeight="1" x14ac:dyDescent="0.25">
      <c r="A13" s="8">
        <v>6</v>
      </c>
      <c r="B13" s="8">
        <f t="shared" si="43"/>
        <v>6</v>
      </c>
      <c r="C13" s="8">
        <v>6</v>
      </c>
      <c r="D13" s="49">
        <f t="shared" si="2"/>
        <v>0.60000000000000009</v>
      </c>
      <c r="E13" s="50">
        <f t="shared" si="3"/>
        <v>44.740476190476173</v>
      </c>
      <c r="F13" s="37">
        <f t="shared" si="4"/>
        <v>0.74567460317460299</v>
      </c>
      <c r="G13" s="8">
        <f t="shared" si="5"/>
        <v>2</v>
      </c>
      <c r="H13" s="8">
        <f t="shared" si="6"/>
        <v>69</v>
      </c>
      <c r="I13" s="50">
        <f t="shared" si="7"/>
        <v>69</v>
      </c>
      <c r="J13" s="50">
        <f t="shared" si="8"/>
        <v>16.900000000000002</v>
      </c>
      <c r="K13" s="50">
        <f t="shared" si="9"/>
        <v>12.899999999999999</v>
      </c>
      <c r="L13" s="50">
        <f t="shared" si="10"/>
        <v>17.25</v>
      </c>
      <c r="M13" s="37">
        <f t="shared" si="11"/>
        <v>9.8672174288264642</v>
      </c>
      <c r="N13" s="37">
        <f t="shared" si="12"/>
        <v>6.5142857142857142</v>
      </c>
      <c r="O13" s="50">
        <f t="shared" si="13"/>
        <v>90.763006286224353</v>
      </c>
      <c r="P13" s="50">
        <f t="shared" si="14"/>
        <v>8</v>
      </c>
      <c r="Q13" s="8">
        <f t="shared" si="15"/>
        <v>10</v>
      </c>
      <c r="R13" s="48">
        <f t="shared" si="16"/>
        <v>4752</v>
      </c>
      <c r="S13" s="48">
        <f t="shared" si="17"/>
        <v>4039.2</v>
      </c>
      <c r="T13" s="48">
        <f t="shared" si="18"/>
        <v>1166.1000000000001</v>
      </c>
      <c r="U13" s="48">
        <f t="shared" si="19"/>
        <v>16791.84</v>
      </c>
      <c r="V13" s="48">
        <f t="shared" si="20"/>
        <v>300000</v>
      </c>
      <c r="W13" s="48">
        <f t="shared" si="21"/>
        <v>500000</v>
      </c>
      <c r="X13" s="48">
        <f t="shared" si="22"/>
        <v>475200</v>
      </c>
      <c r="Y13" s="48">
        <f t="shared" si="23"/>
        <v>970195.20000000007</v>
      </c>
      <c r="Z13" s="48">
        <f t="shared" si="24"/>
        <v>2245395.2000000002</v>
      </c>
      <c r="AA13" s="37">
        <f t="shared" si="25"/>
        <v>0.11304347826086958</v>
      </c>
      <c r="AB13" s="49">
        <f t="shared" si="26"/>
        <v>0.3728373015873015</v>
      </c>
      <c r="AC13" s="49">
        <f t="shared" si="27"/>
        <v>0.74567460317460299</v>
      </c>
      <c r="AD13" s="50">
        <f t="shared" si="28"/>
        <v>12.373679999999997</v>
      </c>
      <c r="AE13" s="8">
        <f t="shared" si="29"/>
        <v>0</v>
      </c>
      <c r="AF13" s="51">
        <f t="shared" si="30"/>
        <v>2245395.2000000002</v>
      </c>
      <c r="AG13" s="8">
        <f t="shared" si="44"/>
        <v>9.9999999999999997E+98</v>
      </c>
      <c r="AH13" s="8" t="str">
        <f t="shared" si="31"/>
        <v>footprint</v>
      </c>
      <c r="AI13" s="52">
        <f t="shared" si="45"/>
        <v>150000002245395.09</v>
      </c>
      <c r="AJ13" s="8">
        <v>7</v>
      </c>
      <c r="AK13" s="48">
        <f t="shared" si="32"/>
        <v>2237851</v>
      </c>
      <c r="AL13" s="48" t="e">
        <f t="shared" si="33"/>
        <v>#N/A</v>
      </c>
      <c r="AM13" s="48" t="e">
        <f t="shared" si="34"/>
        <v>#N/A</v>
      </c>
      <c r="AN13" s="48" t="e">
        <f t="shared" si="35"/>
        <v>#N/A</v>
      </c>
      <c r="AO13" s="48" t="e">
        <f t="shared" si="36"/>
        <v>#N/A</v>
      </c>
      <c r="AP13" s="48" t="e">
        <f t="shared" si="37"/>
        <v>#N/A</v>
      </c>
      <c r="AQ13" s="48" t="e">
        <f t="shared" si="38"/>
        <v>#N/A</v>
      </c>
      <c r="AR13" s="48" t="e">
        <f t="shared" si="39"/>
        <v>#N/A</v>
      </c>
      <c r="AS13" s="48" t="e">
        <f t="shared" si="40"/>
        <v>#N/A</v>
      </c>
      <c r="AT13" s="48" t="e">
        <f t="shared" si="41"/>
        <v>#N/A</v>
      </c>
      <c r="AU13" s="48" t="e">
        <f t="shared" si="42"/>
        <v>#N/A</v>
      </c>
    </row>
    <row r="14" spans="1:47" ht="15" customHeight="1" x14ac:dyDescent="0.25">
      <c r="A14" s="8">
        <v>7</v>
      </c>
      <c r="B14" s="8">
        <f t="shared" si="43"/>
        <v>6</v>
      </c>
      <c r="C14" s="8">
        <v>7</v>
      </c>
      <c r="D14" s="49">
        <f t="shared" si="2"/>
        <v>0.60000000000000009</v>
      </c>
      <c r="E14" s="50">
        <f t="shared" si="3"/>
        <v>44.919642857142833</v>
      </c>
      <c r="F14" s="37">
        <f t="shared" si="4"/>
        <v>0.7486607142857139</v>
      </c>
      <c r="G14" s="8">
        <f t="shared" si="5"/>
        <v>2</v>
      </c>
      <c r="H14" s="8">
        <f t="shared" si="6"/>
        <v>60</v>
      </c>
      <c r="I14" s="50">
        <f t="shared" si="7"/>
        <v>60</v>
      </c>
      <c r="J14" s="50">
        <f t="shared" si="8"/>
        <v>16.900000000000002</v>
      </c>
      <c r="K14" s="50">
        <f t="shared" si="9"/>
        <v>15.049999999999999</v>
      </c>
      <c r="L14" s="50">
        <f t="shared" si="10"/>
        <v>15</v>
      </c>
      <c r="M14" s="37">
        <f t="shared" si="11"/>
        <v>9.0603357574361478</v>
      </c>
      <c r="N14" s="37">
        <f t="shared" si="12"/>
        <v>6.5142857142857142</v>
      </c>
      <c r="O14" s="50">
        <f t="shared" si="13"/>
        <v>89.149242943443724</v>
      </c>
      <c r="P14" s="50">
        <f t="shared" si="14"/>
        <v>9</v>
      </c>
      <c r="Q14" s="8">
        <f t="shared" si="15"/>
        <v>11</v>
      </c>
      <c r="R14" s="48">
        <f t="shared" si="16"/>
        <v>4788</v>
      </c>
      <c r="S14" s="48">
        <f t="shared" si="17"/>
        <v>4069.7999999999997</v>
      </c>
      <c r="T14" s="48">
        <f t="shared" si="18"/>
        <v>1014.0000000000001</v>
      </c>
      <c r="U14" s="48">
        <f t="shared" si="19"/>
        <v>16781.7</v>
      </c>
      <c r="V14" s="48">
        <f t="shared" si="20"/>
        <v>300000</v>
      </c>
      <c r="W14" s="48">
        <f t="shared" si="21"/>
        <v>550000</v>
      </c>
      <c r="X14" s="48">
        <f t="shared" si="22"/>
        <v>478800</v>
      </c>
      <c r="Y14" s="48">
        <f t="shared" si="23"/>
        <v>909051</v>
      </c>
      <c r="Z14" s="48">
        <f t="shared" si="24"/>
        <v>2237851</v>
      </c>
      <c r="AA14" s="37">
        <f t="shared" si="25"/>
        <v>0.13</v>
      </c>
      <c r="AB14" s="49">
        <f t="shared" si="26"/>
        <v>0.37433035714285695</v>
      </c>
      <c r="AC14" s="49">
        <f t="shared" si="27"/>
        <v>0.7486607142857139</v>
      </c>
      <c r="AD14" s="50">
        <f t="shared" si="28"/>
        <v>12.654899999999998</v>
      </c>
      <c r="AE14" s="8">
        <f t="shared" si="29"/>
        <v>1</v>
      </c>
      <c r="AF14" s="51">
        <f t="shared" si="30"/>
        <v>2237851</v>
      </c>
      <c r="AG14" s="8">
        <f t="shared" si="44"/>
        <v>2237851.0015664957</v>
      </c>
      <c r="AH14" s="8" t="str">
        <f t="shared" si="31"/>
        <v/>
      </c>
      <c r="AI14" s="52">
        <f t="shared" si="45"/>
        <v>2237851.0015664957</v>
      </c>
      <c r="AJ14" s="8">
        <v>8</v>
      </c>
      <c r="AK14" s="48">
        <f t="shared" si="32"/>
        <v>2240767.7000000002</v>
      </c>
      <c r="AL14" s="48" t="e">
        <f t="shared" si="33"/>
        <v>#N/A</v>
      </c>
      <c r="AM14" s="48" t="e">
        <f t="shared" si="34"/>
        <v>#N/A</v>
      </c>
      <c r="AN14" s="48" t="e">
        <f t="shared" si="35"/>
        <v>#N/A</v>
      </c>
      <c r="AO14" s="48" t="e">
        <f t="shared" si="36"/>
        <v>#N/A</v>
      </c>
      <c r="AP14" s="48" t="e">
        <f t="shared" si="37"/>
        <v>#N/A</v>
      </c>
      <c r="AQ14" s="48" t="e">
        <f t="shared" si="38"/>
        <v>#N/A</v>
      </c>
      <c r="AR14" s="48" t="e">
        <f t="shared" si="39"/>
        <v>#N/A</v>
      </c>
      <c r="AS14" s="48" t="e">
        <f t="shared" si="40"/>
        <v>#N/A</v>
      </c>
      <c r="AT14" s="48" t="e">
        <f t="shared" si="41"/>
        <v>#N/A</v>
      </c>
      <c r="AU14" s="48" t="e">
        <f t="shared" si="42"/>
        <v>#N/A</v>
      </c>
    </row>
    <row r="15" spans="1:47" ht="15" customHeight="1" x14ac:dyDescent="0.25">
      <c r="A15" s="8">
        <v>8</v>
      </c>
      <c r="B15" s="8">
        <f t="shared" si="43"/>
        <v>6</v>
      </c>
      <c r="C15" s="8">
        <v>8</v>
      </c>
      <c r="D15" s="49">
        <f t="shared" si="2"/>
        <v>0.60000000000000009</v>
      </c>
      <c r="E15" s="50">
        <f t="shared" si="3"/>
        <v>45.0988095238095</v>
      </c>
      <c r="F15" s="37">
        <f t="shared" si="4"/>
        <v>0.75164682539682504</v>
      </c>
      <c r="G15" s="8">
        <f t="shared" si="5"/>
        <v>2</v>
      </c>
      <c r="H15" s="8">
        <f t="shared" si="6"/>
        <v>53</v>
      </c>
      <c r="I15" s="50">
        <f t="shared" si="7"/>
        <v>53</v>
      </c>
      <c r="J15" s="50">
        <f t="shared" si="8"/>
        <v>16.900000000000002</v>
      </c>
      <c r="K15" s="50">
        <f t="shared" si="9"/>
        <v>17.2</v>
      </c>
      <c r="L15" s="50">
        <f t="shared" si="10"/>
        <v>13.25</v>
      </c>
      <c r="M15" s="37">
        <f t="shared" si="11"/>
        <v>8.4319838763428088</v>
      </c>
      <c r="N15" s="37">
        <f t="shared" si="12"/>
        <v>6.5142857142857142</v>
      </c>
      <c r="O15" s="50">
        <f t="shared" si="13"/>
        <v>87.89253918125705</v>
      </c>
      <c r="P15" s="50">
        <f t="shared" si="14"/>
        <v>10</v>
      </c>
      <c r="Q15" s="8">
        <f t="shared" si="15"/>
        <v>12</v>
      </c>
      <c r="R15" s="48">
        <f t="shared" si="16"/>
        <v>4800</v>
      </c>
      <c r="S15" s="48">
        <f t="shared" si="17"/>
        <v>4080</v>
      </c>
      <c r="T15" s="48">
        <f t="shared" si="18"/>
        <v>895.70000000000016</v>
      </c>
      <c r="U15" s="48">
        <f t="shared" si="19"/>
        <v>16749.590000000004</v>
      </c>
      <c r="V15" s="48">
        <f t="shared" si="20"/>
        <v>300000</v>
      </c>
      <c r="W15" s="48">
        <f t="shared" si="21"/>
        <v>600000</v>
      </c>
      <c r="X15" s="48">
        <f t="shared" si="22"/>
        <v>480000</v>
      </c>
      <c r="Y15" s="48">
        <f t="shared" si="23"/>
        <v>860767.70000000019</v>
      </c>
      <c r="Z15" s="48">
        <f t="shared" si="24"/>
        <v>2240767.7000000002</v>
      </c>
      <c r="AA15" s="37">
        <f t="shared" si="25"/>
        <v>0.14716981132075474</v>
      </c>
      <c r="AB15" s="49">
        <f t="shared" si="26"/>
        <v>0.37582341269841252</v>
      </c>
      <c r="AC15" s="49">
        <f t="shared" si="27"/>
        <v>0.75164682539682504</v>
      </c>
      <c r="AD15" s="50">
        <f t="shared" si="28"/>
        <v>12.936119999999995</v>
      </c>
      <c r="AE15" s="8">
        <f t="shared" si="29"/>
        <v>1</v>
      </c>
      <c r="AF15" s="51">
        <f t="shared" si="30"/>
        <v>2240767.7000000002</v>
      </c>
      <c r="AG15" s="8">
        <f t="shared" si="44"/>
        <v>2240767.7017926145</v>
      </c>
      <c r="AH15" s="8" t="str">
        <f t="shared" si="31"/>
        <v/>
      </c>
      <c r="AI15" s="52">
        <f t="shared" si="45"/>
        <v>2240767.7017926145</v>
      </c>
      <c r="AJ15" s="8">
        <v>9</v>
      </c>
      <c r="AK15" s="48">
        <f t="shared" si="32"/>
        <v>2239754.65</v>
      </c>
      <c r="AL15" s="48" t="e">
        <f t="shared" si="33"/>
        <v>#N/A</v>
      </c>
      <c r="AM15" s="48" t="e">
        <f t="shared" si="34"/>
        <v>#N/A</v>
      </c>
      <c r="AN15" s="48" t="e">
        <f t="shared" si="35"/>
        <v>#N/A</v>
      </c>
      <c r="AO15" s="48" t="e">
        <f t="shared" si="36"/>
        <v>#N/A</v>
      </c>
      <c r="AP15" s="48" t="e">
        <f t="shared" si="37"/>
        <v>#N/A</v>
      </c>
      <c r="AQ15" s="48" t="e">
        <f t="shared" si="38"/>
        <v>#N/A</v>
      </c>
      <c r="AR15" s="48" t="e">
        <f t="shared" si="39"/>
        <v>#N/A</v>
      </c>
      <c r="AS15" s="48" t="e">
        <f t="shared" si="40"/>
        <v>#N/A</v>
      </c>
      <c r="AT15" s="48" t="e">
        <f t="shared" si="41"/>
        <v>#N/A</v>
      </c>
      <c r="AU15" s="48" t="e">
        <f t="shared" si="42"/>
        <v>#N/A</v>
      </c>
    </row>
    <row r="16" spans="1:47" ht="15" customHeight="1" x14ac:dyDescent="0.25">
      <c r="A16" s="8">
        <v>9</v>
      </c>
      <c r="B16" s="8">
        <f t="shared" si="43"/>
        <v>6</v>
      </c>
      <c r="C16" s="8">
        <v>9</v>
      </c>
      <c r="D16" s="49">
        <f t="shared" si="2"/>
        <v>0.6</v>
      </c>
      <c r="E16" s="50">
        <f t="shared" si="3"/>
        <v>45.277976190476181</v>
      </c>
      <c r="F16" s="37">
        <f t="shared" si="4"/>
        <v>0.75463293650793628</v>
      </c>
      <c r="G16" s="8">
        <f t="shared" si="5"/>
        <v>2</v>
      </c>
      <c r="H16" s="8">
        <f t="shared" si="6"/>
        <v>47</v>
      </c>
      <c r="I16" s="50">
        <f t="shared" si="7"/>
        <v>47</v>
      </c>
      <c r="J16" s="50">
        <f t="shared" si="8"/>
        <v>16.900000000000002</v>
      </c>
      <c r="K16" s="50">
        <f t="shared" si="9"/>
        <v>19.349999999999998</v>
      </c>
      <c r="L16" s="50">
        <f t="shared" si="10"/>
        <v>11.75</v>
      </c>
      <c r="M16" s="37">
        <f t="shared" si="11"/>
        <v>7.8926018787938661</v>
      </c>
      <c r="N16" s="37">
        <f t="shared" si="12"/>
        <v>6.5142857142857142</v>
      </c>
      <c r="O16" s="50">
        <f t="shared" si="13"/>
        <v>86.813775186159162</v>
      </c>
      <c r="P16" s="50">
        <f t="shared" si="14"/>
        <v>11</v>
      </c>
      <c r="Q16" s="8">
        <f t="shared" si="15"/>
        <v>13</v>
      </c>
      <c r="R16" s="48">
        <f t="shared" si="16"/>
        <v>4752</v>
      </c>
      <c r="S16" s="48">
        <f t="shared" si="17"/>
        <v>4039.2</v>
      </c>
      <c r="T16" s="48">
        <f t="shared" si="18"/>
        <v>794.30000000000007</v>
      </c>
      <c r="U16" s="48">
        <f t="shared" si="19"/>
        <v>16561.154999999999</v>
      </c>
      <c r="V16" s="48">
        <f t="shared" si="20"/>
        <v>300000</v>
      </c>
      <c r="W16" s="48">
        <f t="shared" si="21"/>
        <v>650000</v>
      </c>
      <c r="X16" s="48">
        <f t="shared" si="22"/>
        <v>475200</v>
      </c>
      <c r="Y16" s="48">
        <f t="shared" si="23"/>
        <v>814554.64999999991</v>
      </c>
      <c r="Z16" s="48">
        <f t="shared" si="24"/>
        <v>2239754.65</v>
      </c>
      <c r="AA16" s="37">
        <f t="shared" si="25"/>
        <v>0.16595744680851066</v>
      </c>
      <c r="AB16" s="49">
        <f t="shared" si="26"/>
        <v>0.37731646825396814</v>
      </c>
      <c r="AC16" s="49">
        <f t="shared" si="27"/>
        <v>0.75463293650793628</v>
      </c>
      <c r="AD16" s="50">
        <f t="shared" si="28"/>
        <v>13.217339999999998</v>
      </c>
      <c r="AE16" s="8">
        <f t="shared" si="29"/>
        <v>1</v>
      </c>
      <c r="AF16" s="51">
        <f t="shared" si="30"/>
        <v>2239754.65</v>
      </c>
      <c r="AG16" s="8">
        <f t="shared" si="44"/>
        <v>2239754.6520157792</v>
      </c>
      <c r="AH16" s="8" t="str">
        <f t="shared" si="31"/>
        <v/>
      </c>
      <c r="AI16" s="52">
        <f t="shared" si="45"/>
        <v>2239754.6520157792</v>
      </c>
      <c r="AJ16" s="8">
        <v>10</v>
      </c>
      <c r="AK16" s="48" t="e">
        <f t="shared" si="32"/>
        <v>#N/A</v>
      </c>
      <c r="AL16" s="48" t="e">
        <f t="shared" si="33"/>
        <v>#N/A</v>
      </c>
      <c r="AM16" s="48" t="e">
        <f t="shared" si="34"/>
        <v>#N/A</v>
      </c>
      <c r="AN16" s="48" t="e">
        <f t="shared" si="35"/>
        <v>#N/A</v>
      </c>
      <c r="AO16" s="48" t="e">
        <f t="shared" si="36"/>
        <v>#N/A</v>
      </c>
      <c r="AP16" s="48" t="e">
        <f t="shared" si="37"/>
        <v>#N/A</v>
      </c>
      <c r="AQ16" s="48" t="e">
        <f t="shared" si="38"/>
        <v>#N/A</v>
      </c>
      <c r="AR16" s="48" t="e">
        <f t="shared" si="39"/>
        <v>#N/A</v>
      </c>
      <c r="AS16" s="48" t="e">
        <f t="shared" si="40"/>
        <v>#N/A</v>
      </c>
      <c r="AT16" s="48" t="e">
        <f t="shared" si="41"/>
        <v>#N/A</v>
      </c>
      <c r="AU16" s="48" t="e">
        <f t="shared" si="42"/>
        <v>#N/A</v>
      </c>
    </row>
    <row r="17" spans="1:47" ht="15" customHeight="1" x14ac:dyDescent="0.25">
      <c r="A17" s="8">
        <v>10</v>
      </c>
      <c r="B17" s="8">
        <f t="shared" si="43"/>
        <v>6</v>
      </c>
      <c r="C17" s="8">
        <v>10</v>
      </c>
      <c r="D17" s="49">
        <f t="shared" si="2"/>
        <v>0.60000000000000009</v>
      </c>
      <c r="E17" s="50">
        <f t="shared" si="3"/>
        <v>45.457142857142834</v>
      </c>
      <c r="F17" s="37">
        <f t="shared" si="4"/>
        <v>0.7576190476190473</v>
      </c>
      <c r="G17" s="8">
        <f t="shared" si="5"/>
        <v>2</v>
      </c>
      <c r="H17" s="8">
        <f t="shared" si="6"/>
        <v>43</v>
      </c>
      <c r="I17" s="50">
        <f t="shared" si="7"/>
        <v>43</v>
      </c>
      <c r="J17" s="50">
        <f t="shared" si="8"/>
        <v>16.900000000000002</v>
      </c>
      <c r="K17" s="50">
        <f t="shared" si="9"/>
        <v>21.5</v>
      </c>
      <c r="L17" s="50">
        <f t="shared" si="10"/>
        <v>10.75</v>
      </c>
      <c r="M17" s="37">
        <f t="shared" si="11"/>
        <v>7.5324452429341591</v>
      </c>
      <c r="N17" s="37">
        <f t="shared" si="12"/>
        <v>6.5142857142857142</v>
      </c>
      <c r="O17" s="50">
        <f t="shared" si="13"/>
        <v>86.093461914439743</v>
      </c>
      <c r="P17" s="50">
        <f t="shared" si="14"/>
        <v>12</v>
      </c>
      <c r="Q17" s="8">
        <f t="shared" si="15"/>
        <v>14</v>
      </c>
      <c r="R17" s="48">
        <f t="shared" si="16"/>
        <v>4800</v>
      </c>
      <c r="S17" s="48">
        <f t="shared" si="17"/>
        <v>4080</v>
      </c>
      <c r="T17" s="48">
        <f t="shared" si="18"/>
        <v>726.7</v>
      </c>
      <c r="U17" s="48">
        <f t="shared" si="19"/>
        <v>16714.100000000002</v>
      </c>
      <c r="V17" s="48">
        <f t="shared" si="20"/>
        <v>300000</v>
      </c>
      <c r="W17" s="48">
        <f t="shared" si="21"/>
        <v>700000</v>
      </c>
      <c r="X17" s="48">
        <f t="shared" si="22"/>
        <v>480000</v>
      </c>
      <c r="Y17" s="48">
        <f t="shared" si="23"/>
        <v>792103</v>
      </c>
      <c r="Z17" s="48">
        <f t="shared" si="24"/>
        <v>2272103</v>
      </c>
      <c r="AA17" s="37">
        <f t="shared" si="25"/>
        <v>0.18139534883720931</v>
      </c>
      <c r="AB17" s="49">
        <f t="shared" si="26"/>
        <v>0.37880952380952365</v>
      </c>
      <c r="AC17" s="49">
        <f t="shared" si="27"/>
        <v>0.7576190476190473</v>
      </c>
      <c r="AD17" s="50">
        <f t="shared" si="28"/>
        <v>13.498559999999996</v>
      </c>
      <c r="AE17" s="8">
        <f t="shared" si="29"/>
        <v>0</v>
      </c>
      <c r="AF17" s="51">
        <f t="shared" si="30"/>
        <v>2272103</v>
      </c>
      <c r="AG17" s="8">
        <f t="shared" si="44"/>
        <v>9.9999999999999997E+98</v>
      </c>
      <c r="AH17" s="8" t="str">
        <f t="shared" si="31"/>
        <v>height</v>
      </c>
      <c r="AI17" s="52">
        <f t="shared" si="45"/>
        <v>75000002272102.953</v>
      </c>
      <c r="AJ17" s="8">
        <v>11</v>
      </c>
      <c r="AK17" s="48" t="e">
        <f t="shared" si="32"/>
        <v>#N/A</v>
      </c>
      <c r="AL17" s="48" t="e">
        <f t="shared" si="33"/>
        <v>#N/A</v>
      </c>
      <c r="AM17" s="48" t="e">
        <f t="shared" si="34"/>
        <v>#N/A</v>
      </c>
      <c r="AN17" s="48" t="e">
        <f t="shared" si="35"/>
        <v>#N/A</v>
      </c>
      <c r="AO17" s="48" t="e">
        <f t="shared" si="36"/>
        <v>#N/A</v>
      </c>
      <c r="AP17" s="48" t="e">
        <f t="shared" si="37"/>
        <v>#N/A</v>
      </c>
      <c r="AQ17" s="48" t="e">
        <f t="shared" si="38"/>
        <v>#N/A</v>
      </c>
      <c r="AR17" s="48" t="e">
        <f t="shared" si="39"/>
        <v>#N/A</v>
      </c>
      <c r="AS17" s="48" t="e">
        <f t="shared" si="40"/>
        <v>#N/A</v>
      </c>
      <c r="AT17" s="48" t="e">
        <f t="shared" si="41"/>
        <v>#N/A</v>
      </c>
      <c r="AU17" s="48" t="e">
        <f t="shared" si="42"/>
        <v>#N/A</v>
      </c>
    </row>
    <row r="18" spans="1:47" ht="15" customHeight="1" x14ac:dyDescent="0.25">
      <c r="A18" s="8">
        <v>11</v>
      </c>
      <c r="B18" s="8">
        <f t="shared" si="43"/>
        <v>6</v>
      </c>
      <c r="C18" s="8">
        <v>11</v>
      </c>
      <c r="D18" s="49">
        <f t="shared" si="2"/>
        <v>0.6</v>
      </c>
      <c r="E18" s="50">
        <f t="shared" si="3"/>
        <v>45.636309523809516</v>
      </c>
      <c r="F18" s="37">
        <f t="shared" si="4"/>
        <v>0.76060515873015866</v>
      </c>
      <c r="G18" s="8">
        <f t="shared" si="5"/>
        <v>2</v>
      </c>
      <c r="H18" s="8">
        <f t="shared" si="6"/>
        <v>39</v>
      </c>
      <c r="I18" s="50">
        <f t="shared" si="7"/>
        <v>39</v>
      </c>
      <c r="J18" s="50">
        <f t="shared" si="8"/>
        <v>16.900000000000002</v>
      </c>
      <c r="K18" s="50">
        <f t="shared" si="9"/>
        <v>23.65</v>
      </c>
      <c r="L18" s="50">
        <f t="shared" si="10"/>
        <v>9.75</v>
      </c>
      <c r="M18" s="37">
        <f t="shared" si="11"/>
        <v>7.171670396055613</v>
      </c>
      <c r="N18" s="37">
        <f t="shared" si="12"/>
        <v>6.5142857142857142</v>
      </c>
      <c r="O18" s="50">
        <f t="shared" si="13"/>
        <v>85.371912220682646</v>
      </c>
      <c r="P18" s="50">
        <f t="shared" si="14"/>
        <v>13</v>
      </c>
      <c r="Q18" s="8">
        <f t="shared" si="15"/>
        <v>15</v>
      </c>
      <c r="R18" s="48">
        <f t="shared" si="16"/>
        <v>4752</v>
      </c>
      <c r="S18" s="48">
        <f t="shared" si="17"/>
        <v>4039.2</v>
      </c>
      <c r="T18" s="48">
        <f t="shared" si="18"/>
        <v>659.10000000000014</v>
      </c>
      <c r="U18" s="48">
        <f t="shared" si="19"/>
        <v>16576.365000000002</v>
      </c>
      <c r="V18" s="48">
        <f t="shared" si="20"/>
        <v>300000</v>
      </c>
      <c r="W18" s="48">
        <f t="shared" si="21"/>
        <v>750000</v>
      </c>
      <c r="X18" s="48">
        <f t="shared" si="22"/>
        <v>475200</v>
      </c>
      <c r="Y18" s="48">
        <f t="shared" si="23"/>
        <v>760930.95000000019</v>
      </c>
      <c r="Z18" s="48">
        <f t="shared" si="24"/>
        <v>2286130.9500000002</v>
      </c>
      <c r="AA18" s="37">
        <f t="shared" si="25"/>
        <v>0.2</v>
      </c>
      <c r="AB18" s="49">
        <f t="shared" si="26"/>
        <v>0.38030257936507933</v>
      </c>
      <c r="AC18" s="49">
        <f t="shared" si="27"/>
        <v>0.76060515873015866</v>
      </c>
      <c r="AD18" s="50">
        <f t="shared" si="28"/>
        <v>13.779779999999999</v>
      </c>
      <c r="AE18" s="8">
        <f t="shared" si="29"/>
        <v>0</v>
      </c>
      <c r="AF18" s="51">
        <f t="shared" si="30"/>
        <v>2286130.9500000002</v>
      </c>
      <c r="AG18" s="8">
        <f t="shared" si="44"/>
        <v>9.9999999999999997E+98</v>
      </c>
      <c r="AH18" s="8" t="str">
        <f t="shared" si="31"/>
        <v>height</v>
      </c>
      <c r="AI18" s="52">
        <f t="shared" si="45"/>
        <v>182500002286130.81</v>
      </c>
      <c r="AJ18" s="8">
        <v>12</v>
      </c>
      <c r="AK18" s="48" t="e">
        <f t="shared" si="32"/>
        <v>#N/A</v>
      </c>
      <c r="AL18" s="48" t="e">
        <f t="shared" si="33"/>
        <v>#N/A</v>
      </c>
      <c r="AM18" s="48" t="e">
        <f t="shared" si="34"/>
        <v>#N/A</v>
      </c>
      <c r="AN18" s="48" t="e">
        <f t="shared" si="35"/>
        <v>#N/A</v>
      </c>
      <c r="AO18" s="48" t="e">
        <f t="shared" si="36"/>
        <v>#N/A</v>
      </c>
      <c r="AP18" s="48" t="e">
        <f t="shared" si="37"/>
        <v>#N/A</v>
      </c>
      <c r="AQ18" s="48" t="e">
        <f t="shared" si="38"/>
        <v>#N/A</v>
      </c>
      <c r="AR18" s="48" t="e">
        <f t="shared" si="39"/>
        <v>#N/A</v>
      </c>
      <c r="AS18" s="48" t="e">
        <f t="shared" si="40"/>
        <v>#N/A</v>
      </c>
      <c r="AT18" s="48" t="e">
        <f t="shared" si="41"/>
        <v>#N/A</v>
      </c>
      <c r="AU18" s="48" t="e">
        <f t="shared" si="42"/>
        <v>#N/A</v>
      </c>
    </row>
    <row r="19" spans="1:47" ht="15" customHeight="1" x14ac:dyDescent="0.25">
      <c r="A19" s="8">
        <v>12</v>
      </c>
      <c r="B19" s="8">
        <f t="shared" si="43"/>
        <v>6</v>
      </c>
      <c r="C19" s="8">
        <v>12</v>
      </c>
      <c r="D19" s="49">
        <f t="shared" si="2"/>
        <v>0.6</v>
      </c>
      <c r="E19" s="50">
        <f t="shared" si="3"/>
        <v>45.815476190476183</v>
      </c>
      <c r="F19" s="37">
        <f t="shared" si="4"/>
        <v>0.76359126984126979</v>
      </c>
      <c r="G19" s="8">
        <f t="shared" si="5"/>
        <v>2</v>
      </c>
      <c r="H19" s="8">
        <f t="shared" si="6"/>
        <v>36</v>
      </c>
      <c r="I19" s="50">
        <f t="shared" si="7"/>
        <v>36</v>
      </c>
      <c r="J19" s="50">
        <f t="shared" si="8"/>
        <v>16.900000000000002</v>
      </c>
      <c r="K19" s="50">
        <f t="shared" si="9"/>
        <v>25.799999999999997</v>
      </c>
      <c r="L19" s="50">
        <f t="shared" si="10"/>
        <v>9</v>
      </c>
      <c r="M19" s="37">
        <f t="shared" si="11"/>
        <v>6.9005595957269135</v>
      </c>
      <c r="N19" s="37">
        <f t="shared" si="12"/>
        <v>6.5142857142857142</v>
      </c>
      <c r="O19" s="50">
        <f t="shared" si="13"/>
        <v>84.829690620025247</v>
      </c>
      <c r="P19" s="50">
        <f t="shared" si="14"/>
        <v>14</v>
      </c>
      <c r="Q19" s="8">
        <f t="shared" si="15"/>
        <v>16</v>
      </c>
      <c r="R19" s="48">
        <f t="shared" si="16"/>
        <v>4752</v>
      </c>
      <c r="S19" s="48">
        <f t="shared" si="17"/>
        <v>4039.2</v>
      </c>
      <c r="T19" s="48">
        <f t="shared" si="18"/>
        <v>608.40000000000009</v>
      </c>
      <c r="U19" s="48">
        <f t="shared" si="19"/>
        <v>16609.32</v>
      </c>
      <c r="V19" s="48">
        <f t="shared" si="20"/>
        <v>300000</v>
      </c>
      <c r="W19" s="48">
        <f t="shared" si="21"/>
        <v>800000</v>
      </c>
      <c r="X19" s="48">
        <f t="shared" si="22"/>
        <v>475200</v>
      </c>
      <c r="Y19" s="48">
        <f t="shared" si="23"/>
        <v>741639.6</v>
      </c>
      <c r="Z19" s="48">
        <f t="shared" si="24"/>
        <v>2316839.6</v>
      </c>
      <c r="AA19" s="37">
        <f t="shared" si="25"/>
        <v>0.21666666666666667</v>
      </c>
      <c r="AB19" s="49">
        <f t="shared" si="26"/>
        <v>0.3817956349206349</v>
      </c>
      <c r="AC19" s="49">
        <f t="shared" si="27"/>
        <v>0.76359126984126979</v>
      </c>
      <c r="AD19" s="50">
        <f t="shared" si="28"/>
        <v>14.060999999999998</v>
      </c>
      <c r="AE19" s="8">
        <f t="shared" si="29"/>
        <v>0</v>
      </c>
      <c r="AF19" s="51">
        <f t="shared" si="30"/>
        <v>2316839.6</v>
      </c>
      <c r="AG19" s="8">
        <f t="shared" si="44"/>
        <v>9.9999999999999997E+98</v>
      </c>
      <c r="AH19" s="8" t="str">
        <f t="shared" si="31"/>
        <v>height</v>
      </c>
      <c r="AI19" s="52">
        <f t="shared" si="45"/>
        <v>290000002316839.44</v>
      </c>
      <c r="AJ19" s="8">
        <v>13</v>
      </c>
      <c r="AK19" s="48" t="e">
        <f t="shared" si="32"/>
        <v>#N/A</v>
      </c>
      <c r="AL19" s="48" t="e">
        <f t="shared" si="33"/>
        <v>#N/A</v>
      </c>
      <c r="AM19" s="48" t="e">
        <f t="shared" si="34"/>
        <v>#N/A</v>
      </c>
      <c r="AN19" s="48" t="e">
        <f t="shared" si="35"/>
        <v>#N/A</v>
      </c>
      <c r="AO19" s="48" t="e">
        <f t="shared" si="36"/>
        <v>#N/A</v>
      </c>
      <c r="AP19" s="48" t="e">
        <f t="shared" si="37"/>
        <v>#N/A</v>
      </c>
      <c r="AQ19" s="48" t="e">
        <f t="shared" si="38"/>
        <v>#N/A</v>
      </c>
      <c r="AR19" s="48" t="e">
        <f t="shared" si="39"/>
        <v>#N/A</v>
      </c>
      <c r="AS19" s="48" t="e">
        <f t="shared" si="40"/>
        <v>#N/A</v>
      </c>
      <c r="AT19" s="48" t="e">
        <f t="shared" si="41"/>
        <v>#N/A</v>
      </c>
      <c r="AU19" s="48" t="e">
        <f t="shared" si="42"/>
        <v>#N/A</v>
      </c>
    </row>
    <row r="20" spans="1:47" ht="15" customHeight="1" x14ac:dyDescent="0.25">
      <c r="A20" s="8">
        <v>13</v>
      </c>
      <c r="B20" s="8">
        <f t="shared" si="43"/>
        <v>6</v>
      </c>
      <c r="C20" s="8">
        <v>13</v>
      </c>
      <c r="D20" s="49">
        <f t="shared" si="2"/>
        <v>0.6</v>
      </c>
      <c r="E20" s="50">
        <f t="shared" si="3"/>
        <v>45.99464285714285</v>
      </c>
      <c r="F20" s="37">
        <f t="shared" si="4"/>
        <v>0.76657738095238082</v>
      </c>
      <c r="G20" s="8">
        <f t="shared" si="5"/>
        <v>2</v>
      </c>
      <c r="H20" s="8">
        <f t="shared" si="6"/>
        <v>34</v>
      </c>
      <c r="I20" s="50">
        <f t="shared" si="7"/>
        <v>34</v>
      </c>
      <c r="J20" s="50">
        <f t="shared" si="8"/>
        <v>16.900000000000002</v>
      </c>
      <c r="K20" s="50">
        <f t="shared" si="9"/>
        <v>27.95</v>
      </c>
      <c r="L20" s="50">
        <f t="shared" si="10"/>
        <v>8.5</v>
      </c>
      <c r="M20" s="37">
        <f t="shared" si="11"/>
        <v>6.7195000761478241</v>
      </c>
      <c r="N20" s="37">
        <f t="shared" si="12"/>
        <v>6.5142857142857142</v>
      </c>
      <c r="O20" s="50">
        <f t="shared" si="13"/>
        <v>84.467571580867073</v>
      </c>
      <c r="P20" s="50">
        <f t="shared" si="14"/>
        <v>15</v>
      </c>
      <c r="Q20" s="8">
        <f t="shared" si="15"/>
        <v>17</v>
      </c>
      <c r="R20" s="48">
        <f t="shared" si="16"/>
        <v>4836</v>
      </c>
      <c r="S20" s="48">
        <f t="shared" si="17"/>
        <v>4110.5999999999995</v>
      </c>
      <c r="T20" s="48">
        <f t="shared" si="18"/>
        <v>574.6</v>
      </c>
      <c r="U20" s="48">
        <f t="shared" si="19"/>
        <v>16921.97</v>
      </c>
      <c r="V20" s="48">
        <f t="shared" si="20"/>
        <v>300000</v>
      </c>
      <c r="W20" s="48">
        <f t="shared" si="21"/>
        <v>850000</v>
      </c>
      <c r="X20" s="48">
        <f t="shared" si="22"/>
        <v>483600</v>
      </c>
      <c r="Y20" s="48">
        <f t="shared" si="23"/>
        <v>737499.10000000009</v>
      </c>
      <c r="Z20" s="48">
        <f t="shared" si="24"/>
        <v>2371099.1</v>
      </c>
      <c r="AA20" s="37">
        <f t="shared" si="25"/>
        <v>0.22941176470588237</v>
      </c>
      <c r="AB20" s="49">
        <f t="shared" si="26"/>
        <v>0.38328869047619041</v>
      </c>
      <c r="AC20" s="49">
        <f t="shared" si="27"/>
        <v>0.76657738095238082</v>
      </c>
      <c r="AD20" s="50">
        <f t="shared" si="28"/>
        <v>14.342219999999999</v>
      </c>
      <c r="AE20" s="8">
        <f t="shared" si="29"/>
        <v>0</v>
      </c>
      <c r="AF20" s="51">
        <f t="shared" si="30"/>
        <v>2371099.1</v>
      </c>
      <c r="AG20" s="8">
        <f t="shared" si="44"/>
        <v>9.9999999999999997E+98</v>
      </c>
      <c r="AH20" s="8" t="str">
        <f t="shared" si="31"/>
        <v>height</v>
      </c>
      <c r="AI20" s="52">
        <f t="shared" si="45"/>
        <v>397500002371099.06</v>
      </c>
      <c r="AJ20" s="8">
        <v>14</v>
      </c>
      <c r="AK20" s="48" t="e">
        <f t="shared" si="32"/>
        <v>#N/A</v>
      </c>
      <c r="AL20" s="48" t="e">
        <f t="shared" si="33"/>
        <v>#N/A</v>
      </c>
      <c r="AM20" s="48" t="e">
        <f t="shared" si="34"/>
        <v>#N/A</v>
      </c>
      <c r="AN20" s="48" t="e">
        <f t="shared" si="35"/>
        <v>#N/A</v>
      </c>
      <c r="AO20" s="48" t="e">
        <f t="shared" si="36"/>
        <v>#N/A</v>
      </c>
      <c r="AP20" s="48" t="e">
        <f t="shared" si="37"/>
        <v>#N/A</v>
      </c>
      <c r="AQ20" s="48" t="e">
        <f t="shared" si="38"/>
        <v>#N/A</v>
      </c>
      <c r="AR20" s="48" t="e">
        <f t="shared" si="39"/>
        <v>#N/A</v>
      </c>
      <c r="AS20" s="48" t="e">
        <f t="shared" si="40"/>
        <v>#N/A</v>
      </c>
      <c r="AT20" s="48" t="e">
        <f t="shared" si="41"/>
        <v>#N/A</v>
      </c>
      <c r="AU20" s="48" t="e">
        <f t="shared" si="42"/>
        <v>#N/A</v>
      </c>
    </row>
    <row r="21" spans="1:47" ht="15" customHeight="1" x14ac:dyDescent="0.25">
      <c r="A21" s="8">
        <v>14</v>
      </c>
      <c r="B21" s="8">
        <f t="shared" si="43"/>
        <v>6</v>
      </c>
      <c r="C21" s="8">
        <v>14</v>
      </c>
      <c r="D21" s="49">
        <f t="shared" si="2"/>
        <v>0.6</v>
      </c>
      <c r="E21" s="50">
        <f t="shared" si="3"/>
        <v>46.173809523809517</v>
      </c>
      <c r="F21" s="37">
        <f t="shared" si="4"/>
        <v>0.76956349206349195</v>
      </c>
      <c r="G21" s="8">
        <f t="shared" si="5"/>
        <v>2</v>
      </c>
      <c r="H21" s="8">
        <f t="shared" si="6"/>
        <v>32</v>
      </c>
      <c r="I21" s="50">
        <f t="shared" si="7"/>
        <v>32</v>
      </c>
      <c r="J21" s="50">
        <f t="shared" si="8"/>
        <v>16.900000000000002</v>
      </c>
      <c r="K21" s="50">
        <f t="shared" si="9"/>
        <v>30.099999999999998</v>
      </c>
      <c r="L21" s="50">
        <f t="shared" si="10"/>
        <v>8</v>
      </c>
      <c r="M21" s="37">
        <f t="shared" si="11"/>
        <v>6.5381295451927768</v>
      </c>
      <c r="N21" s="37">
        <f t="shared" si="12"/>
        <v>6.5142857142857142</v>
      </c>
      <c r="O21" s="50">
        <f t="shared" si="13"/>
        <v>84.104830518956973</v>
      </c>
      <c r="P21" s="50">
        <f t="shared" si="14"/>
        <v>16</v>
      </c>
      <c r="Q21" s="8">
        <f t="shared" si="15"/>
        <v>18</v>
      </c>
      <c r="R21" s="48">
        <f t="shared" si="16"/>
        <v>4872</v>
      </c>
      <c r="S21" s="48">
        <f t="shared" si="17"/>
        <v>4141.2</v>
      </c>
      <c r="T21" s="48">
        <f t="shared" si="18"/>
        <v>540.80000000000007</v>
      </c>
      <c r="U21" s="48">
        <f t="shared" si="19"/>
        <v>17089.280000000002</v>
      </c>
      <c r="V21" s="48">
        <f t="shared" si="20"/>
        <v>300000</v>
      </c>
      <c r="W21" s="48">
        <f t="shared" si="21"/>
        <v>900000</v>
      </c>
      <c r="X21" s="48">
        <f t="shared" si="22"/>
        <v>487200</v>
      </c>
      <c r="Y21" s="48">
        <f t="shared" si="23"/>
        <v>728998.40000000014</v>
      </c>
      <c r="Z21" s="48">
        <f t="shared" si="24"/>
        <v>2416198.4000000004</v>
      </c>
      <c r="AA21" s="37">
        <f t="shared" si="25"/>
        <v>0.24375000000000002</v>
      </c>
      <c r="AB21" s="49">
        <f t="shared" si="26"/>
        <v>0.38478174603174597</v>
      </c>
      <c r="AC21" s="49">
        <f t="shared" si="27"/>
        <v>0.76956349206349195</v>
      </c>
      <c r="AD21" s="50">
        <f t="shared" si="28"/>
        <v>14.623439999999999</v>
      </c>
      <c r="AE21" s="8">
        <f t="shared" si="29"/>
        <v>0</v>
      </c>
      <c r="AF21" s="51">
        <f t="shared" si="30"/>
        <v>2416198.4000000004</v>
      </c>
      <c r="AG21" s="8">
        <f t="shared" si="44"/>
        <v>9.9999999999999997E+98</v>
      </c>
      <c r="AH21" s="8" t="str">
        <f t="shared" si="31"/>
        <v>height</v>
      </c>
      <c r="AI21" s="52">
        <f t="shared" si="45"/>
        <v>505000002416198.25</v>
      </c>
      <c r="AJ21" s="8">
        <v>15</v>
      </c>
      <c r="AK21" s="48" t="e">
        <f t="shared" si="32"/>
        <v>#N/A</v>
      </c>
      <c r="AL21" s="48" t="e">
        <f t="shared" si="33"/>
        <v>#N/A</v>
      </c>
      <c r="AM21" s="48" t="e">
        <f t="shared" si="34"/>
        <v>#N/A</v>
      </c>
      <c r="AN21" s="48" t="e">
        <f t="shared" si="35"/>
        <v>#N/A</v>
      </c>
      <c r="AO21" s="48" t="e">
        <f t="shared" si="36"/>
        <v>#N/A</v>
      </c>
      <c r="AP21" s="48" t="e">
        <f t="shared" si="37"/>
        <v>#N/A</v>
      </c>
      <c r="AQ21" s="48" t="e">
        <f t="shared" si="38"/>
        <v>#N/A</v>
      </c>
      <c r="AR21" s="48" t="e">
        <f t="shared" si="39"/>
        <v>#N/A</v>
      </c>
      <c r="AS21" s="48" t="e">
        <f t="shared" si="40"/>
        <v>#N/A</v>
      </c>
      <c r="AT21" s="48" t="e">
        <f t="shared" si="41"/>
        <v>#N/A</v>
      </c>
      <c r="AU21" s="48" t="e">
        <f t="shared" si="42"/>
        <v>#N/A</v>
      </c>
    </row>
    <row r="22" spans="1:47" ht="15" customHeight="1" x14ac:dyDescent="0.25">
      <c r="A22" s="8">
        <v>15</v>
      </c>
      <c r="B22" s="8">
        <f t="shared" si="43"/>
        <v>6</v>
      </c>
      <c r="C22" s="8">
        <v>15</v>
      </c>
      <c r="D22" s="49">
        <f t="shared" si="2"/>
        <v>0.60000000000000009</v>
      </c>
      <c r="E22" s="50">
        <f t="shared" si="3"/>
        <v>46.352976190476163</v>
      </c>
      <c r="F22" s="37">
        <f t="shared" si="4"/>
        <v>0.77254960317460286</v>
      </c>
      <c r="G22" s="8">
        <f t="shared" si="5"/>
        <v>2</v>
      </c>
      <c r="H22" s="8">
        <f t="shared" si="6"/>
        <v>30</v>
      </c>
      <c r="I22" s="50">
        <f t="shared" si="7"/>
        <v>30</v>
      </c>
      <c r="J22" s="50">
        <f t="shared" si="8"/>
        <v>16.900000000000002</v>
      </c>
      <c r="K22" s="50">
        <f t="shared" si="9"/>
        <v>32.25</v>
      </c>
      <c r="L22" s="50">
        <f t="shared" si="10"/>
        <v>7.5</v>
      </c>
      <c r="M22" s="37">
        <f t="shared" si="11"/>
        <v>6.3563858005865805</v>
      </c>
      <c r="N22" s="37">
        <f t="shared" si="12"/>
        <v>6.5142857142857142</v>
      </c>
      <c r="O22" s="50">
        <f t="shared" si="13"/>
        <v>83.741343029744584</v>
      </c>
      <c r="P22" s="50">
        <f t="shared" si="14"/>
        <v>17</v>
      </c>
      <c r="Q22" s="8">
        <f t="shared" si="15"/>
        <v>19</v>
      </c>
      <c r="R22" s="48">
        <f t="shared" si="16"/>
        <v>4860</v>
      </c>
      <c r="S22" s="48">
        <f t="shared" si="17"/>
        <v>4131</v>
      </c>
      <c r="T22" s="48">
        <f t="shared" si="18"/>
        <v>507.00000000000006</v>
      </c>
      <c r="U22" s="48">
        <f t="shared" si="19"/>
        <v>17111.250000000004</v>
      </c>
      <c r="V22" s="48">
        <f t="shared" si="20"/>
        <v>300000</v>
      </c>
      <c r="W22" s="48">
        <f t="shared" si="21"/>
        <v>950000</v>
      </c>
      <c r="X22" s="48">
        <f t="shared" si="22"/>
        <v>486000</v>
      </c>
      <c r="Y22" s="48">
        <f t="shared" si="23"/>
        <v>716137.50000000012</v>
      </c>
      <c r="Z22" s="48">
        <f t="shared" si="24"/>
        <v>2452137.5</v>
      </c>
      <c r="AA22" s="37">
        <f t="shared" si="25"/>
        <v>0.26</v>
      </c>
      <c r="AB22" s="49">
        <f t="shared" si="26"/>
        <v>0.38627480158730143</v>
      </c>
      <c r="AC22" s="49">
        <f t="shared" si="27"/>
        <v>0.77254960317460286</v>
      </c>
      <c r="AD22" s="50">
        <f t="shared" si="28"/>
        <v>14.904659999999998</v>
      </c>
      <c r="AE22" s="8">
        <f t="shared" si="29"/>
        <v>0</v>
      </c>
      <c r="AF22" s="51">
        <f t="shared" si="30"/>
        <v>2452137.5</v>
      </c>
      <c r="AG22" s="8">
        <f t="shared" si="44"/>
        <v>9.9999999999999997E+98</v>
      </c>
      <c r="AH22" s="8" t="str">
        <f t="shared" si="31"/>
        <v>height</v>
      </c>
      <c r="AI22" s="52">
        <f t="shared" si="45"/>
        <v>612500002452137.5</v>
      </c>
      <c r="AJ22" s="8">
        <v>16</v>
      </c>
      <c r="AK22" s="48" t="e">
        <f t="shared" si="32"/>
        <v>#N/A</v>
      </c>
      <c r="AL22" s="48" t="e">
        <f t="shared" si="33"/>
        <v>#N/A</v>
      </c>
      <c r="AM22" s="48" t="e">
        <f t="shared" si="34"/>
        <v>#N/A</v>
      </c>
      <c r="AN22" s="48" t="e">
        <f t="shared" si="35"/>
        <v>#N/A</v>
      </c>
      <c r="AO22" s="48" t="e">
        <f t="shared" si="36"/>
        <v>#N/A</v>
      </c>
      <c r="AP22" s="48" t="e">
        <f t="shared" si="37"/>
        <v>#N/A</v>
      </c>
      <c r="AQ22" s="48" t="e">
        <f t="shared" si="38"/>
        <v>#N/A</v>
      </c>
      <c r="AR22" s="48" t="e">
        <f t="shared" si="39"/>
        <v>#N/A</v>
      </c>
      <c r="AS22" s="48" t="e">
        <f t="shared" si="40"/>
        <v>#N/A</v>
      </c>
      <c r="AT22" s="48" t="e">
        <f t="shared" si="41"/>
        <v>#N/A</v>
      </c>
      <c r="AU22" s="48" t="e">
        <f t="shared" si="42"/>
        <v>#N/A</v>
      </c>
    </row>
    <row r="23" spans="1:47" ht="15" customHeight="1" x14ac:dyDescent="0.25">
      <c r="A23" s="8">
        <v>16</v>
      </c>
      <c r="B23" s="8">
        <f t="shared" si="43"/>
        <v>6</v>
      </c>
      <c r="C23" s="8">
        <v>16</v>
      </c>
      <c r="D23" s="49">
        <f t="shared" si="2"/>
        <v>0.59999999999999987</v>
      </c>
      <c r="E23" s="50">
        <f t="shared" si="3"/>
        <v>46.532142857142851</v>
      </c>
      <c r="F23" s="37">
        <f t="shared" si="4"/>
        <v>0.775535714285714</v>
      </c>
      <c r="G23" s="8">
        <f t="shared" si="5"/>
        <v>2</v>
      </c>
      <c r="H23" s="8">
        <f t="shared" si="6"/>
        <v>28</v>
      </c>
      <c r="I23" s="50">
        <f t="shared" si="7"/>
        <v>28</v>
      </c>
      <c r="J23" s="50">
        <f t="shared" si="8"/>
        <v>16.900000000000002</v>
      </c>
      <c r="K23" s="50">
        <f t="shared" si="9"/>
        <v>34.4</v>
      </c>
      <c r="L23" s="50">
        <f t="shared" si="10"/>
        <v>7</v>
      </c>
      <c r="M23" s="37">
        <f t="shared" si="11"/>
        <v>6.1741888679754187</v>
      </c>
      <c r="N23" s="37">
        <f t="shared" si="12"/>
        <v>6.5142857142857142</v>
      </c>
      <c r="O23" s="50">
        <f t="shared" si="13"/>
        <v>83.376949164522259</v>
      </c>
      <c r="P23" s="50">
        <f t="shared" si="14"/>
        <v>18</v>
      </c>
      <c r="Q23" s="8">
        <f t="shared" si="15"/>
        <v>20</v>
      </c>
      <c r="R23" s="48">
        <f t="shared" si="16"/>
        <v>4800</v>
      </c>
      <c r="S23" s="48">
        <f t="shared" si="17"/>
        <v>4080</v>
      </c>
      <c r="T23" s="48">
        <f t="shared" si="18"/>
        <v>473.20000000000005</v>
      </c>
      <c r="U23" s="48">
        <f t="shared" si="19"/>
        <v>16987.88</v>
      </c>
      <c r="V23" s="48">
        <f t="shared" si="20"/>
        <v>300000</v>
      </c>
      <c r="W23" s="48">
        <f t="shared" si="21"/>
        <v>1000000</v>
      </c>
      <c r="X23" s="48">
        <f t="shared" si="22"/>
        <v>480000</v>
      </c>
      <c r="Y23" s="48">
        <f t="shared" si="23"/>
        <v>698916.4</v>
      </c>
      <c r="Z23" s="48">
        <f t="shared" si="24"/>
        <v>2478916.4</v>
      </c>
      <c r="AA23" s="37">
        <f t="shared" si="25"/>
        <v>0.27857142857142858</v>
      </c>
      <c r="AB23" s="49">
        <f t="shared" si="26"/>
        <v>0.387767857142857</v>
      </c>
      <c r="AC23" s="49">
        <f t="shared" si="27"/>
        <v>0.775535714285714</v>
      </c>
      <c r="AD23" s="50">
        <f t="shared" si="28"/>
        <v>15.185879999999999</v>
      </c>
      <c r="AE23" s="8">
        <f t="shared" si="29"/>
        <v>0</v>
      </c>
      <c r="AF23" s="51">
        <f t="shared" si="30"/>
        <v>2478916.4</v>
      </c>
      <c r="AG23" s="8">
        <f t="shared" si="44"/>
        <v>9.9999999999999997E+98</v>
      </c>
      <c r="AH23" s="8" t="str">
        <f t="shared" si="31"/>
        <v>height</v>
      </c>
      <c r="AI23" s="52">
        <f t="shared" si="45"/>
        <v>720000002478916.38</v>
      </c>
      <c r="AJ23" s="8">
        <v>17</v>
      </c>
      <c r="AK23" s="48" t="e">
        <f t="shared" si="32"/>
        <v>#N/A</v>
      </c>
      <c r="AL23" s="48" t="e">
        <f t="shared" si="33"/>
        <v>#N/A</v>
      </c>
      <c r="AM23" s="48" t="e">
        <f t="shared" si="34"/>
        <v>#N/A</v>
      </c>
      <c r="AN23" s="48" t="e">
        <f t="shared" si="35"/>
        <v>#N/A</v>
      </c>
      <c r="AO23" s="48" t="e">
        <f t="shared" si="36"/>
        <v>#N/A</v>
      </c>
      <c r="AP23" s="48" t="e">
        <f t="shared" si="37"/>
        <v>#N/A</v>
      </c>
      <c r="AQ23" s="48" t="e">
        <f t="shared" si="38"/>
        <v>#N/A</v>
      </c>
      <c r="AR23" s="48" t="e">
        <f t="shared" si="39"/>
        <v>#N/A</v>
      </c>
      <c r="AS23" s="48" t="e">
        <f t="shared" si="40"/>
        <v>#N/A</v>
      </c>
      <c r="AT23" s="48" t="e">
        <f t="shared" si="41"/>
        <v>#N/A</v>
      </c>
      <c r="AU23" s="48" t="e">
        <f t="shared" si="42"/>
        <v>#N/A</v>
      </c>
    </row>
    <row r="24" spans="1:47" ht="15" customHeight="1" x14ac:dyDescent="0.25">
      <c r="A24" s="8">
        <v>17</v>
      </c>
      <c r="B24" s="8">
        <f t="shared" si="43"/>
        <v>6</v>
      </c>
      <c r="C24" s="8">
        <v>17</v>
      </c>
      <c r="D24" s="49">
        <f t="shared" si="2"/>
        <v>0.6</v>
      </c>
      <c r="E24" s="50">
        <f t="shared" si="3"/>
        <v>46.711309523809518</v>
      </c>
      <c r="F24" s="37">
        <f t="shared" si="4"/>
        <v>0.77852182539682535</v>
      </c>
      <c r="G24" s="8">
        <f t="shared" si="5"/>
        <v>2</v>
      </c>
      <c r="H24" s="8">
        <f t="shared" si="6"/>
        <v>27</v>
      </c>
      <c r="I24" s="50">
        <f t="shared" si="7"/>
        <v>27</v>
      </c>
      <c r="J24" s="50">
        <f t="shared" si="8"/>
        <v>16.900000000000002</v>
      </c>
      <c r="K24" s="50">
        <f t="shared" si="9"/>
        <v>36.549999999999997</v>
      </c>
      <c r="L24" s="50">
        <f t="shared" si="10"/>
        <v>6.75</v>
      </c>
      <c r="M24" s="37">
        <f t="shared" si="11"/>
        <v>6.0828889847787408</v>
      </c>
      <c r="N24" s="37">
        <f t="shared" si="12"/>
        <v>6.5142857142857142</v>
      </c>
      <c r="O24" s="50">
        <f t="shared" si="13"/>
        <v>83.194349398128907</v>
      </c>
      <c r="P24" s="50">
        <f t="shared" si="14"/>
        <v>19</v>
      </c>
      <c r="Q24" s="8">
        <f t="shared" si="15"/>
        <v>21</v>
      </c>
      <c r="R24" s="48">
        <f t="shared" si="16"/>
        <v>4896</v>
      </c>
      <c r="S24" s="48">
        <f t="shared" si="17"/>
        <v>4161.5999999999995</v>
      </c>
      <c r="T24" s="48">
        <f t="shared" si="18"/>
        <v>456.30000000000007</v>
      </c>
      <c r="U24" s="48">
        <f t="shared" si="19"/>
        <v>17362.215</v>
      </c>
      <c r="V24" s="48">
        <f t="shared" si="20"/>
        <v>300000</v>
      </c>
      <c r="W24" s="48">
        <f t="shared" si="21"/>
        <v>1050000</v>
      </c>
      <c r="X24" s="48">
        <f t="shared" si="22"/>
        <v>489600</v>
      </c>
      <c r="Y24" s="48">
        <f t="shared" si="23"/>
        <v>703386.45000000007</v>
      </c>
      <c r="Z24" s="48">
        <f t="shared" si="24"/>
        <v>2542986.4500000002</v>
      </c>
      <c r="AA24" s="37">
        <f t="shared" si="25"/>
        <v>0.28888888888888892</v>
      </c>
      <c r="AB24" s="49">
        <f t="shared" si="26"/>
        <v>0.38926091269841268</v>
      </c>
      <c r="AC24" s="49">
        <f t="shared" si="27"/>
        <v>0.77852182539682535</v>
      </c>
      <c r="AD24" s="50">
        <f t="shared" si="28"/>
        <v>15.4671</v>
      </c>
      <c r="AE24" s="8">
        <f t="shared" si="29"/>
        <v>0</v>
      </c>
      <c r="AF24" s="51">
        <f t="shared" si="30"/>
        <v>2542986.4500000002</v>
      </c>
      <c r="AG24" s="8">
        <f t="shared" si="44"/>
        <v>9.9999999999999997E+98</v>
      </c>
      <c r="AH24" s="8" t="str">
        <f t="shared" si="31"/>
        <v>height</v>
      </c>
      <c r="AI24" s="52">
        <f t="shared" si="45"/>
        <v>827500002542986.38</v>
      </c>
      <c r="AJ24" s="8">
        <v>18</v>
      </c>
      <c r="AK24" s="48" t="e">
        <f t="shared" si="32"/>
        <v>#N/A</v>
      </c>
      <c r="AL24" s="48" t="e">
        <f t="shared" si="33"/>
        <v>#N/A</v>
      </c>
      <c r="AM24" s="48" t="e">
        <f t="shared" si="34"/>
        <v>#N/A</v>
      </c>
      <c r="AN24" s="48" t="e">
        <f t="shared" si="35"/>
        <v>#N/A</v>
      </c>
      <c r="AO24" s="48" t="e">
        <f t="shared" si="36"/>
        <v>#N/A</v>
      </c>
      <c r="AP24" s="48" t="e">
        <f t="shared" si="37"/>
        <v>#N/A</v>
      </c>
      <c r="AQ24" s="48" t="e">
        <f t="shared" si="38"/>
        <v>#N/A</v>
      </c>
      <c r="AR24" s="48" t="e">
        <f t="shared" si="39"/>
        <v>#N/A</v>
      </c>
      <c r="AS24" s="48" t="e">
        <f t="shared" si="40"/>
        <v>#N/A</v>
      </c>
      <c r="AT24" s="48" t="e">
        <f t="shared" si="41"/>
        <v>#N/A</v>
      </c>
      <c r="AU24" s="48" t="e">
        <f t="shared" si="42"/>
        <v>#N/A</v>
      </c>
    </row>
    <row r="25" spans="1:47" ht="15" customHeight="1" x14ac:dyDescent="0.25">
      <c r="A25" s="8">
        <v>18</v>
      </c>
      <c r="B25" s="8">
        <f t="shared" si="43"/>
        <v>6</v>
      </c>
      <c r="C25" s="8">
        <v>18</v>
      </c>
      <c r="D25" s="49">
        <f t="shared" si="2"/>
        <v>0.6</v>
      </c>
      <c r="E25" s="50">
        <f t="shared" si="3"/>
        <v>46.890476190476186</v>
      </c>
      <c r="F25" s="37">
        <f t="shared" si="4"/>
        <v>0.78150793650793637</v>
      </c>
      <c r="G25" s="8">
        <f t="shared" si="5"/>
        <v>2</v>
      </c>
      <c r="H25" s="8">
        <f t="shared" si="6"/>
        <v>25</v>
      </c>
      <c r="I25" s="50">
        <f t="shared" si="7"/>
        <v>25</v>
      </c>
      <c r="J25" s="50">
        <f t="shared" si="8"/>
        <v>16.900000000000002</v>
      </c>
      <c r="K25" s="50">
        <f t="shared" si="9"/>
        <v>38.699999999999996</v>
      </c>
      <c r="L25" s="50">
        <f t="shared" si="10"/>
        <v>6.25</v>
      </c>
      <c r="M25" s="37">
        <f t="shared" si="11"/>
        <v>5.8998058178467536</v>
      </c>
      <c r="N25" s="37">
        <f t="shared" si="12"/>
        <v>6.5142857142857142</v>
      </c>
      <c r="O25" s="50">
        <f t="shared" si="13"/>
        <v>82.828183064264934</v>
      </c>
      <c r="P25" s="50">
        <f t="shared" si="14"/>
        <v>20</v>
      </c>
      <c r="Q25" s="8">
        <f t="shared" si="15"/>
        <v>22</v>
      </c>
      <c r="R25" s="48">
        <f t="shared" si="16"/>
        <v>4752</v>
      </c>
      <c r="S25" s="48">
        <f t="shared" si="17"/>
        <v>4039.2</v>
      </c>
      <c r="T25" s="48">
        <f t="shared" si="18"/>
        <v>422.50000000000006</v>
      </c>
      <c r="U25" s="48">
        <f t="shared" si="19"/>
        <v>16984.5</v>
      </c>
      <c r="V25" s="48">
        <f t="shared" si="20"/>
        <v>300000</v>
      </c>
      <c r="W25" s="48">
        <f t="shared" si="21"/>
        <v>1100000</v>
      </c>
      <c r="X25" s="48">
        <f t="shared" si="22"/>
        <v>475200</v>
      </c>
      <c r="Y25" s="48">
        <f t="shared" si="23"/>
        <v>678535</v>
      </c>
      <c r="Z25" s="48">
        <f t="shared" si="24"/>
        <v>2553735</v>
      </c>
      <c r="AA25" s="37">
        <f t="shared" si="25"/>
        <v>0.31200000000000006</v>
      </c>
      <c r="AB25" s="49">
        <f t="shared" si="26"/>
        <v>0.39075396825396819</v>
      </c>
      <c r="AC25" s="49">
        <f t="shared" si="27"/>
        <v>0.78150793650793637</v>
      </c>
      <c r="AD25" s="50">
        <f t="shared" si="28"/>
        <v>15.748319999999998</v>
      </c>
      <c r="AE25" s="8">
        <f t="shared" si="29"/>
        <v>0</v>
      </c>
      <c r="AF25" s="51">
        <f t="shared" si="30"/>
        <v>2553735</v>
      </c>
      <c r="AG25" s="8">
        <f t="shared" si="44"/>
        <v>9.9999999999999997E+98</v>
      </c>
      <c r="AH25" s="8" t="str">
        <f t="shared" si="31"/>
        <v>height</v>
      </c>
      <c r="AI25" s="52">
        <f t="shared" si="45"/>
        <v>935000002553734.88</v>
      </c>
      <c r="AJ25" s="8">
        <v>19</v>
      </c>
      <c r="AK25" s="48" t="e">
        <f t="shared" si="32"/>
        <v>#N/A</v>
      </c>
      <c r="AL25" s="48" t="e">
        <f t="shared" si="33"/>
        <v>#N/A</v>
      </c>
      <c r="AM25" s="48" t="e">
        <f t="shared" si="34"/>
        <v>#N/A</v>
      </c>
      <c r="AN25" s="48" t="e">
        <f t="shared" si="35"/>
        <v>#N/A</v>
      </c>
      <c r="AO25" s="48" t="e">
        <f t="shared" si="36"/>
        <v>#N/A</v>
      </c>
      <c r="AP25" s="48" t="e">
        <f t="shared" si="37"/>
        <v>#N/A</v>
      </c>
      <c r="AQ25" s="48" t="e">
        <f t="shared" si="38"/>
        <v>#N/A</v>
      </c>
      <c r="AR25" s="48" t="e">
        <f t="shared" si="39"/>
        <v>#N/A</v>
      </c>
      <c r="AS25" s="48" t="e">
        <f t="shared" si="40"/>
        <v>#N/A</v>
      </c>
      <c r="AT25" s="48" t="e">
        <f t="shared" si="41"/>
        <v>#N/A</v>
      </c>
      <c r="AU25" s="48" t="e">
        <f t="shared" si="42"/>
        <v>#N/A</v>
      </c>
    </row>
    <row r="26" spans="1:47" ht="15" customHeight="1" x14ac:dyDescent="0.25">
      <c r="A26" s="8">
        <v>19</v>
      </c>
      <c r="B26" s="8">
        <f t="shared" si="43"/>
        <v>6</v>
      </c>
      <c r="C26" s="8">
        <v>19</v>
      </c>
      <c r="D26" s="49">
        <f t="shared" si="2"/>
        <v>0.6</v>
      </c>
      <c r="E26" s="50">
        <f t="shared" si="3"/>
        <v>47.069642857142867</v>
      </c>
      <c r="F26" s="37">
        <f t="shared" si="4"/>
        <v>0.78449404761904773</v>
      </c>
      <c r="G26" s="8">
        <f t="shared" si="5"/>
        <v>2</v>
      </c>
      <c r="H26" s="8">
        <f t="shared" si="6"/>
        <v>24</v>
      </c>
      <c r="I26" s="50">
        <f t="shared" si="7"/>
        <v>24</v>
      </c>
      <c r="J26" s="50">
        <f t="shared" si="8"/>
        <v>16.900000000000002</v>
      </c>
      <c r="K26" s="50">
        <f t="shared" si="9"/>
        <v>40.85</v>
      </c>
      <c r="L26" s="50">
        <f t="shared" si="10"/>
        <v>6</v>
      </c>
      <c r="M26" s="37">
        <f t="shared" si="11"/>
        <v>5.8079822507332253</v>
      </c>
      <c r="N26" s="37">
        <f t="shared" si="12"/>
        <v>6.5142857142857142</v>
      </c>
      <c r="O26" s="50">
        <f t="shared" si="13"/>
        <v>82.644535930037875</v>
      </c>
      <c r="P26" s="50">
        <f t="shared" si="14"/>
        <v>21</v>
      </c>
      <c r="Q26" s="8">
        <f t="shared" si="15"/>
        <v>23</v>
      </c>
      <c r="R26" s="48">
        <f t="shared" si="16"/>
        <v>4788</v>
      </c>
      <c r="S26" s="48">
        <f t="shared" si="17"/>
        <v>4069.7999999999997</v>
      </c>
      <c r="T26" s="48">
        <f t="shared" si="18"/>
        <v>405.6</v>
      </c>
      <c r="U26" s="48">
        <f t="shared" si="19"/>
        <v>17177.16</v>
      </c>
      <c r="V26" s="48">
        <f t="shared" si="20"/>
        <v>300000</v>
      </c>
      <c r="W26" s="48">
        <f t="shared" si="21"/>
        <v>1150000</v>
      </c>
      <c r="X26" s="48">
        <f t="shared" si="22"/>
        <v>478800</v>
      </c>
      <c r="Y26" s="48">
        <f t="shared" si="23"/>
        <v>677554.8</v>
      </c>
      <c r="Z26" s="48">
        <f t="shared" si="24"/>
        <v>2606354.7999999998</v>
      </c>
      <c r="AA26" s="37">
        <f t="shared" si="25"/>
        <v>0.32500000000000001</v>
      </c>
      <c r="AB26" s="49">
        <f t="shared" si="26"/>
        <v>0.39224702380952386</v>
      </c>
      <c r="AC26" s="49">
        <f t="shared" si="27"/>
        <v>0.78449404761904773</v>
      </c>
      <c r="AD26" s="50">
        <f t="shared" si="28"/>
        <v>16.029539999999997</v>
      </c>
      <c r="AE26" s="8">
        <f t="shared" si="29"/>
        <v>0</v>
      </c>
      <c r="AF26" s="51">
        <f t="shared" si="30"/>
        <v>2606354.7999999998</v>
      </c>
      <c r="AG26" s="8">
        <f t="shared" si="44"/>
        <v>9.9999999999999997E+98</v>
      </c>
      <c r="AH26" s="8" t="str">
        <f t="shared" si="31"/>
        <v>height</v>
      </c>
      <c r="AI26" s="52">
        <f t="shared" si="45"/>
        <v>1042500002606354.8</v>
      </c>
      <c r="AJ26" s="8">
        <v>20</v>
      </c>
      <c r="AK26" s="48" t="e">
        <f t="shared" si="32"/>
        <v>#N/A</v>
      </c>
      <c r="AL26" s="48" t="e">
        <f t="shared" si="33"/>
        <v>#N/A</v>
      </c>
      <c r="AM26" s="48" t="e">
        <f t="shared" si="34"/>
        <v>#N/A</v>
      </c>
      <c r="AN26" s="48" t="e">
        <f t="shared" si="35"/>
        <v>#N/A</v>
      </c>
      <c r="AO26" s="48" t="e">
        <f t="shared" si="36"/>
        <v>#N/A</v>
      </c>
      <c r="AP26" s="48" t="e">
        <f t="shared" si="37"/>
        <v>#N/A</v>
      </c>
      <c r="AQ26" s="48" t="e">
        <f t="shared" si="38"/>
        <v>#N/A</v>
      </c>
      <c r="AR26" s="48" t="e">
        <f t="shared" si="39"/>
        <v>#N/A</v>
      </c>
      <c r="AS26" s="48" t="e">
        <f t="shared" si="40"/>
        <v>#N/A</v>
      </c>
      <c r="AT26" s="48" t="e">
        <f t="shared" si="41"/>
        <v>#N/A</v>
      </c>
      <c r="AU26" s="48" t="e">
        <f t="shared" si="42"/>
        <v>#N/A</v>
      </c>
    </row>
    <row r="27" spans="1:47" ht="15" customHeight="1" x14ac:dyDescent="0.25">
      <c r="A27" s="8">
        <v>20</v>
      </c>
      <c r="B27" s="8">
        <f t="shared" si="43"/>
        <v>6</v>
      </c>
      <c r="C27" s="8">
        <v>20</v>
      </c>
      <c r="D27" s="49">
        <f t="shared" si="2"/>
        <v>0.59999999999999987</v>
      </c>
      <c r="E27" s="50">
        <f t="shared" si="3"/>
        <v>47.248809523809541</v>
      </c>
      <c r="F27" s="37">
        <f t="shared" si="4"/>
        <v>0.78748015873015886</v>
      </c>
      <c r="G27" s="8">
        <f t="shared" si="5"/>
        <v>2</v>
      </c>
      <c r="H27" s="8">
        <f t="shared" si="6"/>
        <v>23</v>
      </c>
      <c r="I27" s="50">
        <f t="shared" si="7"/>
        <v>23</v>
      </c>
      <c r="J27" s="50">
        <f t="shared" si="8"/>
        <v>16.900000000000002</v>
      </c>
      <c r="K27" s="50">
        <f t="shared" si="9"/>
        <v>43</v>
      </c>
      <c r="L27" s="50">
        <f t="shared" si="10"/>
        <v>5.75</v>
      </c>
      <c r="M27" s="37">
        <f t="shared" si="11"/>
        <v>5.7159380007651057</v>
      </c>
      <c r="N27" s="37">
        <f t="shared" si="12"/>
        <v>6.5142857142857142</v>
      </c>
      <c r="O27" s="50">
        <f t="shared" si="13"/>
        <v>82.460447430101638</v>
      </c>
      <c r="P27" s="50">
        <f t="shared" si="14"/>
        <v>22</v>
      </c>
      <c r="Q27" s="8">
        <f t="shared" si="15"/>
        <v>24</v>
      </c>
      <c r="R27" s="48">
        <f t="shared" si="16"/>
        <v>4800</v>
      </c>
      <c r="S27" s="48">
        <f t="shared" si="17"/>
        <v>4080</v>
      </c>
      <c r="T27" s="48">
        <f t="shared" si="18"/>
        <v>388.70000000000005</v>
      </c>
      <c r="U27" s="48">
        <f t="shared" si="19"/>
        <v>17297.150000000001</v>
      </c>
      <c r="V27" s="48">
        <f t="shared" si="20"/>
        <v>300000</v>
      </c>
      <c r="W27" s="48">
        <f t="shared" si="21"/>
        <v>1200000</v>
      </c>
      <c r="X27" s="48">
        <f t="shared" si="22"/>
        <v>480000</v>
      </c>
      <c r="Y27" s="48">
        <f t="shared" si="23"/>
        <v>674394.50000000012</v>
      </c>
      <c r="Z27" s="48">
        <f t="shared" si="24"/>
        <v>2654394.5</v>
      </c>
      <c r="AA27" s="37">
        <f t="shared" si="25"/>
        <v>0.33913043478260874</v>
      </c>
      <c r="AB27" s="49">
        <f t="shared" si="26"/>
        <v>0.39374007936507943</v>
      </c>
      <c r="AC27" s="49">
        <f t="shared" si="27"/>
        <v>0.78748015873015886</v>
      </c>
      <c r="AD27" s="50">
        <f t="shared" si="28"/>
        <v>16.310760000000005</v>
      </c>
      <c r="AE27" s="8">
        <f t="shared" si="29"/>
        <v>0</v>
      </c>
      <c r="AF27" s="51">
        <f t="shared" si="30"/>
        <v>2654394.5</v>
      </c>
      <c r="AG27" s="8">
        <f t="shared" si="44"/>
        <v>9.9999999999999997E+98</v>
      </c>
      <c r="AH27" s="8" t="str">
        <f t="shared" si="31"/>
        <v>height</v>
      </c>
      <c r="AI27" s="52">
        <f t="shared" si="45"/>
        <v>1150000002654394.5</v>
      </c>
    </row>
    <row r="28" spans="1:47" ht="15" customHeight="1" x14ac:dyDescent="0.25">
      <c r="A28" s="8">
        <v>21</v>
      </c>
      <c r="B28" s="8">
        <f t="shared" ref="B28:B47" si="46">$C$3</f>
        <v>6</v>
      </c>
      <c r="C28" s="8">
        <v>1</v>
      </c>
      <c r="D28" s="49">
        <f t="shared" si="2"/>
        <v>0</v>
      </c>
      <c r="E28" s="50">
        <f t="shared" si="3"/>
        <v>0</v>
      </c>
      <c r="F28" s="37">
        <f t="shared" si="4"/>
        <v>0</v>
      </c>
      <c r="G28" s="8">
        <f t="shared" si="5"/>
        <v>0</v>
      </c>
      <c r="H28" s="8">
        <f t="shared" si="6"/>
        <v>393</v>
      </c>
      <c r="I28" s="50">
        <f t="shared" si="7"/>
        <v>393</v>
      </c>
      <c r="J28" s="50">
        <f t="shared" si="8"/>
        <v>16.900000000000002</v>
      </c>
      <c r="K28" s="50">
        <f t="shared" si="9"/>
        <v>2.15</v>
      </c>
      <c r="L28" s="50">
        <f t="shared" si="10"/>
        <v>393</v>
      </c>
      <c r="M28" s="37">
        <f t="shared" si="11"/>
        <v>144.0847456395968</v>
      </c>
      <c r="N28" s="37">
        <f t="shared" si="12"/>
        <v>6.5142857142857142</v>
      </c>
      <c r="O28" s="50">
        <f t="shared" si="13"/>
        <v>359.19806270776502</v>
      </c>
      <c r="P28" s="50">
        <f t="shared" si="14"/>
        <v>14</v>
      </c>
      <c r="Q28" s="8">
        <f t="shared" si="15"/>
        <v>16</v>
      </c>
      <c r="R28" s="48">
        <f t="shared" si="16"/>
        <v>4716</v>
      </c>
      <c r="S28" s="48">
        <f t="shared" si="17"/>
        <v>4008.6</v>
      </c>
      <c r="T28" s="48">
        <f t="shared" si="18"/>
        <v>6641.7000000000007</v>
      </c>
      <c r="U28" s="48">
        <f t="shared" si="19"/>
        <v>24242.205000000002</v>
      </c>
      <c r="V28" s="48">
        <f t="shared" si="20"/>
        <v>0</v>
      </c>
      <c r="W28" s="48">
        <f t="shared" si="21"/>
        <v>800000</v>
      </c>
      <c r="X28" s="48">
        <f t="shared" si="22"/>
        <v>471600</v>
      </c>
      <c r="Y28" s="48">
        <f t="shared" si="23"/>
        <v>3383946.1500000004</v>
      </c>
      <c r="Z28" s="48">
        <f t="shared" si="24"/>
        <v>4655546.1500000004</v>
      </c>
      <c r="AA28" s="37">
        <f t="shared" si="25"/>
        <v>1.984732824427481E-2</v>
      </c>
      <c r="AB28" s="49">
        <f t="shared" si="26"/>
        <v>0</v>
      </c>
      <c r="AC28" s="49" t="str">
        <f t="shared" si="27"/>
        <v>n/a</v>
      </c>
      <c r="AD28" s="50">
        <f t="shared" si="28"/>
        <v>0</v>
      </c>
      <c r="AE28" s="8">
        <f t="shared" si="29"/>
        <v>0</v>
      </c>
      <c r="AF28" s="51">
        <f t="shared" si="30"/>
        <v>4655546.1500000004</v>
      </c>
      <c r="AG28" s="8">
        <f t="shared" si="44"/>
        <v>9.9999999999999997E+98</v>
      </c>
      <c r="AH28" s="8" t="str">
        <f t="shared" si="31"/>
        <v>footprint lanes&gt;300 duplicate</v>
      </c>
      <c r="AI28" s="52">
        <f t="shared" si="45"/>
        <v>5860000004655545</v>
      </c>
    </row>
    <row r="29" spans="1:47" ht="15" customHeight="1" x14ac:dyDescent="0.25">
      <c r="A29" s="8">
        <v>22</v>
      </c>
      <c r="B29" s="8">
        <f t="shared" si="46"/>
        <v>6</v>
      </c>
      <c r="C29" s="8">
        <v>2</v>
      </c>
      <c r="D29" s="49">
        <f t="shared" si="2"/>
        <v>0.5</v>
      </c>
      <c r="E29" s="50">
        <f t="shared" si="3"/>
        <v>41.157142857142851</v>
      </c>
      <c r="F29" s="37">
        <f t="shared" si="4"/>
        <v>0.57162698412698409</v>
      </c>
      <c r="G29" s="8">
        <f t="shared" si="5"/>
        <v>2</v>
      </c>
      <c r="H29" s="8">
        <f t="shared" si="6"/>
        <v>200</v>
      </c>
      <c r="I29" s="50">
        <f t="shared" si="7"/>
        <v>200</v>
      </c>
      <c r="J29" s="50">
        <f t="shared" si="8"/>
        <v>16.900000000000002</v>
      </c>
      <c r="K29" s="50">
        <f t="shared" si="9"/>
        <v>4.3</v>
      </c>
      <c r="L29" s="50">
        <f t="shared" si="10"/>
        <v>50</v>
      </c>
      <c r="M29" s="37">
        <f t="shared" si="11"/>
        <v>21.57810072723084</v>
      </c>
      <c r="N29" s="37">
        <f t="shared" si="12"/>
        <v>6.5142857142857142</v>
      </c>
      <c r="O29" s="50">
        <f t="shared" si="13"/>
        <v>114.18477288303311</v>
      </c>
      <c r="P29" s="50">
        <f t="shared" si="14"/>
        <v>6</v>
      </c>
      <c r="Q29" s="8">
        <f t="shared" si="15"/>
        <v>8</v>
      </c>
      <c r="R29" s="48">
        <f t="shared" si="16"/>
        <v>4728</v>
      </c>
      <c r="S29" s="48">
        <f t="shared" si="17"/>
        <v>4018.7999999999997</v>
      </c>
      <c r="T29" s="48">
        <f t="shared" si="18"/>
        <v>3380.0000000000005</v>
      </c>
      <c r="U29" s="48">
        <f t="shared" si="19"/>
        <v>19604.000000000004</v>
      </c>
      <c r="V29" s="48">
        <f t="shared" si="20"/>
        <v>300000</v>
      </c>
      <c r="W29" s="48">
        <f t="shared" si="21"/>
        <v>400000</v>
      </c>
      <c r="X29" s="48">
        <f t="shared" si="22"/>
        <v>472800</v>
      </c>
      <c r="Y29" s="48">
        <f t="shared" si="23"/>
        <v>1940120.0000000005</v>
      </c>
      <c r="Z29" s="48">
        <f t="shared" si="24"/>
        <v>3112920.0000000005</v>
      </c>
      <c r="AA29" s="37">
        <f t="shared" si="25"/>
        <v>3.9000000000000007E-2</v>
      </c>
      <c r="AB29" s="49">
        <f t="shared" si="26"/>
        <v>0.28581349206349205</v>
      </c>
      <c r="AC29" s="49">
        <f t="shared" si="27"/>
        <v>0.57162698412698409</v>
      </c>
      <c r="AD29" s="50">
        <f t="shared" si="28"/>
        <v>5.6243999999999996</v>
      </c>
      <c r="AE29" s="8">
        <f t="shared" si="29"/>
        <v>0</v>
      </c>
      <c r="AF29" s="51">
        <f t="shared" si="30"/>
        <v>3112920.0000000005</v>
      </c>
      <c r="AG29" s="8">
        <f t="shared" si="44"/>
        <v>9.9999999999999997E+98</v>
      </c>
      <c r="AH29" s="8" t="str">
        <f t="shared" si="31"/>
        <v>footprint duplicate</v>
      </c>
      <c r="AI29" s="52">
        <f t="shared" si="45"/>
        <v>2333333336446253.5</v>
      </c>
    </row>
    <row r="30" spans="1:47" ht="15" customHeight="1" x14ac:dyDescent="0.25">
      <c r="A30" s="8">
        <v>23</v>
      </c>
      <c r="B30" s="8">
        <f t="shared" si="46"/>
        <v>6</v>
      </c>
      <c r="C30" s="8">
        <v>3</v>
      </c>
      <c r="D30" s="49">
        <f t="shared" si="2"/>
        <v>0.52941176470588236</v>
      </c>
      <c r="E30" s="50">
        <f t="shared" si="3"/>
        <v>41.634920634920626</v>
      </c>
      <c r="F30" s="37">
        <f t="shared" si="4"/>
        <v>0.61227824463118574</v>
      </c>
      <c r="G30" s="8">
        <f t="shared" si="5"/>
        <v>2</v>
      </c>
      <c r="H30" s="8">
        <f t="shared" si="6"/>
        <v>134</v>
      </c>
      <c r="I30" s="50">
        <f t="shared" si="7"/>
        <v>134</v>
      </c>
      <c r="J30" s="50">
        <f t="shared" si="8"/>
        <v>16.900000000000002</v>
      </c>
      <c r="K30" s="50">
        <f t="shared" si="9"/>
        <v>6.4499999999999993</v>
      </c>
      <c r="L30" s="50">
        <f t="shared" si="10"/>
        <v>33.5</v>
      </c>
      <c r="M30" s="37">
        <f t="shared" si="11"/>
        <v>15.681493622732603</v>
      </c>
      <c r="N30" s="37">
        <f t="shared" si="12"/>
        <v>6.5142857142857142</v>
      </c>
      <c r="O30" s="50">
        <f t="shared" si="13"/>
        <v>102.39155867403663</v>
      </c>
      <c r="P30" s="50">
        <f t="shared" si="14"/>
        <v>5</v>
      </c>
      <c r="Q30" s="8">
        <f t="shared" si="15"/>
        <v>7</v>
      </c>
      <c r="R30" s="48">
        <f t="shared" si="16"/>
        <v>4716</v>
      </c>
      <c r="S30" s="48">
        <f t="shared" si="17"/>
        <v>4008.6</v>
      </c>
      <c r="T30" s="48">
        <f t="shared" si="18"/>
        <v>2264.6000000000004</v>
      </c>
      <c r="U30" s="48">
        <f t="shared" si="19"/>
        <v>18003.57</v>
      </c>
      <c r="V30" s="48">
        <f t="shared" si="20"/>
        <v>300000</v>
      </c>
      <c r="W30" s="48">
        <f t="shared" si="21"/>
        <v>350000</v>
      </c>
      <c r="X30" s="48">
        <f t="shared" si="22"/>
        <v>471600</v>
      </c>
      <c r="Y30" s="48">
        <f t="shared" si="23"/>
        <v>1445947.1</v>
      </c>
      <c r="Z30" s="48">
        <f t="shared" si="24"/>
        <v>2567547.1</v>
      </c>
      <c r="AA30" s="37">
        <f t="shared" si="25"/>
        <v>5.8208955223880601E-2</v>
      </c>
      <c r="AB30" s="49">
        <f t="shared" si="26"/>
        <v>0.30613912231559287</v>
      </c>
      <c r="AC30" s="49">
        <f t="shared" si="27"/>
        <v>0.61227824463118574</v>
      </c>
      <c r="AD30" s="50">
        <f t="shared" si="28"/>
        <v>6.6169411764705863</v>
      </c>
      <c r="AE30" s="8">
        <f t="shared" si="29"/>
        <v>0</v>
      </c>
      <c r="AF30" s="51">
        <f t="shared" si="30"/>
        <v>2567547.1</v>
      </c>
      <c r="AG30" s="8">
        <f t="shared" si="44"/>
        <v>9.9999999999999997E+98</v>
      </c>
      <c r="AH30" s="8" t="str">
        <f t="shared" si="31"/>
        <v>footprint duplicate</v>
      </c>
      <c r="AI30" s="52">
        <f t="shared" si="45"/>
        <v>1233333335900880.5</v>
      </c>
    </row>
    <row r="31" spans="1:47" ht="15" customHeight="1" x14ac:dyDescent="0.25">
      <c r="A31" s="8">
        <v>24</v>
      </c>
      <c r="B31" s="8">
        <f t="shared" si="46"/>
        <v>6</v>
      </c>
      <c r="C31" s="8">
        <v>4</v>
      </c>
      <c r="D31" s="49">
        <f t="shared" si="2"/>
        <v>0.55555555555555558</v>
      </c>
      <c r="E31" s="50">
        <f t="shared" si="3"/>
        <v>42.447142857142843</v>
      </c>
      <c r="F31" s="37">
        <f t="shared" si="4"/>
        <v>0.65504850088183397</v>
      </c>
      <c r="G31" s="8">
        <f t="shared" si="5"/>
        <v>2</v>
      </c>
      <c r="H31" s="8">
        <f t="shared" si="6"/>
        <v>102</v>
      </c>
      <c r="I31" s="50">
        <f t="shared" si="7"/>
        <v>102</v>
      </c>
      <c r="J31" s="50">
        <f t="shared" si="8"/>
        <v>16.900000000000002</v>
      </c>
      <c r="K31" s="50">
        <f t="shared" si="9"/>
        <v>8.6</v>
      </c>
      <c r="L31" s="50">
        <f t="shared" si="10"/>
        <v>25.5</v>
      </c>
      <c r="M31" s="37">
        <f t="shared" si="11"/>
        <v>12.820785739668324</v>
      </c>
      <c r="N31" s="37">
        <f t="shared" si="12"/>
        <v>6.5142857142857142</v>
      </c>
      <c r="O31" s="50">
        <f t="shared" si="13"/>
        <v>96.670142907908073</v>
      </c>
      <c r="P31" s="50">
        <f t="shared" si="14"/>
        <v>6</v>
      </c>
      <c r="Q31" s="8">
        <f t="shared" si="15"/>
        <v>8</v>
      </c>
      <c r="R31" s="48">
        <f t="shared" si="16"/>
        <v>4752</v>
      </c>
      <c r="S31" s="48">
        <f t="shared" si="17"/>
        <v>4039.2</v>
      </c>
      <c r="T31" s="48">
        <f t="shared" si="18"/>
        <v>1723.8000000000002</v>
      </c>
      <c r="U31" s="48">
        <f t="shared" si="19"/>
        <v>17410.38</v>
      </c>
      <c r="V31" s="48">
        <f t="shared" si="20"/>
        <v>300000</v>
      </c>
      <c r="W31" s="48">
        <f t="shared" si="21"/>
        <v>400000</v>
      </c>
      <c r="X31" s="48">
        <f t="shared" si="22"/>
        <v>475200</v>
      </c>
      <c r="Y31" s="48">
        <f t="shared" si="23"/>
        <v>1211831.4000000001</v>
      </c>
      <c r="Z31" s="48">
        <f t="shared" si="24"/>
        <v>2387031.4000000004</v>
      </c>
      <c r="AA31" s="37">
        <f t="shared" si="25"/>
        <v>7.6470588235294124E-2</v>
      </c>
      <c r="AB31" s="49">
        <f t="shared" si="26"/>
        <v>0.32752425044091699</v>
      </c>
      <c r="AC31" s="49">
        <f t="shared" si="27"/>
        <v>0.65504850088183397</v>
      </c>
      <c r="AD31" s="50">
        <f t="shared" si="28"/>
        <v>8.124133333333333</v>
      </c>
      <c r="AE31" s="8">
        <f t="shared" si="29"/>
        <v>0</v>
      </c>
      <c r="AF31" s="51">
        <f t="shared" si="30"/>
        <v>2387031.4000000004</v>
      </c>
      <c r="AG31" s="8">
        <f t="shared" si="44"/>
        <v>9.9999999999999997E+98</v>
      </c>
      <c r="AH31" s="8" t="str">
        <f t="shared" si="31"/>
        <v>footprint duplicate</v>
      </c>
      <c r="AI31" s="52">
        <f t="shared" si="45"/>
        <v>700000002387031.38</v>
      </c>
    </row>
    <row r="32" spans="1:47" ht="15" customHeight="1" x14ac:dyDescent="0.25">
      <c r="A32" s="8">
        <v>25</v>
      </c>
      <c r="B32" s="8">
        <f t="shared" si="46"/>
        <v>6</v>
      </c>
      <c r="C32" s="8">
        <v>5</v>
      </c>
      <c r="D32" s="49">
        <f t="shared" si="2"/>
        <v>0.57894736842105265</v>
      </c>
      <c r="E32" s="50">
        <f t="shared" si="3"/>
        <v>43.502597402597381</v>
      </c>
      <c r="F32" s="37">
        <f t="shared" si="4"/>
        <v>0.69960317460317434</v>
      </c>
      <c r="G32" s="8">
        <f t="shared" si="5"/>
        <v>2</v>
      </c>
      <c r="H32" s="8">
        <f t="shared" si="6"/>
        <v>82</v>
      </c>
      <c r="I32" s="50">
        <f t="shared" si="7"/>
        <v>82</v>
      </c>
      <c r="J32" s="50">
        <f t="shared" si="8"/>
        <v>16.900000000000002</v>
      </c>
      <c r="K32" s="50">
        <f t="shared" si="9"/>
        <v>10.75</v>
      </c>
      <c r="L32" s="50">
        <f t="shared" si="10"/>
        <v>20.5</v>
      </c>
      <c r="M32" s="37">
        <f t="shared" si="11"/>
        <v>11.03143034516234</v>
      </c>
      <c r="N32" s="37">
        <f t="shared" si="12"/>
        <v>6.5142857142857142</v>
      </c>
      <c r="O32" s="50">
        <f t="shared" si="13"/>
        <v>93.091432118896108</v>
      </c>
      <c r="P32" s="50">
        <f t="shared" si="14"/>
        <v>7</v>
      </c>
      <c r="Q32" s="8">
        <f t="shared" si="15"/>
        <v>9</v>
      </c>
      <c r="R32" s="48">
        <f t="shared" si="16"/>
        <v>4740</v>
      </c>
      <c r="S32" s="48">
        <f t="shared" si="17"/>
        <v>4029</v>
      </c>
      <c r="T32" s="48">
        <f t="shared" si="18"/>
        <v>1385.8000000000002</v>
      </c>
      <c r="U32" s="48">
        <f t="shared" si="19"/>
        <v>16976.050000000003</v>
      </c>
      <c r="V32" s="48">
        <f t="shared" si="20"/>
        <v>300000</v>
      </c>
      <c r="W32" s="48">
        <f t="shared" si="21"/>
        <v>450000</v>
      </c>
      <c r="X32" s="48">
        <f t="shared" si="22"/>
        <v>474000</v>
      </c>
      <c r="Y32" s="48">
        <f t="shared" si="23"/>
        <v>1063601.5000000002</v>
      </c>
      <c r="Z32" s="48">
        <f t="shared" si="24"/>
        <v>2287601.5</v>
      </c>
      <c r="AA32" s="37">
        <f t="shared" si="25"/>
        <v>9.512195121951221E-2</v>
      </c>
      <c r="AB32" s="49">
        <f t="shared" si="26"/>
        <v>0.34980158730158717</v>
      </c>
      <c r="AC32" s="49">
        <f t="shared" si="27"/>
        <v>0.69960317460317434</v>
      </c>
      <c r="AD32" s="50">
        <f t="shared" si="28"/>
        <v>10.064715789473683</v>
      </c>
      <c r="AE32" s="8">
        <f t="shared" si="29"/>
        <v>0</v>
      </c>
      <c r="AF32" s="51">
        <f t="shared" si="30"/>
        <v>2287601.5</v>
      </c>
      <c r="AG32" s="8">
        <f t="shared" si="44"/>
        <v>9.9999999999999997E+98</v>
      </c>
      <c r="AH32" s="8" t="str">
        <f t="shared" si="31"/>
        <v>footprint duplicate</v>
      </c>
      <c r="AI32" s="52">
        <f t="shared" si="45"/>
        <v>366666668954268.19</v>
      </c>
    </row>
    <row r="33" spans="1:35" ht="15" customHeight="1" x14ac:dyDescent="0.25">
      <c r="A33" s="8">
        <v>26</v>
      </c>
      <c r="B33" s="8">
        <f t="shared" si="46"/>
        <v>6</v>
      </c>
      <c r="C33" s="8">
        <v>6</v>
      </c>
      <c r="D33" s="49">
        <f t="shared" si="2"/>
        <v>0.60000000000000009</v>
      </c>
      <c r="E33" s="50">
        <f t="shared" si="3"/>
        <v>44.740476190476173</v>
      </c>
      <c r="F33" s="37">
        <f t="shared" si="4"/>
        <v>0.74567460317460299</v>
      </c>
      <c r="G33" s="8">
        <f t="shared" si="5"/>
        <v>2</v>
      </c>
      <c r="H33" s="8">
        <f t="shared" si="6"/>
        <v>69</v>
      </c>
      <c r="I33" s="50">
        <f t="shared" si="7"/>
        <v>69</v>
      </c>
      <c r="J33" s="50">
        <f t="shared" si="8"/>
        <v>16.900000000000002</v>
      </c>
      <c r="K33" s="50">
        <f t="shared" si="9"/>
        <v>12.899999999999999</v>
      </c>
      <c r="L33" s="50">
        <f t="shared" si="10"/>
        <v>17.25</v>
      </c>
      <c r="M33" s="37">
        <f t="shared" si="11"/>
        <v>9.8672174288264642</v>
      </c>
      <c r="N33" s="37">
        <f t="shared" si="12"/>
        <v>6.5142857142857142</v>
      </c>
      <c r="O33" s="50">
        <f t="shared" si="13"/>
        <v>90.763006286224353</v>
      </c>
      <c r="P33" s="50">
        <f t="shared" si="14"/>
        <v>8</v>
      </c>
      <c r="Q33" s="8">
        <f t="shared" si="15"/>
        <v>10</v>
      </c>
      <c r="R33" s="48">
        <f t="shared" si="16"/>
        <v>4752</v>
      </c>
      <c r="S33" s="48">
        <f t="shared" si="17"/>
        <v>4039.2</v>
      </c>
      <c r="T33" s="48">
        <f t="shared" si="18"/>
        <v>1166.1000000000001</v>
      </c>
      <c r="U33" s="48">
        <f t="shared" si="19"/>
        <v>16791.84</v>
      </c>
      <c r="V33" s="48">
        <f t="shared" si="20"/>
        <v>300000</v>
      </c>
      <c r="W33" s="48">
        <f t="shared" si="21"/>
        <v>500000</v>
      </c>
      <c r="X33" s="48">
        <f t="shared" si="22"/>
        <v>475200</v>
      </c>
      <c r="Y33" s="48">
        <f t="shared" si="23"/>
        <v>970195.20000000007</v>
      </c>
      <c r="Z33" s="48">
        <f t="shared" si="24"/>
        <v>2245395.2000000002</v>
      </c>
      <c r="AA33" s="37">
        <f t="shared" si="25"/>
        <v>0.11304347826086958</v>
      </c>
      <c r="AB33" s="49">
        <f t="shared" si="26"/>
        <v>0.3728373015873015</v>
      </c>
      <c r="AC33" s="49">
        <f t="shared" si="27"/>
        <v>0.74567460317460299</v>
      </c>
      <c r="AD33" s="50">
        <f t="shared" si="28"/>
        <v>12.373679999999997</v>
      </c>
      <c r="AE33" s="8">
        <f t="shared" si="29"/>
        <v>0</v>
      </c>
      <c r="AF33" s="51">
        <f t="shared" si="30"/>
        <v>2245395.2000000002</v>
      </c>
      <c r="AG33" s="8">
        <f t="shared" si="44"/>
        <v>9.9999999999999997E+98</v>
      </c>
      <c r="AH33" s="8" t="str">
        <f t="shared" si="31"/>
        <v>footprint duplicate</v>
      </c>
      <c r="AI33" s="52">
        <f t="shared" si="45"/>
        <v>150000002245395.13</v>
      </c>
    </row>
    <row r="34" spans="1:35" ht="15" customHeight="1" x14ac:dyDescent="0.25">
      <c r="A34" s="8">
        <v>27</v>
      </c>
      <c r="B34" s="8">
        <f t="shared" si="46"/>
        <v>6</v>
      </c>
      <c r="C34" s="8">
        <v>7</v>
      </c>
      <c r="D34" s="49">
        <f t="shared" si="2"/>
        <v>0.60000000000000009</v>
      </c>
      <c r="E34" s="50">
        <f t="shared" si="3"/>
        <v>44.919642857142833</v>
      </c>
      <c r="F34" s="37">
        <f t="shared" si="4"/>
        <v>0.7486607142857139</v>
      </c>
      <c r="G34" s="8">
        <f t="shared" si="5"/>
        <v>2</v>
      </c>
      <c r="H34" s="8">
        <f t="shared" si="6"/>
        <v>60</v>
      </c>
      <c r="I34" s="50">
        <f t="shared" si="7"/>
        <v>60</v>
      </c>
      <c r="J34" s="50">
        <f t="shared" si="8"/>
        <v>16.900000000000002</v>
      </c>
      <c r="K34" s="50">
        <f t="shared" si="9"/>
        <v>15.049999999999999</v>
      </c>
      <c r="L34" s="50">
        <f t="shared" si="10"/>
        <v>15</v>
      </c>
      <c r="M34" s="37">
        <f t="shared" si="11"/>
        <v>9.0603357574361478</v>
      </c>
      <c r="N34" s="37">
        <f t="shared" si="12"/>
        <v>6.5142857142857142</v>
      </c>
      <c r="O34" s="50">
        <f t="shared" si="13"/>
        <v>89.149242943443724</v>
      </c>
      <c r="P34" s="50">
        <f t="shared" si="14"/>
        <v>9</v>
      </c>
      <c r="Q34" s="8">
        <f t="shared" si="15"/>
        <v>11</v>
      </c>
      <c r="R34" s="48">
        <f t="shared" si="16"/>
        <v>4788</v>
      </c>
      <c r="S34" s="48">
        <f t="shared" si="17"/>
        <v>4069.7999999999997</v>
      </c>
      <c r="T34" s="48">
        <f t="shared" si="18"/>
        <v>1014.0000000000001</v>
      </c>
      <c r="U34" s="48">
        <f t="shared" si="19"/>
        <v>16781.7</v>
      </c>
      <c r="V34" s="48">
        <f t="shared" si="20"/>
        <v>300000</v>
      </c>
      <c r="W34" s="48">
        <f t="shared" si="21"/>
        <v>550000</v>
      </c>
      <c r="X34" s="48">
        <f t="shared" si="22"/>
        <v>478800</v>
      </c>
      <c r="Y34" s="48">
        <f t="shared" si="23"/>
        <v>909051</v>
      </c>
      <c r="Z34" s="48">
        <f t="shared" si="24"/>
        <v>2237851</v>
      </c>
      <c r="AA34" s="37">
        <f t="shared" si="25"/>
        <v>0.13</v>
      </c>
      <c r="AB34" s="49">
        <f t="shared" si="26"/>
        <v>0.37433035714285695</v>
      </c>
      <c r="AC34" s="49">
        <f t="shared" si="27"/>
        <v>0.7486607142857139</v>
      </c>
      <c r="AD34" s="50">
        <f t="shared" si="28"/>
        <v>12.654899999999998</v>
      </c>
      <c r="AE34" s="8">
        <f t="shared" si="29"/>
        <v>0</v>
      </c>
      <c r="AF34" s="51">
        <f t="shared" si="30"/>
        <v>2237851</v>
      </c>
      <c r="AG34" s="8">
        <f t="shared" si="44"/>
        <v>9.9999999999999997E+98</v>
      </c>
      <c r="AH34" s="8" t="str">
        <f t="shared" si="31"/>
        <v>duplicate</v>
      </c>
      <c r="AI34" s="52">
        <f t="shared" si="45"/>
        <v>2237851.0060421978</v>
      </c>
    </row>
    <row r="35" spans="1:35" ht="15" customHeight="1" x14ac:dyDescent="0.25">
      <c r="A35" s="8">
        <v>28</v>
      </c>
      <c r="B35" s="8">
        <f t="shared" si="46"/>
        <v>6</v>
      </c>
      <c r="C35" s="8">
        <v>8</v>
      </c>
      <c r="D35" s="49">
        <f t="shared" si="2"/>
        <v>0.60000000000000009</v>
      </c>
      <c r="E35" s="50">
        <f t="shared" si="3"/>
        <v>45.0988095238095</v>
      </c>
      <c r="F35" s="37">
        <f t="shared" si="4"/>
        <v>0.75164682539682504</v>
      </c>
      <c r="G35" s="8">
        <f t="shared" si="5"/>
        <v>2</v>
      </c>
      <c r="H35" s="8">
        <f t="shared" si="6"/>
        <v>53</v>
      </c>
      <c r="I35" s="50">
        <f t="shared" si="7"/>
        <v>53</v>
      </c>
      <c r="J35" s="50">
        <f t="shared" si="8"/>
        <v>16.900000000000002</v>
      </c>
      <c r="K35" s="50">
        <f t="shared" si="9"/>
        <v>17.2</v>
      </c>
      <c r="L35" s="50">
        <f t="shared" si="10"/>
        <v>13.25</v>
      </c>
      <c r="M35" s="37">
        <f t="shared" si="11"/>
        <v>8.4319838763428088</v>
      </c>
      <c r="N35" s="37">
        <f t="shared" si="12"/>
        <v>6.5142857142857142</v>
      </c>
      <c r="O35" s="50">
        <f t="shared" si="13"/>
        <v>87.89253918125705</v>
      </c>
      <c r="P35" s="50">
        <f t="shared" si="14"/>
        <v>10</v>
      </c>
      <c r="Q35" s="8">
        <f t="shared" si="15"/>
        <v>12</v>
      </c>
      <c r="R35" s="48">
        <f t="shared" si="16"/>
        <v>4800</v>
      </c>
      <c r="S35" s="48">
        <f t="shared" si="17"/>
        <v>4080</v>
      </c>
      <c r="T35" s="48">
        <f t="shared" si="18"/>
        <v>895.70000000000016</v>
      </c>
      <c r="U35" s="48">
        <f t="shared" si="19"/>
        <v>16749.590000000004</v>
      </c>
      <c r="V35" s="48">
        <f t="shared" si="20"/>
        <v>300000</v>
      </c>
      <c r="W35" s="48">
        <f t="shared" si="21"/>
        <v>600000</v>
      </c>
      <c r="X35" s="48">
        <f t="shared" si="22"/>
        <v>480000</v>
      </c>
      <c r="Y35" s="48">
        <f t="shared" si="23"/>
        <v>860767.70000000019</v>
      </c>
      <c r="Z35" s="48">
        <f t="shared" si="24"/>
        <v>2240767.7000000002</v>
      </c>
      <c r="AA35" s="37">
        <f t="shared" si="25"/>
        <v>0.14716981132075474</v>
      </c>
      <c r="AB35" s="49">
        <f t="shared" si="26"/>
        <v>0.37582341269841252</v>
      </c>
      <c r="AC35" s="49">
        <f t="shared" si="27"/>
        <v>0.75164682539682504</v>
      </c>
      <c r="AD35" s="50">
        <f t="shared" si="28"/>
        <v>12.936119999999995</v>
      </c>
      <c r="AE35" s="8">
        <f t="shared" si="29"/>
        <v>0</v>
      </c>
      <c r="AF35" s="51">
        <f t="shared" si="30"/>
        <v>2240767.7000000002</v>
      </c>
      <c r="AG35" s="8">
        <f t="shared" si="44"/>
        <v>9.9999999999999997E+98</v>
      </c>
      <c r="AH35" s="8" t="str">
        <f t="shared" si="31"/>
        <v>duplicate</v>
      </c>
      <c r="AI35" s="52">
        <f t="shared" si="45"/>
        <v>2240767.7062741499</v>
      </c>
    </row>
    <row r="36" spans="1:35" ht="15" customHeight="1" x14ac:dyDescent="0.25">
      <c r="A36" s="8">
        <v>29</v>
      </c>
      <c r="B36" s="8">
        <f t="shared" si="46"/>
        <v>6</v>
      </c>
      <c r="C36" s="8">
        <v>9</v>
      </c>
      <c r="D36" s="49">
        <f t="shared" si="2"/>
        <v>0.6</v>
      </c>
      <c r="E36" s="50">
        <f t="shared" si="3"/>
        <v>45.277976190476181</v>
      </c>
      <c r="F36" s="37">
        <f t="shared" si="4"/>
        <v>0.75463293650793628</v>
      </c>
      <c r="G36" s="8">
        <f t="shared" si="5"/>
        <v>2</v>
      </c>
      <c r="H36" s="8">
        <f t="shared" si="6"/>
        <v>47</v>
      </c>
      <c r="I36" s="50">
        <f t="shared" si="7"/>
        <v>47</v>
      </c>
      <c r="J36" s="50">
        <f t="shared" si="8"/>
        <v>16.900000000000002</v>
      </c>
      <c r="K36" s="50">
        <f t="shared" si="9"/>
        <v>19.349999999999998</v>
      </c>
      <c r="L36" s="50">
        <f t="shared" si="10"/>
        <v>11.75</v>
      </c>
      <c r="M36" s="37">
        <f t="shared" si="11"/>
        <v>7.8926018787938661</v>
      </c>
      <c r="N36" s="37">
        <f t="shared" si="12"/>
        <v>6.5142857142857142</v>
      </c>
      <c r="O36" s="50">
        <f t="shared" si="13"/>
        <v>86.813775186159162</v>
      </c>
      <c r="P36" s="50">
        <f t="shared" si="14"/>
        <v>11</v>
      </c>
      <c r="Q36" s="8">
        <f t="shared" si="15"/>
        <v>13</v>
      </c>
      <c r="R36" s="48">
        <f t="shared" si="16"/>
        <v>4752</v>
      </c>
      <c r="S36" s="48">
        <f t="shared" si="17"/>
        <v>4039.2</v>
      </c>
      <c r="T36" s="48">
        <f t="shared" si="18"/>
        <v>794.30000000000007</v>
      </c>
      <c r="U36" s="48">
        <f t="shared" si="19"/>
        <v>16561.154999999999</v>
      </c>
      <c r="V36" s="48">
        <f t="shared" si="20"/>
        <v>300000</v>
      </c>
      <c r="W36" s="48">
        <f t="shared" si="21"/>
        <v>650000</v>
      </c>
      <c r="X36" s="48">
        <f t="shared" si="22"/>
        <v>475200</v>
      </c>
      <c r="Y36" s="48">
        <f t="shared" si="23"/>
        <v>814554.64999999991</v>
      </c>
      <c r="Z36" s="48">
        <f t="shared" si="24"/>
        <v>2239754.65</v>
      </c>
      <c r="AA36" s="37">
        <f t="shared" si="25"/>
        <v>0.16595744680851066</v>
      </c>
      <c r="AB36" s="49">
        <f t="shared" si="26"/>
        <v>0.37731646825396814</v>
      </c>
      <c r="AC36" s="49">
        <f t="shared" si="27"/>
        <v>0.75463293650793628</v>
      </c>
      <c r="AD36" s="50">
        <f t="shared" si="28"/>
        <v>13.217339999999998</v>
      </c>
      <c r="AE36" s="8">
        <f t="shared" si="29"/>
        <v>0</v>
      </c>
      <c r="AF36" s="51">
        <f t="shared" si="30"/>
        <v>2239754.65</v>
      </c>
      <c r="AG36" s="8">
        <f t="shared" si="44"/>
        <v>9.9999999999999997E+98</v>
      </c>
      <c r="AH36" s="8" t="str">
        <f t="shared" si="31"/>
        <v>duplicate</v>
      </c>
      <c r="AI36" s="52">
        <f t="shared" si="45"/>
        <v>2239754.6564952885</v>
      </c>
    </row>
    <row r="37" spans="1:35" ht="15" customHeight="1" x14ac:dyDescent="0.25">
      <c r="A37" s="8">
        <v>30</v>
      </c>
      <c r="B37" s="8">
        <f t="shared" si="46"/>
        <v>6</v>
      </c>
      <c r="C37" s="8">
        <v>10</v>
      </c>
      <c r="D37" s="49">
        <f t="shared" si="2"/>
        <v>0.60000000000000009</v>
      </c>
      <c r="E37" s="50">
        <f t="shared" si="3"/>
        <v>45.457142857142834</v>
      </c>
      <c r="F37" s="37">
        <f t="shared" si="4"/>
        <v>0.7576190476190473</v>
      </c>
      <c r="G37" s="8">
        <f t="shared" si="5"/>
        <v>2</v>
      </c>
      <c r="H37" s="8">
        <f t="shared" si="6"/>
        <v>43</v>
      </c>
      <c r="I37" s="50">
        <f t="shared" si="7"/>
        <v>43</v>
      </c>
      <c r="J37" s="50">
        <f t="shared" si="8"/>
        <v>16.900000000000002</v>
      </c>
      <c r="K37" s="50">
        <f t="shared" si="9"/>
        <v>21.5</v>
      </c>
      <c r="L37" s="50">
        <f t="shared" si="10"/>
        <v>10.75</v>
      </c>
      <c r="M37" s="37">
        <f t="shared" si="11"/>
        <v>7.5324452429341591</v>
      </c>
      <c r="N37" s="37">
        <f t="shared" si="12"/>
        <v>6.5142857142857142</v>
      </c>
      <c r="O37" s="50">
        <f t="shared" si="13"/>
        <v>86.093461914439743</v>
      </c>
      <c r="P37" s="50">
        <f t="shared" si="14"/>
        <v>12</v>
      </c>
      <c r="Q37" s="8">
        <f t="shared" si="15"/>
        <v>14</v>
      </c>
      <c r="R37" s="48">
        <f t="shared" si="16"/>
        <v>4800</v>
      </c>
      <c r="S37" s="48">
        <f t="shared" si="17"/>
        <v>4080</v>
      </c>
      <c r="T37" s="48">
        <f t="shared" si="18"/>
        <v>726.7</v>
      </c>
      <c r="U37" s="48">
        <f t="shared" si="19"/>
        <v>16714.100000000002</v>
      </c>
      <c r="V37" s="48">
        <f t="shared" si="20"/>
        <v>300000</v>
      </c>
      <c r="W37" s="48">
        <f t="shared" si="21"/>
        <v>700000</v>
      </c>
      <c r="X37" s="48">
        <f t="shared" si="22"/>
        <v>480000</v>
      </c>
      <c r="Y37" s="48">
        <f t="shared" si="23"/>
        <v>792103</v>
      </c>
      <c r="Z37" s="48">
        <f t="shared" si="24"/>
        <v>2272103</v>
      </c>
      <c r="AA37" s="37">
        <f t="shared" si="25"/>
        <v>0.18139534883720931</v>
      </c>
      <c r="AB37" s="49">
        <f t="shared" si="26"/>
        <v>0.37880952380952365</v>
      </c>
      <c r="AC37" s="49">
        <f t="shared" si="27"/>
        <v>0.7576190476190473</v>
      </c>
      <c r="AD37" s="50">
        <f t="shared" si="28"/>
        <v>13.498559999999996</v>
      </c>
      <c r="AE37" s="8">
        <f t="shared" si="29"/>
        <v>0</v>
      </c>
      <c r="AF37" s="51">
        <f t="shared" si="30"/>
        <v>2272103</v>
      </c>
      <c r="AG37" s="8">
        <f t="shared" si="44"/>
        <v>9.9999999999999997E+98</v>
      </c>
      <c r="AH37" s="8" t="str">
        <f t="shared" si="31"/>
        <v>height duplicate</v>
      </c>
      <c r="AI37" s="52">
        <f t="shared" si="45"/>
        <v>75000002272102.953</v>
      </c>
    </row>
    <row r="38" spans="1:35" ht="15" customHeight="1" x14ac:dyDescent="0.25">
      <c r="A38" s="8">
        <v>31</v>
      </c>
      <c r="B38" s="8">
        <f t="shared" si="46"/>
        <v>6</v>
      </c>
      <c r="C38" s="8">
        <v>11</v>
      </c>
      <c r="D38" s="49">
        <f t="shared" si="2"/>
        <v>0.6</v>
      </c>
      <c r="E38" s="50">
        <f t="shared" si="3"/>
        <v>45.636309523809516</v>
      </c>
      <c r="F38" s="37">
        <f t="shared" si="4"/>
        <v>0.76060515873015866</v>
      </c>
      <c r="G38" s="8">
        <f t="shared" si="5"/>
        <v>2</v>
      </c>
      <c r="H38" s="8">
        <f t="shared" si="6"/>
        <v>39</v>
      </c>
      <c r="I38" s="50">
        <f t="shared" si="7"/>
        <v>39</v>
      </c>
      <c r="J38" s="50">
        <f t="shared" si="8"/>
        <v>16.900000000000002</v>
      </c>
      <c r="K38" s="50">
        <f t="shared" si="9"/>
        <v>23.65</v>
      </c>
      <c r="L38" s="50">
        <f t="shared" si="10"/>
        <v>9.75</v>
      </c>
      <c r="M38" s="37">
        <f t="shared" si="11"/>
        <v>7.171670396055613</v>
      </c>
      <c r="N38" s="37">
        <f t="shared" si="12"/>
        <v>6.5142857142857142</v>
      </c>
      <c r="O38" s="50">
        <f t="shared" si="13"/>
        <v>85.371912220682646</v>
      </c>
      <c r="P38" s="50">
        <f t="shared" si="14"/>
        <v>13</v>
      </c>
      <c r="Q38" s="8">
        <f t="shared" si="15"/>
        <v>15</v>
      </c>
      <c r="R38" s="48">
        <f t="shared" si="16"/>
        <v>4752</v>
      </c>
      <c r="S38" s="48">
        <f t="shared" si="17"/>
        <v>4039.2</v>
      </c>
      <c r="T38" s="48">
        <f t="shared" si="18"/>
        <v>659.10000000000014</v>
      </c>
      <c r="U38" s="48">
        <f t="shared" si="19"/>
        <v>16576.365000000002</v>
      </c>
      <c r="V38" s="48">
        <f t="shared" si="20"/>
        <v>300000</v>
      </c>
      <c r="W38" s="48">
        <f t="shared" si="21"/>
        <v>750000</v>
      </c>
      <c r="X38" s="48">
        <f t="shared" si="22"/>
        <v>475200</v>
      </c>
      <c r="Y38" s="48">
        <f t="shared" si="23"/>
        <v>760930.95000000019</v>
      </c>
      <c r="Z38" s="48">
        <f t="shared" si="24"/>
        <v>2286130.9500000002</v>
      </c>
      <c r="AA38" s="37">
        <f t="shared" si="25"/>
        <v>0.2</v>
      </c>
      <c r="AB38" s="49">
        <f t="shared" si="26"/>
        <v>0.38030257936507933</v>
      </c>
      <c r="AC38" s="49">
        <f t="shared" si="27"/>
        <v>0.76060515873015866</v>
      </c>
      <c r="AD38" s="50">
        <f t="shared" si="28"/>
        <v>13.779779999999999</v>
      </c>
      <c r="AE38" s="8">
        <f t="shared" si="29"/>
        <v>0</v>
      </c>
      <c r="AF38" s="51">
        <f t="shared" si="30"/>
        <v>2286130.9500000002</v>
      </c>
      <c r="AG38" s="8">
        <f t="shared" si="44"/>
        <v>9.9999999999999997E+98</v>
      </c>
      <c r="AH38" s="8" t="str">
        <f t="shared" si="31"/>
        <v>height duplicate</v>
      </c>
      <c r="AI38" s="52">
        <f t="shared" si="45"/>
        <v>182500002286130.84</v>
      </c>
    </row>
    <row r="39" spans="1:35" ht="15" customHeight="1" x14ac:dyDescent="0.25">
      <c r="A39" s="8">
        <v>32</v>
      </c>
      <c r="B39" s="8">
        <f t="shared" si="46"/>
        <v>6</v>
      </c>
      <c r="C39" s="8">
        <v>12</v>
      </c>
      <c r="D39" s="49">
        <f t="shared" si="2"/>
        <v>0.6</v>
      </c>
      <c r="E39" s="50">
        <f t="shared" si="3"/>
        <v>45.815476190476183</v>
      </c>
      <c r="F39" s="37">
        <f t="shared" si="4"/>
        <v>0.76359126984126979</v>
      </c>
      <c r="G39" s="8">
        <f t="shared" si="5"/>
        <v>2</v>
      </c>
      <c r="H39" s="8">
        <f t="shared" si="6"/>
        <v>36</v>
      </c>
      <c r="I39" s="50">
        <f t="shared" si="7"/>
        <v>36</v>
      </c>
      <c r="J39" s="50">
        <f t="shared" si="8"/>
        <v>16.900000000000002</v>
      </c>
      <c r="K39" s="50">
        <f t="shared" si="9"/>
        <v>25.799999999999997</v>
      </c>
      <c r="L39" s="50">
        <f t="shared" si="10"/>
        <v>9</v>
      </c>
      <c r="M39" s="37">
        <f t="shared" si="11"/>
        <v>6.9005595957269135</v>
      </c>
      <c r="N39" s="37">
        <f t="shared" si="12"/>
        <v>6.5142857142857142</v>
      </c>
      <c r="O39" s="50">
        <f t="shared" si="13"/>
        <v>84.829690620025247</v>
      </c>
      <c r="P39" s="50">
        <f t="shared" si="14"/>
        <v>14</v>
      </c>
      <c r="Q39" s="8">
        <f t="shared" si="15"/>
        <v>16</v>
      </c>
      <c r="R39" s="48">
        <f t="shared" si="16"/>
        <v>4752</v>
      </c>
      <c r="S39" s="48">
        <f t="shared" si="17"/>
        <v>4039.2</v>
      </c>
      <c r="T39" s="48">
        <f t="shared" si="18"/>
        <v>608.40000000000009</v>
      </c>
      <c r="U39" s="48">
        <f t="shared" si="19"/>
        <v>16609.32</v>
      </c>
      <c r="V39" s="48">
        <f t="shared" si="20"/>
        <v>300000</v>
      </c>
      <c r="W39" s="48">
        <f t="shared" si="21"/>
        <v>800000</v>
      </c>
      <c r="X39" s="48">
        <f t="shared" si="22"/>
        <v>475200</v>
      </c>
      <c r="Y39" s="48">
        <f t="shared" si="23"/>
        <v>741639.6</v>
      </c>
      <c r="Z39" s="48">
        <f t="shared" si="24"/>
        <v>2316839.6</v>
      </c>
      <c r="AA39" s="37">
        <f t="shared" si="25"/>
        <v>0.21666666666666667</v>
      </c>
      <c r="AB39" s="49">
        <f t="shared" si="26"/>
        <v>0.3817956349206349</v>
      </c>
      <c r="AC39" s="49">
        <f t="shared" si="27"/>
        <v>0.76359126984126979</v>
      </c>
      <c r="AD39" s="50">
        <f t="shared" si="28"/>
        <v>14.060999999999998</v>
      </c>
      <c r="AE39" s="8">
        <f t="shared" si="29"/>
        <v>0</v>
      </c>
      <c r="AF39" s="51">
        <f t="shared" si="30"/>
        <v>2316839.6</v>
      </c>
      <c r="AG39" s="8">
        <f t="shared" si="44"/>
        <v>9.9999999999999997E+98</v>
      </c>
      <c r="AH39" s="8" t="str">
        <f t="shared" si="31"/>
        <v>height duplicate</v>
      </c>
      <c r="AI39" s="52">
        <f t="shared" si="45"/>
        <v>290000002316839.44</v>
      </c>
    </row>
    <row r="40" spans="1:35" ht="15" customHeight="1" x14ac:dyDescent="0.25">
      <c r="A40" s="8">
        <v>33</v>
      </c>
      <c r="B40" s="8">
        <f t="shared" si="46"/>
        <v>6</v>
      </c>
      <c r="C40" s="8">
        <v>13</v>
      </c>
      <c r="D40" s="49">
        <f t="shared" si="2"/>
        <v>0.6</v>
      </c>
      <c r="E40" s="50">
        <f t="shared" si="3"/>
        <v>45.99464285714285</v>
      </c>
      <c r="F40" s="37">
        <f t="shared" si="4"/>
        <v>0.76657738095238082</v>
      </c>
      <c r="G40" s="8">
        <f t="shared" si="5"/>
        <v>2</v>
      </c>
      <c r="H40" s="8">
        <f t="shared" si="6"/>
        <v>34</v>
      </c>
      <c r="I40" s="50">
        <f t="shared" si="7"/>
        <v>34</v>
      </c>
      <c r="J40" s="50">
        <f t="shared" si="8"/>
        <v>16.900000000000002</v>
      </c>
      <c r="K40" s="50">
        <f t="shared" si="9"/>
        <v>27.95</v>
      </c>
      <c r="L40" s="50">
        <f t="shared" si="10"/>
        <v>8.5</v>
      </c>
      <c r="M40" s="37">
        <f t="shared" si="11"/>
        <v>6.7195000761478241</v>
      </c>
      <c r="N40" s="37">
        <f t="shared" si="12"/>
        <v>6.5142857142857142</v>
      </c>
      <c r="O40" s="50">
        <f t="shared" si="13"/>
        <v>84.467571580867073</v>
      </c>
      <c r="P40" s="50">
        <f t="shared" si="14"/>
        <v>15</v>
      </c>
      <c r="Q40" s="8">
        <f t="shared" si="15"/>
        <v>17</v>
      </c>
      <c r="R40" s="48">
        <f t="shared" si="16"/>
        <v>4836</v>
      </c>
      <c r="S40" s="48">
        <f t="shared" si="17"/>
        <v>4110.5999999999995</v>
      </c>
      <c r="T40" s="48">
        <f t="shared" si="18"/>
        <v>574.6</v>
      </c>
      <c r="U40" s="48">
        <f t="shared" si="19"/>
        <v>16921.97</v>
      </c>
      <c r="V40" s="48">
        <f t="shared" si="20"/>
        <v>300000</v>
      </c>
      <c r="W40" s="48">
        <f t="shared" si="21"/>
        <v>850000</v>
      </c>
      <c r="X40" s="48">
        <f t="shared" si="22"/>
        <v>483600</v>
      </c>
      <c r="Y40" s="48">
        <f t="shared" si="23"/>
        <v>737499.10000000009</v>
      </c>
      <c r="Z40" s="48">
        <f t="shared" si="24"/>
        <v>2371099.1</v>
      </c>
      <c r="AA40" s="37">
        <f t="shared" si="25"/>
        <v>0.22941176470588237</v>
      </c>
      <c r="AB40" s="49">
        <f t="shared" si="26"/>
        <v>0.38328869047619041</v>
      </c>
      <c r="AC40" s="49">
        <f t="shared" si="27"/>
        <v>0.76657738095238082</v>
      </c>
      <c r="AD40" s="50">
        <f t="shared" si="28"/>
        <v>14.342219999999999</v>
      </c>
      <c r="AE40" s="8">
        <f t="shared" si="29"/>
        <v>0</v>
      </c>
      <c r="AF40" s="51">
        <f t="shared" si="30"/>
        <v>2371099.1</v>
      </c>
      <c r="AG40" s="8">
        <f t="shared" si="44"/>
        <v>9.9999999999999997E+98</v>
      </c>
      <c r="AH40" s="8" t="str">
        <f t="shared" si="31"/>
        <v>height duplicate</v>
      </c>
      <c r="AI40" s="52">
        <f t="shared" si="45"/>
        <v>397500002371099.06</v>
      </c>
    </row>
    <row r="41" spans="1:35" ht="15" customHeight="1" x14ac:dyDescent="0.25">
      <c r="A41" s="8">
        <v>34</v>
      </c>
      <c r="B41" s="8">
        <f t="shared" si="46"/>
        <v>6</v>
      </c>
      <c r="C41" s="8">
        <v>14</v>
      </c>
      <c r="D41" s="49">
        <f t="shared" si="2"/>
        <v>0.6</v>
      </c>
      <c r="E41" s="50">
        <f t="shared" si="3"/>
        <v>46.173809523809517</v>
      </c>
      <c r="F41" s="37">
        <f t="shared" si="4"/>
        <v>0.76956349206349195</v>
      </c>
      <c r="G41" s="8">
        <f t="shared" si="5"/>
        <v>2</v>
      </c>
      <c r="H41" s="8">
        <f t="shared" si="6"/>
        <v>32</v>
      </c>
      <c r="I41" s="50">
        <f t="shared" si="7"/>
        <v>32</v>
      </c>
      <c r="J41" s="50">
        <f t="shared" si="8"/>
        <v>16.900000000000002</v>
      </c>
      <c r="K41" s="50">
        <f t="shared" si="9"/>
        <v>30.099999999999998</v>
      </c>
      <c r="L41" s="50">
        <f t="shared" si="10"/>
        <v>8</v>
      </c>
      <c r="M41" s="37">
        <f t="shared" si="11"/>
        <v>6.5381295451927768</v>
      </c>
      <c r="N41" s="37">
        <f t="shared" si="12"/>
        <v>6.5142857142857142</v>
      </c>
      <c r="O41" s="50">
        <f t="shared" si="13"/>
        <v>84.104830518956973</v>
      </c>
      <c r="P41" s="50">
        <f t="shared" si="14"/>
        <v>16</v>
      </c>
      <c r="Q41" s="8">
        <f t="shared" si="15"/>
        <v>18</v>
      </c>
      <c r="R41" s="48">
        <f t="shared" si="16"/>
        <v>4872</v>
      </c>
      <c r="S41" s="48">
        <f t="shared" si="17"/>
        <v>4141.2</v>
      </c>
      <c r="T41" s="48">
        <f t="shared" si="18"/>
        <v>540.80000000000007</v>
      </c>
      <c r="U41" s="48">
        <f t="shared" si="19"/>
        <v>17089.280000000002</v>
      </c>
      <c r="V41" s="48">
        <f t="shared" si="20"/>
        <v>300000</v>
      </c>
      <c r="W41" s="48">
        <f t="shared" si="21"/>
        <v>900000</v>
      </c>
      <c r="X41" s="48">
        <f t="shared" si="22"/>
        <v>487200</v>
      </c>
      <c r="Y41" s="48">
        <f t="shared" si="23"/>
        <v>728998.40000000014</v>
      </c>
      <c r="Z41" s="48">
        <f t="shared" si="24"/>
        <v>2416198.4000000004</v>
      </c>
      <c r="AA41" s="37">
        <f t="shared" si="25"/>
        <v>0.24375000000000002</v>
      </c>
      <c r="AB41" s="49">
        <f t="shared" si="26"/>
        <v>0.38478174603174597</v>
      </c>
      <c r="AC41" s="49">
        <f t="shared" si="27"/>
        <v>0.76956349206349195</v>
      </c>
      <c r="AD41" s="50">
        <f t="shared" si="28"/>
        <v>14.623439999999999</v>
      </c>
      <c r="AE41" s="8">
        <f t="shared" si="29"/>
        <v>0</v>
      </c>
      <c r="AF41" s="51">
        <f t="shared" si="30"/>
        <v>2416198.4000000004</v>
      </c>
      <c r="AG41" s="8">
        <f t="shared" si="44"/>
        <v>9.9999999999999997E+98</v>
      </c>
      <c r="AH41" s="8" t="str">
        <f t="shared" si="31"/>
        <v>height duplicate</v>
      </c>
      <c r="AI41" s="52">
        <f t="shared" si="45"/>
        <v>505000002416198.31</v>
      </c>
    </row>
    <row r="42" spans="1:35" ht="15" customHeight="1" x14ac:dyDescent="0.25">
      <c r="A42" s="8">
        <v>35</v>
      </c>
      <c r="B42" s="8">
        <f t="shared" si="46"/>
        <v>6</v>
      </c>
      <c r="C42" s="8">
        <v>15</v>
      </c>
      <c r="D42" s="49">
        <f t="shared" si="2"/>
        <v>0.60000000000000009</v>
      </c>
      <c r="E42" s="50">
        <f t="shared" si="3"/>
        <v>46.352976190476163</v>
      </c>
      <c r="F42" s="37">
        <f t="shared" si="4"/>
        <v>0.77254960317460286</v>
      </c>
      <c r="G42" s="8">
        <f t="shared" si="5"/>
        <v>2</v>
      </c>
      <c r="H42" s="8">
        <f t="shared" si="6"/>
        <v>30</v>
      </c>
      <c r="I42" s="50">
        <f t="shared" si="7"/>
        <v>30</v>
      </c>
      <c r="J42" s="50">
        <f t="shared" si="8"/>
        <v>16.900000000000002</v>
      </c>
      <c r="K42" s="50">
        <f t="shared" si="9"/>
        <v>32.25</v>
      </c>
      <c r="L42" s="50">
        <f t="shared" si="10"/>
        <v>7.5</v>
      </c>
      <c r="M42" s="37">
        <f t="shared" si="11"/>
        <v>6.3563858005865805</v>
      </c>
      <c r="N42" s="37">
        <f t="shared" si="12"/>
        <v>6.5142857142857142</v>
      </c>
      <c r="O42" s="50">
        <f t="shared" si="13"/>
        <v>83.741343029744584</v>
      </c>
      <c r="P42" s="50">
        <f t="shared" si="14"/>
        <v>17</v>
      </c>
      <c r="Q42" s="8">
        <f t="shared" si="15"/>
        <v>19</v>
      </c>
      <c r="R42" s="48">
        <f t="shared" si="16"/>
        <v>4860</v>
      </c>
      <c r="S42" s="48">
        <f t="shared" si="17"/>
        <v>4131</v>
      </c>
      <c r="T42" s="48">
        <f t="shared" si="18"/>
        <v>507.00000000000006</v>
      </c>
      <c r="U42" s="48">
        <f t="shared" si="19"/>
        <v>17111.250000000004</v>
      </c>
      <c r="V42" s="48">
        <f t="shared" si="20"/>
        <v>300000</v>
      </c>
      <c r="W42" s="48">
        <f t="shared" si="21"/>
        <v>950000</v>
      </c>
      <c r="X42" s="48">
        <f t="shared" si="22"/>
        <v>486000</v>
      </c>
      <c r="Y42" s="48">
        <f t="shared" si="23"/>
        <v>716137.50000000012</v>
      </c>
      <c r="Z42" s="48">
        <f t="shared" si="24"/>
        <v>2452137.5</v>
      </c>
      <c r="AA42" s="37">
        <f t="shared" si="25"/>
        <v>0.26</v>
      </c>
      <c r="AB42" s="49">
        <f t="shared" si="26"/>
        <v>0.38627480158730143</v>
      </c>
      <c r="AC42" s="49">
        <f t="shared" si="27"/>
        <v>0.77254960317460286</v>
      </c>
      <c r="AD42" s="50">
        <f t="shared" si="28"/>
        <v>14.904659999999998</v>
      </c>
      <c r="AE42" s="8">
        <f t="shared" si="29"/>
        <v>0</v>
      </c>
      <c r="AF42" s="51">
        <f t="shared" si="30"/>
        <v>2452137.5</v>
      </c>
      <c r="AG42" s="8">
        <f t="shared" si="44"/>
        <v>9.9999999999999997E+98</v>
      </c>
      <c r="AH42" s="8" t="str">
        <f t="shared" si="31"/>
        <v>height duplicate</v>
      </c>
      <c r="AI42" s="52">
        <f t="shared" si="45"/>
        <v>612500002452137.5</v>
      </c>
    </row>
    <row r="43" spans="1:35" ht="15" customHeight="1" x14ac:dyDescent="0.25">
      <c r="A43" s="8">
        <v>36</v>
      </c>
      <c r="B43" s="8">
        <f t="shared" si="46"/>
        <v>6</v>
      </c>
      <c r="C43" s="8">
        <v>16</v>
      </c>
      <c r="D43" s="49">
        <f t="shared" si="2"/>
        <v>0.59999999999999987</v>
      </c>
      <c r="E43" s="50">
        <f t="shared" si="3"/>
        <v>46.532142857142851</v>
      </c>
      <c r="F43" s="37">
        <f t="shared" si="4"/>
        <v>0.775535714285714</v>
      </c>
      <c r="G43" s="8">
        <f t="shared" si="5"/>
        <v>2</v>
      </c>
      <c r="H43" s="8">
        <f t="shared" si="6"/>
        <v>28</v>
      </c>
      <c r="I43" s="50">
        <f t="shared" si="7"/>
        <v>28</v>
      </c>
      <c r="J43" s="50">
        <f t="shared" si="8"/>
        <v>16.900000000000002</v>
      </c>
      <c r="K43" s="50">
        <f t="shared" si="9"/>
        <v>34.4</v>
      </c>
      <c r="L43" s="50">
        <f t="shared" si="10"/>
        <v>7</v>
      </c>
      <c r="M43" s="37">
        <f t="shared" si="11"/>
        <v>6.1741888679754187</v>
      </c>
      <c r="N43" s="37">
        <f t="shared" si="12"/>
        <v>6.5142857142857142</v>
      </c>
      <c r="O43" s="50">
        <f t="shared" si="13"/>
        <v>83.376949164522259</v>
      </c>
      <c r="P43" s="50">
        <f t="shared" si="14"/>
        <v>18</v>
      </c>
      <c r="Q43" s="8">
        <f t="shared" si="15"/>
        <v>20</v>
      </c>
      <c r="R43" s="48">
        <f t="shared" si="16"/>
        <v>4800</v>
      </c>
      <c r="S43" s="48">
        <f t="shared" si="17"/>
        <v>4080</v>
      </c>
      <c r="T43" s="48">
        <f t="shared" si="18"/>
        <v>473.20000000000005</v>
      </c>
      <c r="U43" s="48">
        <f t="shared" si="19"/>
        <v>16987.88</v>
      </c>
      <c r="V43" s="48">
        <f t="shared" si="20"/>
        <v>300000</v>
      </c>
      <c r="W43" s="48">
        <f t="shared" si="21"/>
        <v>1000000</v>
      </c>
      <c r="X43" s="48">
        <f t="shared" si="22"/>
        <v>480000</v>
      </c>
      <c r="Y43" s="48">
        <f t="shared" si="23"/>
        <v>698916.4</v>
      </c>
      <c r="Z43" s="48">
        <f t="shared" si="24"/>
        <v>2478916.4</v>
      </c>
      <c r="AA43" s="37">
        <f t="shared" si="25"/>
        <v>0.27857142857142858</v>
      </c>
      <c r="AB43" s="49">
        <f t="shared" si="26"/>
        <v>0.387767857142857</v>
      </c>
      <c r="AC43" s="49">
        <f t="shared" si="27"/>
        <v>0.775535714285714</v>
      </c>
      <c r="AD43" s="50">
        <f t="shared" si="28"/>
        <v>15.185879999999999</v>
      </c>
      <c r="AE43" s="8">
        <f t="shared" si="29"/>
        <v>0</v>
      </c>
      <c r="AF43" s="51">
        <f t="shared" si="30"/>
        <v>2478916.4</v>
      </c>
      <c r="AG43" s="8">
        <f t="shared" si="44"/>
        <v>9.9999999999999997E+98</v>
      </c>
      <c r="AH43" s="8" t="str">
        <f t="shared" si="31"/>
        <v>height duplicate</v>
      </c>
      <c r="AI43" s="52">
        <f t="shared" si="45"/>
        <v>720000002478916.38</v>
      </c>
    </row>
    <row r="44" spans="1:35" ht="15" customHeight="1" x14ac:dyDescent="0.25">
      <c r="A44" s="8">
        <v>37</v>
      </c>
      <c r="B44" s="8">
        <f t="shared" si="46"/>
        <v>6</v>
      </c>
      <c r="C44" s="8">
        <v>17</v>
      </c>
      <c r="D44" s="49">
        <f t="shared" si="2"/>
        <v>0.6</v>
      </c>
      <c r="E44" s="50">
        <f t="shared" si="3"/>
        <v>46.711309523809518</v>
      </c>
      <c r="F44" s="37">
        <f t="shared" si="4"/>
        <v>0.77852182539682535</v>
      </c>
      <c r="G44" s="8">
        <f t="shared" si="5"/>
        <v>2</v>
      </c>
      <c r="H44" s="8">
        <f t="shared" si="6"/>
        <v>27</v>
      </c>
      <c r="I44" s="50">
        <f t="shared" si="7"/>
        <v>27</v>
      </c>
      <c r="J44" s="50">
        <f t="shared" si="8"/>
        <v>16.900000000000002</v>
      </c>
      <c r="K44" s="50">
        <f t="shared" si="9"/>
        <v>36.549999999999997</v>
      </c>
      <c r="L44" s="50">
        <f t="shared" si="10"/>
        <v>6.75</v>
      </c>
      <c r="M44" s="37">
        <f t="shared" si="11"/>
        <v>6.0828889847787408</v>
      </c>
      <c r="N44" s="37">
        <f t="shared" si="12"/>
        <v>6.5142857142857142</v>
      </c>
      <c r="O44" s="50">
        <f t="shared" si="13"/>
        <v>83.194349398128907</v>
      </c>
      <c r="P44" s="50">
        <f t="shared" si="14"/>
        <v>19</v>
      </c>
      <c r="Q44" s="8">
        <f t="shared" si="15"/>
        <v>21</v>
      </c>
      <c r="R44" s="48">
        <f t="shared" si="16"/>
        <v>4896</v>
      </c>
      <c r="S44" s="48">
        <f t="shared" si="17"/>
        <v>4161.5999999999995</v>
      </c>
      <c r="T44" s="48">
        <f t="shared" si="18"/>
        <v>456.30000000000007</v>
      </c>
      <c r="U44" s="48">
        <f t="shared" si="19"/>
        <v>17362.215</v>
      </c>
      <c r="V44" s="48">
        <f t="shared" si="20"/>
        <v>300000</v>
      </c>
      <c r="W44" s="48">
        <f t="shared" si="21"/>
        <v>1050000</v>
      </c>
      <c r="X44" s="48">
        <f t="shared" si="22"/>
        <v>489600</v>
      </c>
      <c r="Y44" s="48">
        <f t="shared" si="23"/>
        <v>703386.45000000007</v>
      </c>
      <c r="Z44" s="48">
        <f t="shared" si="24"/>
        <v>2542986.4500000002</v>
      </c>
      <c r="AA44" s="37">
        <f t="shared" si="25"/>
        <v>0.28888888888888892</v>
      </c>
      <c r="AB44" s="49">
        <f t="shared" si="26"/>
        <v>0.38926091269841268</v>
      </c>
      <c r="AC44" s="49">
        <f t="shared" si="27"/>
        <v>0.77852182539682535</v>
      </c>
      <c r="AD44" s="50">
        <f t="shared" si="28"/>
        <v>15.4671</v>
      </c>
      <c r="AE44" s="8">
        <f t="shared" si="29"/>
        <v>0</v>
      </c>
      <c r="AF44" s="51">
        <f t="shared" si="30"/>
        <v>2542986.4500000002</v>
      </c>
      <c r="AG44" s="8">
        <f t="shared" si="44"/>
        <v>9.9999999999999997E+98</v>
      </c>
      <c r="AH44" s="8" t="str">
        <f t="shared" si="31"/>
        <v>height duplicate</v>
      </c>
      <c r="AI44" s="52">
        <f t="shared" si="45"/>
        <v>827500002542986.38</v>
      </c>
    </row>
    <row r="45" spans="1:35" ht="15" customHeight="1" x14ac:dyDescent="0.25">
      <c r="A45" s="8">
        <v>38</v>
      </c>
      <c r="B45" s="8">
        <f t="shared" si="46"/>
        <v>6</v>
      </c>
      <c r="C45" s="8">
        <v>18</v>
      </c>
      <c r="D45" s="49">
        <f t="shared" si="2"/>
        <v>0.6</v>
      </c>
      <c r="E45" s="50">
        <f t="shared" si="3"/>
        <v>46.890476190476186</v>
      </c>
      <c r="F45" s="37">
        <f t="shared" si="4"/>
        <v>0.78150793650793637</v>
      </c>
      <c r="G45" s="8">
        <f t="shared" si="5"/>
        <v>2</v>
      </c>
      <c r="H45" s="8">
        <f t="shared" si="6"/>
        <v>25</v>
      </c>
      <c r="I45" s="50">
        <f t="shared" si="7"/>
        <v>25</v>
      </c>
      <c r="J45" s="50">
        <f t="shared" si="8"/>
        <v>16.900000000000002</v>
      </c>
      <c r="K45" s="50">
        <f t="shared" si="9"/>
        <v>38.699999999999996</v>
      </c>
      <c r="L45" s="50">
        <f t="shared" si="10"/>
        <v>6.25</v>
      </c>
      <c r="M45" s="37">
        <f t="shared" si="11"/>
        <v>5.8998058178467536</v>
      </c>
      <c r="N45" s="37">
        <f t="shared" si="12"/>
        <v>6.5142857142857142</v>
      </c>
      <c r="O45" s="50">
        <f t="shared" si="13"/>
        <v>82.828183064264934</v>
      </c>
      <c r="P45" s="50">
        <f t="shared" si="14"/>
        <v>20</v>
      </c>
      <c r="Q45" s="8">
        <f t="shared" si="15"/>
        <v>22</v>
      </c>
      <c r="R45" s="48">
        <f t="shared" si="16"/>
        <v>4752</v>
      </c>
      <c r="S45" s="48">
        <f t="shared" si="17"/>
        <v>4039.2</v>
      </c>
      <c r="T45" s="48">
        <f t="shared" si="18"/>
        <v>422.50000000000006</v>
      </c>
      <c r="U45" s="48">
        <f t="shared" si="19"/>
        <v>16984.5</v>
      </c>
      <c r="V45" s="48">
        <f t="shared" si="20"/>
        <v>300000</v>
      </c>
      <c r="W45" s="48">
        <f t="shared" si="21"/>
        <v>1100000</v>
      </c>
      <c r="X45" s="48">
        <f t="shared" si="22"/>
        <v>475200</v>
      </c>
      <c r="Y45" s="48">
        <f t="shared" si="23"/>
        <v>678535</v>
      </c>
      <c r="Z45" s="48">
        <f t="shared" si="24"/>
        <v>2553735</v>
      </c>
      <c r="AA45" s="37">
        <f t="shared" si="25"/>
        <v>0.31200000000000006</v>
      </c>
      <c r="AB45" s="49">
        <f t="shared" si="26"/>
        <v>0.39075396825396819</v>
      </c>
      <c r="AC45" s="49">
        <f t="shared" si="27"/>
        <v>0.78150793650793637</v>
      </c>
      <c r="AD45" s="50">
        <f t="shared" si="28"/>
        <v>15.748319999999998</v>
      </c>
      <c r="AE45" s="8">
        <f t="shared" si="29"/>
        <v>0</v>
      </c>
      <c r="AF45" s="51">
        <f t="shared" si="30"/>
        <v>2553735</v>
      </c>
      <c r="AG45" s="8">
        <f t="shared" si="44"/>
        <v>9.9999999999999997E+98</v>
      </c>
      <c r="AH45" s="8" t="str">
        <f t="shared" si="31"/>
        <v>height duplicate</v>
      </c>
      <c r="AI45" s="52">
        <f t="shared" si="45"/>
        <v>935000002553734.88</v>
      </c>
    </row>
    <row r="46" spans="1:35" ht="15" customHeight="1" x14ac:dyDescent="0.25">
      <c r="A46" s="8">
        <v>39</v>
      </c>
      <c r="B46" s="8">
        <f t="shared" si="46"/>
        <v>6</v>
      </c>
      <c r="C46" s="8">
        <v>19</v>
      </c>
      <c r="D46" s="49">
        <f t="shared" si="2"/>
        <v>0.6</v>
      </c>
      <c r="E46" s="50">
        <f t="shared" si="3"/>
        <v>47.069642857142867</v>
      </c>
      <c r="F46" s="37">
        <f t="shared" si="4"/>
        <v>0.78449404761904773</v>
      </c>
      <c r="G46" s="8">
        <f t="shared" si="5"/>
        <v>2</v>
      </c>
      <c r="H46" s="8">
        <f t="shared" si="6"/>
        <v>24</v>
      </c>
      <c r="I46" s="50">
        <f t="shared" si="7"/>
        <v>24</v>
      </c>
      <c r="J46" s="50">
        <f t="shared" si="8"/>
        <v>16.900000000000002</v>
      </c>
      <c r="K46" s="50">
        <f t="shared" si="9"/>
        <v>40.85</v>
      </c>
      <c r="L46" s="50">
        <f t="shared" si="10"/>
        <v>6</v>
      </c>
      <c r="M46" s="37">
        <f t="shared" si="11"/>
        <v>5.8079822507332253</v>
      </c>
      <c r="N46" s="37">
        <f t="shared" si="12"/>
        <v>6.5142857142857142</v>
      </c>
      <c r="O46" s="50">
        <f t="shared" si="13"/>
        <v>82.644535930037875</v>
      </c>
      <c r="P46" s="50">
        <f t="shared" si="14"/>
        <v>21</v>
      </c>
      <c r="Q46" s="8">
        <f t="shared" si="15"/>
        <v>23</v>
      </c>
      <c r="R46" s="48">
        <f t="shared" si="16"/>
        <v>4788</v>
      </c>
      <c r="S46" s="48">
        <f t="shared" si="17"/>
        <v>4069.7999999999997</v>
      </c>
      <c r="T46" s="48">
        <f t="shared" si="18"/>
        <v>405.6</v>
      </c>
      <c r="U46" s="48">
        <f t="shared" si="19"/>
        <v>17177.16</v>
      </c>
      <c r="V46" s="48">
        <f t="shared" si="20"/>
        <v>300000</v>
      </c>
      <c r="W46" s="48">
        <f t="shared" si="21"/>
        <v>1150000</v>
      </c>
      <c r="X46" s="48">
        <f t="shared" si="22"/>
        <v>478800</v>
      </c>
      <c r="Y46" s="48">
        <f t="shared" si="23"/>
        <v>677554.8</v>
      </c>
      <c r="Z46" s="48">
        <f t="shared" si="24"/>
        <v>2606354.7999999998</v>
      </c>
      <c r="AA46" s="37">
        <f t="shared" si="25"/>
        <v>0.32500000000000001</v>
      </c>
      <c r="AB46" s="49">
        <f t="shared" si="26"/>
        <v>0.39224702380952386</v>
      </c>
      <c r="AC46" s="49">
        <f t="shared" si="27"/>
        <v>0.78449404761904773</v>
      </c>
      <c r="AD46" s="50">
        <f t="shared" si="28"/>
        <v>16.029539999999997</v>
      </c>
      <c r="AE46" s="8">
        <f t="shared" si="29"/>
        <v>0</v>
      </c>
      <c r="AF46" s="51">
        <f t="shared" si="30"/>
        <v>2606354.7999999998</v>
      </c>
      <c r="AG46" s="8">
        <f t="shared" si="44"/>
        <v>9.9999999999999997E+98</v>
      </c>
      <c r="AH46" s="8" t="str">
        <f t="shared" si="31"/>
        <v>height duplicate</v>
      </c>
      <c r="AI46" s="52">
        <f t="shared" si="45"/>
        <v>1042500002606354.8</v>
      </c>
    </row>
    <row r="47" spans="1:35" ht="15" customHeight="1" x14ac:dyDescent="0.25">
      <c r="A47" s="8">
        <v>40</v>
      </c>
      <c r="B47" s="8">
        <f t="shared" si="46"/>
        <v>6</v>
      </c>
      <c r="C47" s="8">
        <v>20</v>
      </c>
      <c r="D47" s="49">
        <f t="shared" si="2"/>
        <v>0.59999999999999987</v>
      </c>
      <c r="E47" s="50">
        <f t="shared" si="3"/>
        <v>47.248809523809541</v>
      </c>
      <c r="F47" s="37">
        <f t="shared" si="4"/>
        <v>0.78748015873015886</v>
      </c>
      <c r="G47" s="8">
        <f t="shared" si="5"/>
        <v>2</v>
      </c>
      <c r="H47" s="8">
        <f t="shared" si="6"/>
        <v>23</v>
      </c>
      <c r="I47" s="50">
        <f t="shared" si="7"/>
        <v>23</v>
      </c>
      <c r="J47" s="50">
        <f t="shared" si="8"/>
        <v>16.900000000000002</v>
      </c>
      <c r="K47" s="50">
        <f t="shared" si="9"/>
        <v>43</v>
      </c>
      <c r="L47" s="50">
        <f t="shared" si="10"/>
        <v>5.75</v>
      </c>
      <c r="M47" s="37">
        <f t="shared" si="11"/>
        <v>5.7159380007651057</v>
      </c>
      <c r="N47" s="37">
        <f t="shared" si="12"/>
        <v>6.5142857142857142</v>
      </c>
      <c r="O47" s="50">
        <f t="shared" si="13"/>
        <v>82.460447430101638</v>
      </c>
      <c r="P47" s="50">
        <f t="shared" si="14"/>
        <v>22</v>
      </c>
      <c r="Q47" s="8">
        <f t="shared" si="15"/>
        <v>24</v>
      </c>
      <c r="R47" s="48">
        <f t="shared" si="16"/>
        <v>4800</v>
      </c>
      <c r="S47" s="48">
        <f t="shared" si="17"/>
        <v>4080</v>
      </c>
      <c r="T47" s="48">
        <f t="shared" si="18"/>
        <v>388.70000000000005</v>
      </c>
      <c r="U47" s="48">
        <f t="shared" si="19"/>
        <v>17297.150000000001</v>
      </c>
      <c r="V47" s="48">
        <f t="shared" si="20"/>
        <v>300000</v>
      </c>
      <c r="W47" s="48">
        <f t="shared" si="21"/>
        <v>1200000</v>
      </c>
      <c r="X47" s="48">
        <f t="shared" si="22"/>
        <v>480000</v>
      </c>
      <c r="Y47" s="48">
        <f t="shared" si="23"/>
        <v>674394.50000000012</v>
      </c>
      <c r="Z47" s="48">
        <f t="shared" si="24"/>
        <v>2654394.5</v>
      </c>
      <c r="AA47" s="37">
        <f t="shared" si="25"/>
        <v>0.33913043478260874</v>
      </c>
      <c r="AB47" s="49">
        <f t="shared" si="26"/>
        <v>0.39374007936507943</v>
      </c>
      <c r="AC47" s="49">
        <f t="shared" si="27"/>
        <v>0.78748015873015886</v>
      </c>
      <c r="AD47" s="50">
        <f t="shared" si="28"/>
        <v>16.310760000000005</v>
      </c>
      <c r="AE47" s="8">
        <f t="shared" si="29"/>
        <v>0</v>
      </c>
      <c r="AF47" s="51">
        <f t="shared" si="30"/>
        <v>2654394.5</v>
      </c>
      <c r="AG47" s="8">
        <f t="shared" si="44"/>
        <v>9.9999999999999997E+98</v>
      </c>
      <c r="AH47" s="8" t="str">
        <f t="shared" si="31"/>
        <v>height duplicate</v>
      </c>
      <c r="AI47" s="52">
        <f t="shared" si="45"/>
        <v>1150000002654394.5</v>
      </c>
    </row>
    <row r="48" spans="1:35" ht="15" customHeight="1" x14ac:dyDescent="0.25">
      <c r="A48" s="8">
        <v>41</v>
      </c>
      <c r="B48" s="8">
        <f t="shared" ref="B48:B67" si="47">$D$3</f>
        <v>6</v>
      </c>
      <c r="C48" s="8">
        <v>1</v>
      </c>
      <c r="D48" s="49">
        <f t="shared" si="2"/>
        <v>0</v>
      </c>
      <c r="E48" s="50">
        <f t="shared" si="3"/>
        <v>0</v>
      </c>
      <c r="F48" s="37">
        <f t="shared" si="4"/>
        <v>0</v>
      </c>
      <c r="G48" s="8">
        <f t="shared" si="5"/>
        <v>0</v>
      </c>
      <c r="H48" s="8">
        <f t="shared" si="6"/>
        <v>393</v>
      </c>
      <c r="I48" s="50">
        <f t="shared" si="7"/>
        <v>393</v>
      </c>
      <c r="J48" s="50">
        <f t="shared" si="8"/>
        <v>16.900000000000002</v>
      </c>
      <c r="K48" s="50">
        <f t="shared" si="9"/>
        <v>2.15</v>
      </c>
      <c r="L48" s="50">
        <f t="shared" si="10"/>
        <v>393</v>
      </c>
      <c r="M48" s="37">
        <f t="shared" si="11"/>
        <v>144.0847456395968</v>
      </c>
      <c r="N48" s="37">
        <f t="shared" si="12"/>
        <v>6.5142857142857142</v>
      </c>
      <c r="O48" s="50">
        <f t="shared" si="13"/>
        <v>359.19806270776502</v>
      </c>
      <c r="P48" s="50">
        <f t="shared" si="14"/>
        <v>14</v>
      </c>
      <c r="Q48" s="8">
        <f t="shared" si="15"/>
        <v>16</v>
      </c>
      <c r="R48" s="48">
        <f t="shared" si="16"/>
        <v>4716</v>
      </c>
      <c r="S48" s="48">
        <f t="shared" si="17"/>
        <v>4008.6</v>
      </c>
      <c r="T48" s="48">
        <f t="shared" si="18"/>
        <v>6641.7000000000007</v>
      </c>
      <c r="U48" s="48">
        <f t="shared" si="19"/>
        <v>24242.205000000002</v>
      </c>
      <c r="V48" s="48">
        <f t="shared" si="20"/>
        <v>0</v>
      </c>
      <c r="W48" s="48">
        <f t="shared" si="21"/>
        <v>800000</v>
      </c>
      <c r="X48" s="48">
        <f t="shared" si="22"/>
        <v>471600</v>
      </c>
      <c r="Y48" s="48">
        <f t="shared" si="23"/>
        <v>3383946.1500000004</v>
      </c>
      <c r="Z48" s="48">
        <f t="shared" si="24"/>
        <v>4655546.1500000004</v>
      </c>
      <c r="AA48" s="37">
        <f t="shared" si="25"/>
        <v>1.984732824427481E-2</v>
      </c>
      <c r="AB48" s="49">
        <f t="shared" si="26"/>
        <v>0</v>
      </c>
      <c r="AC48" s="49" t="str">
        <f t="shared" si="27"/>
        <v>n/a</v>
      </c>
      <c r="AD48" s="50">
        <f t="shared" si="28"/>
        <v>0</v>
      </c>
      <c r="AE48" s="8">
        <f t="shared" si="29"/>
        <v>0</v>
      </c>
      <c r="AF48" s="51">
        <f t="shared" si="30"/>
        <v>4655546.1500000004</v>
      </c>
      <c r="AG48" s="8">
        <f t="shared" si="44"/>
        <v>9.9999999999999997E+98</v>
      </c>
      <c r="AH48" s="8" t="str">
        <f t="shared" si="31"/>
        <v>footprint lanes&gt;300 duplicate</v>
      </c>
      <c r="AI48" s="52">
        <f t="shared" si="45"/>
        <v>5860000004655545</v>
      </c>
    </row>
    <row r="49" spans="1:35" ht="15" customHeight="1" x14ac:dyDescent="0.25">
      <c r="A49" s="8">
        <v>42</v>
      </c>
      <c r="B49" s="8">
        <f t="shared" si="47"/>
        <v>6</v>
      </c>
      <c r="C49" s="8">
        <v>2</v>
      </c>
      <c r="D49" s="49">
        <f t="shared" si="2"/>
        <v>0.5</v>
      </c>
      <c r="E49" s="50">
        <f t="shared" si="3"/>
        <v>41.157142857142851</v>
      </c>
      <c r="F49" s="37">
        <f t="shared" si="4"/>
        <v>0.57162698412698409</v>
      </c>
      <c r="G49" s="8">
        <f t="shared" si="5"/>
        <v>2</v>
      </c>
      <c r="H49" s="8">
        <f t="shared" si="6"/>
        <v>200</v>
      </c>
      <c r="I49" s="50">
        <f t="shared" si="7"/>
        <v>200</v>
      </c>
      <c r="J49" s="50">
        <f t="shared" si="8"/>
        <v>16.900000000000002</v>
      </c>
      <c r="K49" s="50">
        <f t="shared" si="9"/>
        <v>4.3</v>
      </c>
      <c r="L49" s="50">
        <f t="shared" si="10"/>
        <v>50</v>
      </c>
      <c r="M49" s="37">
        <f t="shared" si="11"/>
        <v>21.57810072723084</v>
      </c>
      <c r="N49" s="37">
        <f t="shared" si="12"/>
        <v>6.5142857142857142</v>
      </c>
      <c r="O49" s="50">
        <f t="shared" si="13"/>
        <v>114.18477288303311</v>
      </c>
      <c r="P49" s="50">
        <f t="shared" si="14"/>
        <v>6</v>
      </c>
      <c r="Q49" s="8">
        <f t="shared" si="15"/>
        <v>8</v>
      </c>
      <c r="R49" s="48">
        <f t="shared" si="16"/>
        <v>4728</v>
      </c>
      <c r="S49" s="48">
        <f t="shared" si="17"/>
        <v>4018.7999999999997</v>
      </c>
      <c r="T49" s="48">
        <f t="shared" si="18"/>
        <v>3380.0000000000005</v>
      </c>
      <c r="U49" s="48">
        <f t="shared" si="19"/>
        <v>19604.000000000004</v>
      </c>
      <c r="V49" s="48">
        <f t="shared" si="20"/>
        <v>300000</v>
      </c>
      <c r="W49" s="48">
        <f t="shared" si="21"/>
        <v>400000</v>
      </c>
      <c r="X49" s="48">
        <f t="shared" si="22"/>
        <v>472800</v>
      </c>
      <c r="Y49" s="48">
        <f t="shared" si="23"/>
        <v>1940120.0000000005</v>
      </c>
      <c r="Z49" s="48">
        <f t="shared" si="24"/>
        <v>3112920.0000000005</v>
      </c>
      <c r="AA49" s="37">
        <f t="shared" si="25"/>
        <v>3.9000000000000007E-2</v>
      </c>
      <c r="AB49" s="49">
        <f t="shared" si="26"/>
        <v>0.28581349206349205</v>
      </c>
      <c r="AC49" s="49">
        <f t="shared" si="27"/>
        <v>0.57162698412698409</v>
      </c>
      <c r="AD49" s="50">
        <f t="shared" si="28"/>
        <v>5.6243999999999996</v>
      </c>
      <c r="AE49" s="8">
        <f t="shared" si="29"/>
        <v>0</v>
      </c>
      <c r="AF49" s="51">
        <f t="shared" si="30"/>
        <v>3112920.0000000005</v>
      </c>
      <c r="AG49" s="8">
        <f t="shared" si="44"/>
        <v>9.9999999999999997E+98</v>
      </c>
      <c r="AH49" s="8" t="str">
        <f t="shared" si="31"/>
        <v>footprint duplicate</v>
      </c>
      <c r="AI49" s="52">
        <f t="shared" si="45"/>
        <v>2333333336446253.5</v>
      </c>
    </row>
    <row r="50" spans="1:35" ht="15" customHeight="1" x14ac:dyDescent="0.25">
      <c r="A50" s="8">
        <v>43</v>
      </c>
      <c r="B50" s="8">
        <f t="shared" si="47"/>
        <v>6</v>
      </c>
      <c r="C50" s="8">
        <v>3</v>
      </c>
      <c r="D50" s="49">
        <f t="shared" si="2"/>
        <v>0.52941176470588236</v>
      </c>
      <c r="E50" s="50">
        <f t="shared" si="3"/>
        <v>41.634920634920626</v>
      </c>
      <c r="F50" s="37">
        <f t="shared" si="4"/>
        <v>0.61227824463118574</v>
      </c>
      <c r="G50" s="8">
        <f t="shared" si="5"/>
        <v>2</v>
      </c>
      <c r="H50" s="8">
        <f t="shared" si="6"/>
        <v>134</v>
      </c>
      <c r="I50" s="50">
        <f t="shared" si="7"/>
        <v>134</v>
      </c>
      <c r="J50" s="50">
        <f t="shared" si="8"/>
        <v>16.900000000000002</v>
      </c>
      <c r="K50" s="50">
        <f t="shared" si="9"/>
        <v>6.4499999999999993</v>
      </c>
      <c r="L50" s="50">
        <f t="shared" si="10"/>
        <v>33.5</v>
      </c>
      <c r="M50" s="37">
        <f t="shared" si="11"/>
        <v>15.681493622732603</v>
      </c>
      <c r="N50" s="37">
        <f t="shared" si="12"/>
        <v>6.5142857142857142</v>
      </c>
      <c r="O50" s="50">
        <f t="shared" si="13"/>
        <v>102.39155867403663</v>
      </c>
      <c r="P50" s="50">
        <f t="shared" si="14"/>
        <v>5</v>
      </c>
      <c r="Q50" s="8">
        <f t="shared" si="15"/>
        <v>7</v>
      </c>
      <c r="R50" s="48">
        <f t="shared" si="16"/>
        <v>4716</v>
      </c>
      <c r="S50" s="48">
        <f t="shared" si="17"/>
        <v>4008.6</v>
      </c>
      <c r="T50" s="48">
        <f t="shared" si="18"/>
        <v>2264.6000000000004</v>
      </c>
      <c r="U50" s="48">
        <f t="shared" si="19"/>
        <v>18003.57</v>
      </c>
      <c r="V50" s="48">
        <f t="shared" si="20"/>
        <v>300000</v>
      </c>
      <c r="W50" s="48">
        <f t="shared" si="21"/>
        <v>350000</v>
      </c>
      <c r="X50" s="48">
        <f t="shared" si="22"/>
        <v>471600</v>
      </c>
      <c r="Y50" s="48">
        <f t="shared" si="23"/>
        <v>1445947.1</v>
      </c>
      <c r="Z50" s="48">
        <f t="shared" si="24"/>
        <v>2567547.1</v>
      </c>
      <c r="AA50" s="37">
        <f t="shared" si="25"/>
        <v>5.8208955223880601E-2</v>
      </c>
      <c r="AB50" s="49">
        <f t="shared" si="26"/>
        <v>0.30613912231559287</v>
      </c>
      <c r="AC50" s="49">
        <f t="shared" si="27"/>
        <v>0.61227824463118574</v>
      </c>
      <c r="AD50" s="50">
        <f t="shared" si="28"/>
        <v>6.6169411764705863</v>
      </c>
      <c r="AE50" s="8">
        <f t="shared" si="29"/>
        <v>0</v>
      </c>
      <c r="AF50" s="51">
        <f t="shared" si="30"/>
        <v>2567547.1</v>
      </c>
      <c r="AG50" s="8">
        <f t="shared" si="44"/>
        <v>9.9999999999999997E+98</v>
      </c>
      <c r="AH50" s="8" t="str">
        <f t="shared" si="31"/>
        <v>footprint duplicate</v>
      </c>
      <c r="AI50" s="52">
        <f t="shared" si="45"/>
        <v>1233333335900880.5</v>
      </c>
    </row>
    <row r="51" spans="1:35" ht="15" customHeight="1" x14ac:dyDescent="0.25">
      <c r="A51" s="8">
        <v>44</v>
      </c>
      <c r="B51" s="8">
        <f t="shared" si="47"/>
        <v>6</v>
      </c>
      <c r="C51" s="8">
        <v>4</v>
      </c>
      <c r="D51" s="49">
        <f t="shared" si="2"/>
        <v>0.55555555555555558</v>
      </c>
      <c r="E51" s="50">
        <f t="shared" si="3"/>
        <v>42.447142857142843</v>
      </c>
      <c r="F51" s="37">
        <f t="shared" si="4"/>
        <v>0.65504850088183397</v>
      </c>
      <c r="G51" s="8">
        <f t="shared" si="5"/>
        <v>2</v>
      </c>
      <c r="H51" s="8">
        <f t="shared" si="6"/>
        <v>102</v>
      </c>
      <c r="I51" s="50">
        <f t="shared" si="7"/>
        <v>102</v>
      </c>
      <c r="J51" s="50">
        <f t="shared" si="8"/>
        <v>16.900000000000002</v>
      </c>
      <c r="K51" s="50">
        <f t="shared" si="9"/>
        <v>8.6</v>
      </c>
      <c r="L51" s="50">
        <f t="shared" si="10"/>
        <v>25.5</v>
      </c>
      <c r="M51" s="37">
        <f t="shared" si="11"/>
        <v>12.820785739668324</v>
      </c>
      <c r="N51" s="37">
        <f t="shared" si="12"/>
        <v>6.5142857142857142</v>
      </c>
      <c r="O51" s="50">
        <f t="shared" si="13"/>
        <v>96.670142907908073</v>
      </c>
      <c r="P51" s="50">
        <f t="shared" si="14"/>
        <v>6</v>
      </c>
      <c r="Q51" s="8">
        <f t="shared" si="15"/>
        <v>8</v>
      </c>
      <c r="R51" s="48">
        <f t="shared" si="16"/>
        <v>4752</v>
      </c>
      <c r="S51" s="48">
        <f t="shared" si="17"/>
        <v>4039.2</v>
      </c>
      <c r="T51" s="48">
        <f t="shared" si="18"/>
        <v>1723.8000000000002</v>
      </c>
      <c r="U51" s="48">
        <f t="shared" si="19"/>
        <v>17410.38</v>
      </c>
      <c r="V51" s="48">
        <f t="shared" si="20"/>
        <v>300000</v>
      </c>
      <c r="W51" s="48">
        <f t="shared" si="21"/>
        <v>400000</v>
      </c>
      <c r="X51" s="48">
        <f t="shared" si="22"/>
        <v>475200</v>
      </c>
      <c r="Y51" s="48">
        <f t="shared" si="23"/>
        <v>1211831.4000000001</v>
      </c>
      <c r="Z51" s="48">
        <f t="shared" si="24"/>
        <v>2387031.4000000004</v>
      </c>
      <c r="AA51" s="37">
        <f t="shared" si="25"/>
        <v>7.6470588235294124E-2</v>
      </c>
      <c r="AB51" s="49">
        <f t="shared" si="26"/>
        <v>0.32752425044091699</v>
      </c>
      <c r="AC51" s="49">
        <f t="shared" si="27"/>
        <v>0.65504850088183397</v>
      </c>
      <c r="AD51" s="50">
        <f t="shared" si="28"/>
        <v>8.124133333333333</v>
      </c>
      <c r="AE51" s="8">
        <f t="shared" si="29"/>
        <v>0</v>
      </c>
      <c r="AF51" s="51">
        <f t="shared" si="30"/>
        <v>2387031.4000000004</v>
      </c>
      <c r="AG51" s="8">
        <f t="shared" si="44"/>
        <v>9.9999999999999997E+98</v>
      </c>
      <c r="AH51" s="8" t="str">
        <f t="shared" si="31"/>
        <v>footprint duplicate</v>
      </c>
      <c r="AI51" s="52">
        <f t="shared" si="45"/>
        <v>700000002387031.38</v>
      </c>
    </row>
    <row r="52" spans="1:35" ht="15" customHeight="1" x14ac:dyDescent="0.25">
      <c r="A52" s="8">
        <v>45</v>
      </c>
      <c r="B52" s="8">
        <f t="shared" si="47"/>
        <v>6</v>
      </c>
      <c r="C52" s="8">
        <v>5</v>
      </c>
      <c r="D52" s="49">
        <f t="shared" si="2"/>
        <v>0.57894736842105265</v>
      </c>
      <c r="E52" s="50">
        <f t="shared" si="3"/>
        <v>43.502597402597381</v>
      </c>
      <c r="F52" s="37">
        <f t="shared" si="4"/>
        <v>0.69960317460317434</v>
      </c>
      <c r="G52" s="8">
        <f t="shared" si="5"/>
        <v>2</v>
      </c>
      <c r="H52" s="8">
        <f t="shared" si="6"/>
        <v>82</v>
      </c>
      <c r="I52" s="50">
        <f t="shared" si="7"/>
        <v>82</v>
      </c>
      <c r="J52" s="50">
        <f t="shared" si="8"/>
        <v>16.900000000000002</v>
      </c>
      <c r="K52" s="50">
        <f t="shared" si="9"/>
        <v>10.75</v>
      </c>
      <c r="L52" s="50">
        <f t="shared" si="10"/>
        <v>20.5</v>
      </c>
      <c r="M52" s="37">
        <f t="shared" si="11"/>
        <v>11.03143034516234</v>
      </c>
      <c r="N52" s="37">
        <f t="shared" si="12"/>
        <v>6.5142857142857142</v>
      </c>
      <c r="O52" s="50">
        <f t="shared" si="13"/>
        <v>93.091432118896108</v>
      </c>
      <c r="P52" s="50">
        <f t="shared" si="14"/>
        <v>7</v>
      </c>
      <c r="Q52" s="8">
        <f t="shared" si="15"/>
        <v>9</v>
      </c>
      <c r="R52" s="48">
        <f t="shared" si="16"/>
        <v>4740</v>
      </c>
      <c r="S52" s="48">
        <f t="shared" si="17"/>
        <v>4029</v>
      </c>
      <c r="T52" s="48">
        <f t="shared" si="18"/>
        <v>1385.8000000000002</v>
      </c>
      <c r="U52" s="48">
        <f t="shared" si="19"/>
        <v>16976.050000000003</v>
      </c>
      <c r="V52" s="48">
        <f t="shared" si="20"/>
        <v>300000</v>
      </c>
      <c r="W52" s="48">
        <f t="shared" si="21"/>
        <v>450000</v>
      </c>
      <c r="X52" s="48">
        <f t="shared" si="22"/>
        <v>474000</v>
      </c>
      <c r="Y52" s="48">
        <f t="shared" si="23"/>
        <v>1063601.5000000002</v>
      </c>
      <c r="Z52" s="48">
        <f t="shared" si="24"/>
        <v>2287601.5</v>
      </c>
      <c r="AA52" s="37">
        <f t="shared" si="25"/>
        <v>9.512195121951221E-2</v>
      </c>
      <c r="AB52" s="49">
        <f t="shared" si="26"/>
        <v>0.34980158730158717</v>
      </c>
      <c r="AC52" s="49">
        <f t="shared" si="27"/>
        <v>0.69960317460317434</v>
      </c>
      <c r="AD52" s="50">
        <f t="shared" si="28"/>
        <v>10.064715789473683</v>
      </c>
      <c r="AE52" s="8">
        <f t="shared" si="29"/>
        <v>0</v>
      </c>
      <c r="AF52" s="51">
        <f t="shared" si="30"/>
        <v>2287601.5</v>
      </c>
      <c r="AG52" s="8">
        <f t="shared" si="44"/>
        <v>9.9999999999999997E+98</v>
      </c>
      <c r="AH52" s="8" t="str">
        <f t="shared" si="31"/>
        <v>footprint duplicate</v>
      </c>
      <c r="AI52" s="52">
        <f t="shared" si="45"/>
        <v>366666668954268.19</v>
      </c>
    </row>
    <row r="53" spans="1:35" ht="15" customHeight="1" x14ac:dyDescent="0.25">
      <c r="A53" s="8">
        <v>46</v>
      </c>
      <c r="B53" s="8">
        <f t="shared" si="47"/>
        <v>6</v>
      </c>
      <c r="C53" s="8">
        <v>6</v>
      </c>
      <c r="D53" s="49">
        <f t="shared" si="2"/>
        <v>0.60000000000000009</v>
      </c>
      <c r="E53" s="50">
        <f t="shared" si="3"/>
        <v>44.740476190476173</v>
      </c>
      <c r="F53" s="37">
        <f t="shared" si="4"/>
        <v>0.74567460317460299</v>
      </c>
      <c r="G53" s="8">
        <f t="shared" si="5"/>
        <v>2</v>
      </c>
      <c r="H53" s="8">
        <f t="shared" si="6"/>
        <v>69</v>
      </c>
      <c r="I53" s="50">
        <f t="shared" si="7"/>
        <v>69</v>
      </c>
      <c r="J53" s="50">
        <f t="shared" si="8"/>
        <v>16.900000000000002</v>
      </c>
      <c r="K53" s="50">
        <f t="shared" si="9"/>
        <v>12.899999999999999</v>
      </c>
      <c r="L53" s="50">
        <f t="shared" si="10"/>
        <v>17.25</v>
      </c>
      <c r="M53" s="37">
        <f t="shared" si="11"/>
        <v>9.8672174288264642</v>
      </c>
      <c r="N53" s="37">
        <f t="shared" si="12"/>
        <v>6.5142857142857142</v>
      </c>
      <c r="O53" s="50">
        <f t="shared" si="13"/>
        <v>90.763006286224353</v>
      </c>
      <c r="P53" s="50">
        <f t="shared" si="14"/>
        <v>8</v>
      </c>
      <c r="Q53" s="8">
        <f t="shared" si="15"/>
        <v>10</v>
      </c>
      <c r="R53" s="48">
        <f t="shared" si="16"/>
        <v>4752</v>
      </c>
      <c r="S53" s="48">
        <f t="shared" si="17"/>
        <v>4039.2</v>
      </c>
      <c r="T53" s="48">
        <f t="shared" si="18"/>
        <v>1166.1000000000001</v>
      </c>
      <c r="U53" s="48">
        <f t="shared" si="19"/>
        <v>16791.84</v>
      </c>
      <c r="V53" s="48">
        <f t="shared" si="20"/>
        <v>300000</v>
      </c>
      <c r="W53" s="48">
        <f t="shared" si="21"/>
        <v>500000</v>
      </c>
      <c r="X53" s="48">
        <f t="shared" si="22"/>
        <v>475200</v>
      </c>
      <c r="Y53" s="48">
        <f t="shared" si="23"/>
        <v>970195.20000000007</v>
      </c>
      <c r="Z53" s="48">
        <f t="shared" si="24"/>
        <v>2245395.2000000002</v>
      </c>
      <c r="AA53" s="37">
        <f t="shared" si="25"/>
        <v>0.11304347826086958</v>
      </c>
      <c r="AB53" s="49">
        <f t="shared" si="26"/>
        <v>0.3728373015873015</v>
      </c>
      <c r="AC53" s="49">
        <f t="shared" si="27"/>
        <v>0.74567460317460299</v>
      </c>
      <c r="AD53" s="50">
        <f t="shared" si="28"/>
        <v>12.373679999999997</v>
      </c>
      <c r="AE53" s="8">
        <f t="shared" si="29"/>
        <v>0</v>
      </c>
      <c r="AF53" s="51">
        <f t="shared" si="30"/>
        <v>2245395.2000000002</v>
      </c>
      <c r="AG53" s="8">
        <f t="shared" si="44"/>
        <v>9.9999999999999997E+98</v>
      </c>
      <c r="AH53" s="8" t="str">
        <f t="shared" si="31"/>
        <v>footprint duplicate</v>
      </c>
      <c r="AI53" s="52">
        <f t="shared" si="45"/>
        <v>150000002245395.13</v>
      </c>
    </row>
    <row r="54" spans="1:35" ht="15" customHeight="1" x14ac:dyDescent="0.25">
      <c r="A54" s="8">
        <v>47</v>
      </c>
      <c r="B54" s="8">
        <f t="shared" si="47"/>
        <v>6</v>
      </c>
      <c r="C54" s="8">
        <v>7</v>
      </c>
      <c r="D54" s="49">
        <f t="shared" si="2"/>
        <v>0.60000000000000009</v>
      </c>
      <c r="E54" s="50">
        <f t="shared" si="3"/>
        <v>44.919642857142833</v>
      </c>
      <c r="F54" s="37">
        <f t="shared" si="4"/>
        <v>0.7486607142857139</v>
      </c>
      <c r="G54" s="8">
        <f t="shared" si="5"/>
        <v>2</v>
      </c>
      <c r="H54" s="8">
        <f t="shared" si="6"/>
        <v>60</v>
      </c>
      <c r="I54" s="50">
        <f t="shared" si="7"/>
        <v>60</v>
      </c>
      <c r="J54" s="50">
        <f t="shared" si="8"/>
        <v>16.900000000000002</v>
      </c>
      <c r="K54" s="50">
        <f t="shared" si="9"/>
        <v>15.049999999999999</v>
      </c>
      <c r="L54" s="50">
        <f t="shared" si="10"/>
        <v>15</v>
      </c>
      <c r="M54" s="37">
        <f t="shared" si="11"/>
        <v>9.0603357574361478</v>
      </c>
      <c r="N54" s="37">
        <f t="shared" si="12"/>
        <v>6.5142857142857142</v>
      </c>
      <c r="O54" s="50">
        <f t="shared" si="13"/>
        <v>89.149242943443724</v>
      </c>
      <c r="P54" s="50">
        <f t="shared" si="14"/>
        <v>9</v>
      </c>
      <c r="Q54" s="8">
        <f t="shared" si="15"/>
        <v>11</v>
      </c>
      <c r="R54" s="48">
        <f t="shared" si="16"/>
        <v>4788</v>
      </c>
      <c r="S54" s="48">
        <f t="shared" si="17"/>
        <v>4069.7999999999997</v>
      </c>
      <c r="T54" s="48">
        <f t="shared" si="18"/>
        <v>1014.0000000000001</v>
      </c>
      <c r="U54" s="48">
        <f t="shared" si="19"/>
        <v>16781.7</v>
      </c>
      <c r="V54" s="48">
        <f t="shared" si="20"/>
        <v>300000</v>
      </c>
      <c r="W54" s="48">
        <f t="shared" si="21"/>
        <v>550000</v>
      </c>
      <c r="X54" s="48">
        <f t="shared" si="22"/>
        <v>478800</v>
      </c>
      <c r="Y54" s="48">
        <f t="shared" si="23"/>
        <v>909051</v>
      </c>
      <c r="Z54" s="48">
        <f t="shared" si="24"/>
        <v>2237851</v>
      </c>
      <c r="AA54" s="37">
        <f t="shared" si="25"/>
        <v>0.13</v>
      </c>
      <c r="AB54" s="49">
        <f t="shared" si="26"/>
        <v>0.37433035714285695</v>
      </c>
      <c r="AC54" s="49">
        <f t="shared" si="27"/>
        <v>0.7486607142857139</v>
      </c>
      <c r="AD54" s="50">
        <f t="shared" si="28"/>
        <v>12.654899999999998</v>
      </c>
      <c r="AE54" s="8">
        <f t="shared" si="29"/>
        <v>0</v>
      </c>
      <c r="AF54" s="51">
        <f t="shared" si="30"/>
        <v>2237851</v>
      </c>
      <c r="AG54" s="8">
        <f t="shared" si="44"/>
        <v>9.9999999999999997E+98</v>
      </c>
      <c r="AH54" s="8" t="str">
        <f t="shared" si="31"/>
        <v>duplicate</v>
      </c>
      <c r="AI54" s="52">
        <f t="shared" si="45"/>
        <v>2237851.0105178994</v>
      </c>
    </row>
    <row r="55" spans="1:35" ht="15" customHeight="1" x14ac:dyDescent="0.25">
      <c r="A55" s="8">
        <v>48</v>
      </c>
      <c r="B55" s="8">
        <f t="shared" si="47"/>
        <v>6</v>
      </c>
      <c r="C55" s="8">
        <v>8</v>
      </c>
      <c r="D55" s="49">
        <f t="shared" si="2"/>
        <v>0.60000000000000009</v>
      </c>
      <c r="E55" s="50">
        <f t="shared" si="3"/>
        <v>45.0988095238095</v>
      </c>
      <c r="F55" s="37">
        <f t="shared" si="4"/>
        <v>0.75164682539682504</v>
      </c>
      <c r="G55" s="8">
        <f t="shared" si="5"/>
        <v>2</v>
      </c>
      <c r="H55" s="8">
        <f t="shared" si="6"/>
        <v>53</v>
      </c>
      <c r="I55" s="50">
        <f t="shared" si="7"/>
        <v>53</v>
      </c>
      <c r="J55" s="50">
        <f t="shared" si="8"/>
        <v>16.900000000000002</v>
      </c>
      <c r="K55" s="50">
        <f t="shared" si="9"/>
        <v>17.2</v>
      </c>
      <c r="L55" s="50">
        <f t="shared" si="10"/>
        <v>13.25</v>
      </c>
      <c r="M55" s="37">
        <f t="shared" si="11"/>
        <v>8.4319838763428088</v>
      </c>
      <c r="N55" s="37">
        <f t="shared" si="12"/>
        <v>6.5142857142857142</v>
      </c>
      <c r="O55" s="50">
        <f t="shared" si="13"/>
        <v>87.89253918125705</v>
      </c>
      <c r="P55" s="50">
        <f t="shared" si="14"/>
        <v>10</v>
      </c>
      <c r="Q55" s="8">
        <f t="shared" si="15"/>
        <v>12</v>
      </c>
      <c r="R55" s="48">
        <f t="shared" si="16"/>
        <v>4800</v>
      </c>
      <c r="S55" s="48">
        <f t="shared" si="17"/>
        <v>4080</v>
      </c>
      <c r="T55" s="48">
        <f t="shared" si="18"/>
        <v>895.70000000000016</v>
      </c>
      <c r="U55" s="48">
        <f t="shared" si="19"/>
        <v>16749.590000000004</v>
      </c>
      <c r="V55" s="48">
        <f t="shared" si="20"/>
        <v>300000</v>
      </c>
      <c r="W55" s="48">
        <f t="shared" si="21"/>
        <v>600000</v>
      </c>
      <c r="X55" s="48">
        <f t="shared" si="22"/>
        <v>480000</v>
      </c>
      <c r="Y55" s="48">
        <f t="shared" si="23"/>
        <v>860767.70000000019</v>
      </c>
      <c r="Z55" s="48">
        <f t="shared" si="24"/>
        <v>2240767.7000000002</v>
      </c>
      <c r="AA55" s="37">
        <f t="shared" si="25"/>
        <v>0.14716981132075474</v>
      </c>
      <c r="AB55" s="49">
        <f t="shared" si="26"/>
        <v>0.37582341269841252</v>
      </c>
      <c r="AC55" s="49">
        <f t="shared" si="27"/>
        <v>0.75164682539682504</v>
      </c>
      <c r="AD55" s="50">
        <f t="shared" si="28"/>
        <v>12.936119999999995</v>
      </c>
      <c r="AE55" s="8">
        <f t="shared" si="29"/>
        <v>0</v>
      </c>
      <c r="AF55" s="51">
        <f t="shared" si="30"/>
        <v>2240767.7000000002</v>
      </c>
      <c r="AG55" s="8">
        <f t="shared" si="44"/>
        <v>9.9999999999999997E+98</v>
      </c>
      <c r="AH55" s="8" t="str">
        <f t="shared" si="31"/>
        <v>duplicate</v>
      </c>
      <c r="AI55" s="52">
        <f t="shared" si="45"/>
        <v>2240767.7107556849</v>
      </c>
    </row>
    <row r="56" spans="1:35" ht="15" customHeight="1" x14ac:dyDescent="0.25">
      <c r="A56" s="8">
        <v>49</v>
      </c>
      <c r="B56" s="8">
        <f t="shared" si="47"/>
        <v>6</v>
      </c>
      <c r="C56" s="8">
        <v>9</v>
      </c>
      <c r="D56" s="49">
        <f t="shared" si="2"/>
        <v>0.6</v>
      </c>
      <c r="E56" s="50">
        <f t="shared" si="3"/>
        <v>45.277976190476181</v>
      </c>
      <c r="F56" s="37">
        <f t="shared" si="4"/>
        <v>0.75463293650793628</v>
      </c>
      <c r="G56" s="8">
        <f t="shared" si="5"/>
        <v>2</v>
      </c>
      <c r="H56" s="8">
        <f t="shared" si="6"/>
        <v>47</v>
      </c>
      <c r="I56" s="50">
        <f t="shared" si="7"/>
        <v>47</v>
      </c>
      <c r="J56" s="50">
        <f t="shared" si="8"/>
        <v>16.900000000000002</v>
      </c>
      <c r="K56" s="50">
        <f t="shared" si="9"/>
        <v>19.349999999999998</v>
      </c>
      <c r="L56" s="50">
        <f t="shared" si="10"/>
        <v>11.75</v>
      </c>
      <c r="M56" s="37">
        <f t="shared" si="11"/>
        <v>7.8926018787938661</v>
      </c>
      <c r="N56" s="37">
        <f t="shared" si="12"/>
        <v>6.5142857142857142</v>
      </c>
      <c r="O56" s="50">
        <f t="shared" si="13"/>
        <v>86.813775186159162</v>
      </c>
      <c r="P56" s="50">
        <f t="shared" si="14"/>
        <v>11</v>
      </c>
      <c r="Q56" s="8">
        <f t="shared" si="15"/>
        <v>13</v>
      </c>
      <c r="R56" s="48">
        <f t="shared" si="16"/>
        <v>4752</v>
      </c>
      <c r="S56" s="48">
        <f t="shared" si="17"/>
        <v>4039.2</v>
      </c>
      <c r="T56" s="48">
        <f t="shared" si="18"/>
        <v>794.30000000000007</v>
      </c>
      <c r="U56" s="48">
        <f t="shared" si="19"/>
        <v>16561.154999999999</v>
      </c>
      <c r="V56" s="48">
        <f t="shared" si="20"/>
        <v>300000</v>
      </c>
      <c r="W56" s="48">
        <f t="shared" si="21"/>
        <v>650000</v>
      </c>
      <c r="X56" s="48">
        <f t="shared" si="22"/>
        <v>475200</v>
      </c>
      <c r="Y56" s="48">
        <f t="shared" si="23"/>
        <v>814554.64999999991</v>
      </c>
      <c r="Z56" s="48">
        <f t="shared" si="24"/>
        <v>2239754.65</v>
      </c>
      <c r="AA56" s="37">
        <f t="shared" si="25"/>
        <v>0.16595744680851066</v>
      </c>
      <c r="AB56" s="49">
        <f t="shared" si="26"/>
        <v>0.37731646825396814</v>
      </c>
      <c r="AC56" s="49">
        <f t="shared" si="27"/>
        <v>0.75463293650793628</v>
      </c>
      <c r="AD56" s="50">
        <f t="shared" si="28"/>
        <v>13.217339999999998</v>
      </c>
      <c r="AE56" s="8">
        <f t="shared" si="29"/>
        <v>0</v>
      </c>
      <c r="AF56" s="51">
        <f t="shared" si="30"/>
        <v>2239754.65</v>
      </c>
      <c r="AG56" s="8">
        <f t="shared" si="44"/>
        <v>9.9999999999999997E+98</v>
      </c>
      <c r="AH56" s="8" t="str">
        <f t="shared" si="31"/>
        <v>duplicate</v>
      </c>
      <c r="AI56" s="52">
        <f t="shared" si="45"/>
        <v>2239754.6609747978</v>
      </c>
    </row>
    <row r="57" spans="1:35" ht="15" customHeight="1" x14ac:dyDescent="0.25">
      <c r="A57" s="8">
        <v>50</v>
      </c>
      <c r="B57" s="8">
        <f t="shared" si="47"/>
        <v>6</v>
      </c>
      <c r="C57" s="8">
        <v>10</v>
      </c>
      <c r="D57" s="49">
        <f t="shared" si="2"/>
        <v>0.60000000000000009</v>
      </c>
      <c r="E57" s="50">
        <f t="shared" si="3"/>
        <v>45.457142857142834</v>
      </c>
      <c r="F57" s="37">
        <f t="shared" si="4"/>
        <v>0.7576190476190473</v>
      </c>
      <c r="G57" s="8">
        <f t="shared" si="5"/>
        <v>2</v>
      </c>
      <c r="H57" s="8">
        <f t="shared" si="6"/>
        <v>43</v>
      </c>
      <c r="I57" s="50">
        <f t="shared" si="7"/>
        <v>43</v>
      </c>
      <c r="J57" s="50">
        <f t="shared" si="8"/>
        <v>16.900000000000002</v>
      </c>
      <c r="K57" s="50">
        <f t="shared" si="9"/>
        <v>21.5</v>
      </c>
      <c r="L57" s="50">
        <f t="shared" si="10"/>
        <v>10.75</v>
      </c>
      <c r="M57" s="37">
        <f t="shared" si="11"/>
        <v>7.5324452429341591</v>
      </c>
      <c r="N57" s="37">
        <f t="shared" si="12"/>
        <v>6.5142857142857142</v>
      </c>
      <c r="O57" s="50">
        <f t="shared" si="13"/>
        <v>86.093461914439743</v>
      </c>
      <c r="P57" s="50">
        <f t="shared" si="14"/>
        <v>12</v>
      </c>
      <c r="Q57" s="8">
        <f t="shared" si="15"/>
        <v>14</v>
      </c>
      <c r="R57" s="48">
        <f t="shared" si="16"/>
        <v>4800</v>
      </c>
      <c r="S57" s="48">
        <f t="shared" si="17"/>
        <v>4080</v>
      </c>
      <c r="T57" s="48">
        <f t="shared" si="18"/>
        <v>726.7</v>
      </c>
      <c r="U57" s="48">
        <f t="shared" si="19"/>
        <v>16714.100000000002</v>
      </c>
      <c r="V57" s="48">
        <f t="shared" si="20"/>
        <v>300000</v>
      </c>
      <c r="W57" s="48">
        <f t="shared" si="21"/>
        <v>700000</v>
      </c>
      <c r="X57" s="48">
        <f t="shared" si="22"/>
        <v>480000</v>
      </c>
      <c r="Y57" s="48">
        <f t="shared" si="23"/>
        <v>792103</v>
      </c>
      <c r="Z57" s="48">
        <f t="shared" si="24"/>
        <v>2272103</v>
      </c>
      <c r="AA57" s="37">
        <f t="shared" si="25"/>
        <v>0.18139534883720931</v>
      </c>
      <c r="AB57" s="49">
        <f t="shared" si="26"/>
        <v>0.37880952380952365</v>
      </c>
      <c r="AC57" s="49">
        <f t="shared" si="27"/>
        <v>0.7576190476190473</v>
      </c>
      <c r="AD57" s="50">
        <f t="shared" si="28"/>
        <v>13.498559999999996</v>
      </c>
      <c r="AE57" s="8">
        <f t="shared" si="29"/>
        <v>0</v>
      </c>
      <c r="AF57" s="51">
        <f t="shared" si="30"/>
        <v>2272103</v>
      </c>
      <c r="AG57" s="8">
        <f t="shared" si="44"/>
        <v>9.9999999999999997E+98</v>
      </c>
      <c r="AH57" s="8" t="str">
        <f t="shared" si="31"/>
        <v>height duplicate</v>
      </c>
      <c r="AI57" s="52">
        <f t="shared" si="45"/>
        <v>75000002272102.969</v>
      </c>
    </row>
    <row r="58" spans="1:35" ht="15" customHeight="1" x14ac:dyDescent="0.25">
      <c r="A58" s="8">
        <v>51</v>
      </c>
      <c r="B58" s="8">
        <f t="shared" si="47"/>
        <v>6</v>
      </c>
      <c r="C58" s="8">
        <v>11</v>
      </c>
      <c r="D58" s="49">
        <f t="shared" si="2"/>
        <v>0.6</v>
      </c>
      <c r="E58" s="50">
        <f t="shared" si="3"/>
        <v>45.636309523809516</v>
      </c>
      <c r="F58" s="37">
        <f t="shared" si="4"/>
        <v>0.76060515873015866</v>
      </c>
      <c r="G58" s="8">
        <f t="shared" si="5"/>
        <v>2</v>
      </c>
      <c r="H58" s="8">
        <f t="shared" si="6"/>
        <v>39</v>
      </c>
      <c r="I58" s="50">
        <f t="shared" si="7"/>
        <v>39</v>
      </c>
      <c r="J58" s="50">
        <f t="shared" si="8"/>
        <v>16.900000000000002</v>
      </c>
      <c r="K58" s="50">
        <f t="shared" si="9"/>
        <v>23.65</v>
      </c>
      <c r="L58" s="50">
        <f t="shared" si="10"/>
        <v>9.75</v>
      </c>
      <c r="M58" s="37">
        <f t="shared" si="11"/>
        <v>7.171670396055613</v>
      </c>
      <c r="N58" s="37">
        <f t="shared" si="12"/>
        <v>6.5142857142857142</v>
      </c>
      <c r="O58" s="50">
        <f t="shared" si="13"/>
        <v>85.371912220682646</v>
      </c>
      <c r="P58" s="50">
        <f t="shared" si="14"/>
        <v>13</v>
      </c>
      <c r="Q58" s="8">
        <f t="shared" si="15"/>
        <v>15</v>
      </c>
      <c r="R58" s="48">
        <f t="shared" si="16"/>
        <v>4752</v>
      </c>
      <c r="S58" s="48">
        <f t="shared" si="17"/>
        <v>4039.2</v>
      </c>
      <c r="T58" s="48">
        <f t="shared" si="18"/>
        <v>659.10000000000014</v>
      </c>
      <c r="U58" s="48">
        <f t="shared" si="19"/>
        <v>16576.365000000002</v>
      </c>
      <c r="V58" s="48">
        <f t="shared" si="20"/>
        <v>300000</v>
      </c>
      <c r="W58" s="48">
        <f t="shared" si="21"/>
        <v>750000</v>
      </c>
      <c r="X58" s="48">
        <f t="shared" si="22"/>
        <v>475200</v>
      </c>
      <c r="Y58" s="48">
        <f t="shared" si="23"/>
        <v>760930.95000000019</v>
      </c>
      <c r="Z58" s="48">
        <f t="shared" si="24"/>
        <v>2286130.9500000002</v>
      </c>
      <c r="AA58" s="37">
        <f t="shared" si="25"/>
        <v>0.2</v>
      </c>
      <c r="AB58" s="49">
        <f t="shared" si="26"/>
        <v>0.38030257936507933</v>
      </c>
      <c r="AC58" s="49">
        <f t="shared" si="27"/>
        <v>0.76060515873015866</v>
      </c>
      <c r="AD58" s="50">
        <f t="shared" si="28"/>
        <v>13.779779999999999</v>
      </c>
      <c r="AE58" s="8">
        <f t="shared" si="29"/>
        <v>0</v>
      </c>
      <c r="AF58" s="51">
        <f t="shared" si="30"/>
        <v>2286130.9500000002</v>
      </c>
      <c r="AG58" s="8">
        <f t="shared" si="44"/>
        <v>9.9999999999999997E+98</v>
      </c>
      <c r="AH58" s="8" t="str">
        <f t="shared" si="31"/>
        <v>height duplicate</v>
      </c>
      <c r="AI58" s="52">
        <f t="shared" si="45"/>
        <v>182500002286130.84</v>
      </c>
    </row>
    <row r="59" spans="1:35" ht="15" customHeight="1" x14ac:dyDescent="0.25">
      <c r="A59" s="8">
        <v>52</v>
      </c>
      <c r="B59" s="8">
        <f t="shared" si="47"/>
        <v>6</v>
      </c>
      <c r="C59" s="8">
        <v>12</v>
      </c>
      <c r="D59" s="49">
        <f t="shared" si="2"/>
        <v>0.6</v>
      </c>
      <c r="E59" s="50">
        <f t="shared" si="3"/>
        <v>45.815476190476183</v>
      </c>
      <c r="F59" s="37">
        <f t="shared" si="4"/>
        <v>0.76359126984126979</v>
      </c>
      <c r="G59" s="8">
        <f t="shared" si="5"/>
        <v>2</v>
      </c>
      <c r="H59" s="8">
        <f t="shared" si="6"/>
        <v>36</v>
      </c>
      <c r="I59" s="50">
        <f t="shared" si="7"/>
        <v>36</v>
      </c>
      <c r="J59" s="50">
        <f t="shared" si="8"/>
        <v>16.900000000000002</v>
      </c>
      <c r="K59" s="50">
        <f t="shared" si="9"/>
        <v>25.799999999999997</v>
      </c>
      <c r="L59" s="50">
        <f t="shared" si="10"/>
        <v>9</v>
      </c>
      <c r="M59" s="37">
        <f t="shared" si="11"/>
        <v>6.9005595957269135</v>
      </c>
      <c r="N59" s="37">
        <f t="shared" si="12"/>
        <v>6.5142857142857142</v>
      </c>
      <c r="O59" s="50">
        <f t="shared" si="13"/>
        <v>84.829690620025247</v>
      </c>
      <c r="P59" s="50">
        <f t="shared" si="14"/>
        <v>14</v>
      </c>
      <c r="Q59" s="8">
        <f t="shared" si="15"/>
        <v>16</v>
      </c>
      <c r="R59" s="48">
        <f t="shared" si="16"/>
        <v>4752</v>
      </c>
      <c r="S59" s="48">
        <f t="shared" si="17"/>
        <v>4039.2</v>
      </c>
      <c r="T59" s="48">
        <f t="shared" si="18"/>
        <v>608.40000000000009</v>
      </c>
      <c r="U59" s="48">
        <f t="shared" si="19"/>
        <v>16609.32</v>
      </c>
      <c r="V59" s="48">
        <f t="shared" si="20"/>
        <v>300000</v>
      </c>
      <c r="W59" s="48">
        <f t="shared" si="21"/>
        <v>800000</v>
      </c>
      <c r="X59" s="48">
        <f t="shared" si="22"/>
        <v>475200</v>
      </c>
      <c r="Y59" s="48">
        <f t="shared" si="23"/>
        <v>741639.6</v>
      </c>
      <c r="Z59" s="48">
        <f t="shared" si="24"/>
        <v>2316839.6</v>
      </c>
      <c r="AA59" s="37">
        <f t="shared" si="25"/>
        <v>0.21666666666666667</v>
      </c>
      <c r="AB59" s="49">
        <f t="shared" si="26"/>
        <v>0.3817956349206349</v>
      </c>
      <c r="AC59" s="49">
        <f t="shared" si="27"/>
        <v>0.76359126984126979</v>
      </c>
      <c r="AD59" s="50">
        <f t="shared" si="28"/>
        <v>14.060999999999998</v>
      </c>
      <c r="AE59" s="8">
        <f t="shared" si="29"/>
        <v>0</v>
      </c>
      <c r="AF59" s="51">
        <f t="shared" si="30"/>
        <v>2316839.6</v>
      </c>
      <c r="AG59" s="8">
        <f t="shared" si="44"/>
        <v>9.9999999999999997E+98</v>
      </c>
      <c r="AH59" s="8" t="str">
        <f t="shared" si="31"/>
        <v>height duplicate</v>
      </c>
      <c r="AI59" s="52">
        <f t="shared" si="45"/>
        <v>290000002316839.44</v>
      </c>
    </row>
    <row r="60" spans="1:35" ht="15" customHeight="1" x14ac:dyDescent="0.25">
      <c r="A60" s="8">
        <v>53</v>
      </c>
      <c r="B60" s="8">
        <f t="shared" si="47"/>
        <v>6</v>
      </c>
      <c r="C60" s="8">
        <v>13</v>
      </c>
      <c r="D60" s="49">
        <f t="shared" si="2"/>
        <v>0.6</v>
      </c>
      <c r="E60" s="50">
        <f t="shared" si="3"/>
        <v>45.99464285714285</v>
      </c>
      <c r="F60" s="37">
        <f t="shared" si="4"/>
        <v>0.76657738095238082</v>
      </c>
      <c r="G60" s="8">
        <f t="shared" si="5"/>
        <v>2</v>
      </c>
      <c r="H60" s="8">
        <f t="shared" si="6"/>
        <v>34</v>
      </c>
      <c r="I60" s="50">
        <f t="shared" si="7"/>
        <v>34</v>
      </c>
      <c r="J60" s="50">
        <f t="shared" si="8"/>
        <v>16.900000000000002</v>
      </c>
      <c r="K60" s="50">
        <f t="shared" si="9"/>
        <v>27.95</v>
      </c>
      <c r="L60" s="50">
        <f t="shared" si="10"/>
        <v>8.5</v>
      </c>
      <c r="M60" s="37">
        <f t="shared" si="11"/>
        <v>6.7195000761478241</v>
      </c>
      <c r="N60" s="37">
        <f t="shared" si="12"/>
        <v>6.5142857142857142</v>
      </c>
      <c r="O60" s="50">
        <f t="shared" si="13"/>
        <v>84.467571580867073</v>
      </c>
      <c r="P60" s="50">
        <f t="shared" si="14"/>
        <v>15</v>
      </c>
      <c r="Q60" s="8">
        <f t="shared" si="15"/>
        <v>17</v>
      </c>
      <c r="R60" s="48">
        <f t="shared" si="16"/>
        <v>4836</v>
      </c>
      <c r="S60" s="48">
        <f t="shared" si="17"/>
        <v>4110.5999999999995</v>
      </c>
      <c r="T60" s="48">
        <f t="shared" si="18"/>
        <v>574.6</v>
      </c>
      <c r="U60" s="48">
        <f t="shared" si="19"/>
        <v>16921.97</v>
      </c>
      <c r="V60" s="48">
        <f t="shared" si="20"/>
        <v>300000</v>
      </c>
      <c r="W60" s="48">
        <f t="shared" si="21"/>
        <v>850000</v>
      </c>
      <c r="X60" s="48">
        <f t="shared" si="22"/>
        <v>483600</v>
      </c>
      <c r="Y60" s="48">
        <f t="shared" si="23"/>
        <v>737499.10000000009</v>
      </c>
      <c r="Z60" s="48">
        <f t="shared" si="24"/>
        <v>2371099.1</v>
      </c>
      <c r="AA60" s="37">
        <f t="shared" si="25"/>
        <v>0.22941176470588237</v>
      </c>
      <c r="AB60" s="49">
        <f t="shared" si="26"/>
        <v>0.38328869047619041</v>
      </c>
      <c r="AC60" s="49">
        <f t="shared" si="27"/>
        <v>0.76657738095238082</v>
      </c>
      <c r="AD60" s="50">
        <f t="shared" si="28"/>
        <v>14.342219999999999</v>
      </c>
      <c r="AE60" s="8">
        <f t="shared" si="29"/>
        <v>0</v>
      </c>
      <c r="AF60" s="51">
        <f t="shared" si="30"/>
        <v>2371099.1</v>
      </c>
      <c r="AG60" s="8">
        <f t="shared" si="44"/>
        <v>9.9999999999999997E+98</v>
      </c>
      <c r="AH60" s="8" t="str">
        <f t="shared" si="31"/>
        <v>height duplicate</v>
      </c>
      <c r="AI60" s="52">
        <f t="shared" si="45"/>
        <v>397500002371099.06</v>
      </c>
    </row>
    <row r="61" spans="1:35" ht="15" customHeight="1" x14ac:dyDescent="0.25">
      <c r="A61" s="8">
        <v>54</v>
      </c>
      <c r="B61" s="8">
        <f t="shared" si="47"/>
        <v>6</v>
      </c>
      <c r="C61" s="8">
        <v>14</v>
      </c>
      <c r="D61" s="49">
        <f t="shared" si="2"/>
        <v>0.6</v>
      </c>
      <c r="E61" s="50">
        <f t="shared" si="3"/>
        <v>46.173809523809517</v>
      </c>
      <c r="F61" s="37">
        <f t="shared" si="4"/>
        <v>0.76956349206349195</v>
      </c>
      <c r="G61" s="8">
        <f t="shared" si="5"/>
        <v>2</v>
      </c>
      <c r="H61" s="8">
        <f t="shared" si="6"/>
        <v>32</v>
      </c>
      <c r="I61" s="50">
        <f t="shared" si="7"/>
        <v>32</v>
      </c>
      <c r="J61" s="50">
        <f t="shared" si="8"/>
        <v>16.900000000000002</v>
      </c>
      <c r="K61" s="50">
        <f t="shared" si="9"/>
        <v>30.099999999999998</v>
      </c>
      <c r="L61" s="50">
        <f t="shared" si="10"/>
        <v>8</v>
      </c>
      <c r="M61" s="37">
        <f t="shared" si="11"/>
        <v>6.5381295451927768</v>
      </c>
      <c r="N61" s="37">
        <f t="shared" si="12"/>
        <v>6.5142857142857142</v>
      </c>
      <c r="O61" s="50">
        <f t="shared" si="13"/>
        <v>84.104830518956973</v>
      </c>
      <c r="P61" s="50">
        <f t="shared" si="14"/>
        <v>16</v>
      </c>
      <c r="Q61" s="8">
        <f t="shared" si="15"/>
        <v>18</v>
      </c>
      <c r="R61" s="48">
        <f t="shared" si="16"/>
        <v>4872</v>
      </c>
      <c r="S61" s="48">
        <f t="shared" si="17"/>
        <v>4141.2</v>
      </c>
      <c r="T61" s="48">
        <f t="shared" si="18"/>
        <v>540.80000000000007</v>
      </c>
      <c r="U61" s="48">
        <f t="shared" si="19"/>
        <v>17089.280000000002</v>
      </c>
      <c r="V61" s="48">
        <f t="shared" si="20"/>
        <v>300000</v>
      </c>
      <c r="W61" s="48">
        <f t="shared" si="21"/>
        <v>900000</v>
      </c>
      <c r="X61" s="48">
        <f t="shared" si="22"/>
        <v>487200</v>
      </c>
      <c r="Y61" s="48">
        <f t="shared" si="23"/>
        <v>728998.40000000014</v>
      </c>
      <c r="Z61" s="48">
        <f t="shared" si="24"/>
        <v>2416198.4000000004</v>
      </c>
      <c r="AA61" s="37">
        <f t="shared" si="25"/>
        <v>0.24375000000000002</v>
      </c>
      <c r="AB61" s="49">
        <f t="shared" si="26"/>
        <v>0.38478174603174597</v>
      </c>
      <c r="AC61" s="49">
        <f t="shared" si="27"/>
        <v>0.76956349206349195</v>
      </c>
      <c r="AD61" s="50">
        <f t="shared" si="28"/>
        <v>14.623439999999999</v>
      </c>
      <c r="AE61" s="8">
        <f t="shared" si="29"/>
        <v>0</v>
      </c>
      <c r="AF61" s="51">
        <f t="shared" si="30"/>
        <v>2416198.4000000004</v>
      </c>
      <c r="AG61" s="8">
        <f t="shared" si="44"/>
        <v>9.9999999999999997E+98</v>
      </c>
      <c r="AH61" s="8" t="str">
        <f t="shared" si="31"/>
        <v>height duplicate</v>
      </c>
      <c r="AI61" s="52">
        <f t="shared" si="45"/>
        <v>505000002416198.31</v>
      </c>
    </row>
    <row r="62" spans="1:35" ht="15" customHeight="1" x14ac:dyDescent="0.25">
      <c r="A62" s="8">
        <v>55</v>
      </c>
      <c r="B62" s="8">
        <f t="shared" si="47"/>
        <v>6</v>
      </c>
      <c r="C62" s="8">
        <v>15</v>
      </c>
      <c r="D62" s="49">
        <f t="shared" si="2"/>
        <v>0.60000000000000009</v>
      </c>
      <c r="E62" s="50">
        <f t="shared" si="3"/>
        <v>46.352976190476163</v>
      </c>
      <c r="F62" s="37">
        <f t="shared" si="4"/>
        <v>0.77254960317460286</v>
      </c>
      <c r="G62" s="8">
        <f t="shared" si="5"/>
        <v>2</v>
      </c>
      <c r="H62" s="8">
        <f t="shared" si="6"/>
        <v>30</v>
      </c>
      <c r="I62" s="50">
        <f t="shared" si="7"/>
        <v>30</v>
      </c>
      <c r="J62" s="50">
        <f t="shared" si="8"/>
        <v>16.900000000000002</v>
      </c>
      <c r="K62" s="50">
        <f t="shared" si="9"/>
        <v>32.25</v>
      </c>
      <c r="L62" s="50">
        <f t="shared" si="10"/>
        <v>7.5</v>
      </c>
      <c r="M62" s="37">
        <f t="shared" si="11"/>
        <v>6.3563858005865805</v>
      </c>
      <c r="N62" s="37">
        <f t="shared" si="12"/>
        <v>6.5142857142857142</v>
      </c>
      <c r="O62" s="50">
        <f t="shared" si="13"/>
        <v>83.741343029744584</v>
      </c>
      <c r="P62" s="50">
        <f t="shared" si="14"/>
        <v>17</v>
      </c>
      <c r="Q62" s="8">
        <f t="shared" si="15"/>
        <v>19</v>
      </c>
      <c r="R62" s="48">
        <f t="shared" si="16"/>
        <v>4860</v>
      </c>
      <c r="S62" s="48">
        <f t="shared" si="17"/>
        <v>4131</v>
      </c>
      <c r="T62" s="48">
        <f t="shared" si="18"/>
        <v>507.00000000000006</v>
      </c>
      <c r="U62" s="48">
        <f t="shared" si="19"/>
        <v>17111.250000000004</v>
      </c>
      <c r="V62" s="48">
        <f t="shared" si="20"/>
        <v>300000</v>
      </c>
      <c r="W62" s="48">
        <f t="shared" si="21"/>
        <v>950000</v>
      </c>
      <c r="X62" s="48">
        <f t="shared" si="22"/>
        <v>486000</v>
      </c>
      <c r="Y62" s="48">
        <f t="shared" si="23"/>
        <v>716137.50000000012</v>
      </c>
      <c r="Z62" s="48">
        <f t="shared" si="24"/>
        <v>2452137.5</v>
      </c>
      <c r="AA62" s="37">
        <f t="shared" si="25"/>
        <v>0.26</v>
      </c>
      <c r="AB62" s="49">
        <f t="shared" si="26"/>
        <v>0.38627480158730143</v>
      </c>
      <c r="AC62" s="49">
        <f t="shared" si="27"/>
        <v>0.77254960317460286</v>
      </c>
      <c r="AD62" s="50">
        <f t="shared" si="28"/>
        <v>14.904659999999998</v>
      </c>
      <c r="AE62" s="8">
        <f t="shared" si="29"/>
        <v>0</v>
      </c>
      <c r="AF62" s="51">
        <f t="shared" si="30"/>
        <v>2452137.5</v>
      </c>
      <c r="AG62" s="8">
        <f t="shared" si="44"/>
        <v>9.9999999999999997E+98</v>
      </c>
      <c r="AH62" s="8" t="str">
        <f t="shared" si="31"/>
        <v>height duplicate</v>
      </c>
      <c r="AI62" s="52">
        <f t="shared" si="45"/>
        <v>612500002452137.5</v>
      </c>
    </row>
    <row r="63" spans="1:35" ht="15" customHeight="1" x14ac:dyDescent="0.25">
      <c r="A63" s="8">
        <v>56</v>
      </c>
      <c r="B63" s="8">
        <f t="shared" si="47"/>
        <v>6</v>
      </c>
      <c r="C63" s="8">
        <v>16</v>
      </c>
      <c r="D63" s="49">
        <f t="shared" si="2"/>
        <v>0.59999999999999987</v>
      </c>
      <c r="E63" s="50">
        <f t="shared" si="3"/>
        <v>46.532142857142851</v>
      </c>
      <c r="F63" s="37">
        <f t="shared" si="4"/>
        <v>0.775535714285714</v>
      </c>
      <c r="G63" s="8">
        <f t="shared" si="5"/>
        <v>2</v>
      </c>
      <c r="H63" s="8">
        <f t="shared" si="6"/>
        <v>28</v>
      </c>
      <c r="I63" s="50">
        <f t="shared" si="7"/>
        <v>28</v>
      </c>
      <c r="J63" s="50">
        <f t="shared" si="8"/>
        <v>16.900000000000002</v>
      </c>
      <c r="K63" s="50">
        <f t="shared" si="9"/>
        <v>34.4</v>
      </c>
      <c r="L63" s="50">
        <f t="shared" si="10"/>
        <v>7</v>
      </c>
      <c r="M63" s="37">
        <f t="shared" si="11"/>
        <v>6.1741888679754187</v>
      </c>
      <c r="N63" s="37">
        <f t="shared" si="12"/>
        <v>6.5142857142857142</v>
      </c>
      <c r="O63" s="50">
        <f t="shared" si="13"/>
        <v>83.376949164522259</v>
      </c>
      <c r="P63" s="50">
        <f t="shared" si="14"/>
        <v>18</v>
      </c>
      <c r="Q63" s="8">
        <f t="shared" si="15"/>
        <v>20</v>
      </c>
      <c r="R63" s="48">
        <f t="shared" si="16"/>
        <v>4800</v>
      </c>
      <c r="S63" s="48">
        <f t="shared" si="17"/>
        <v>4080</v>
      </c>
      <c r="T63" s="48">
        <f t="shared" si="18"/>
        <v>473.20000000000005</v>
      </c>
      <c r="U63" s="48">
        <f t="shared" si="19"/>
        <v>16987.88</v>
      </c>
      <c r="V63" s="48">
        <f t="shared" si="20"/>
        <v>300000</v>
      </c>
      <c r="W63" s="48">
        <f t="shared" si="21"/>
        <v>1000000</v>
      </c>
      <c r="X63" s="48">
        <f t="shared" si="22"/>
        <v>480000</v>
      </c>
      <c r="Y63" s="48">
        <f t="shared" si="23"/>
        <v>698916.4</v>
      </c>
      <c r="Z63" s="48">
        <f t="shared" si="24"/>
        <v>2478916.4</v>
      </c>
      <c r="AA63" s="37">
        <f t="shared" si="25"/>
        <v>0.27857142857142858</v>
      </c>
      <c r="AB63" s="49">
        <f t="shared" si="26"/>
        <v>0.387767857142857</v>
      </c>
      <c r="AC63" s="49">
        <f t="shared" si="27"/>
        <v>0.775535714285714</v>
      </c>
      <c r="AD63" s="50">
        <f t="shared" si="28"/>
        <v>15.185879999999999</v>
      </c>
      <c r="AE63" s="8">
        <f t="shared" si="29"/>
        <v>0</v>
      </c>
      <c r="AF63" s="51">
        <f t="shared" si="30"/>
        <v>2478916.4</v>
      </c>
      <c r="AG63" s="8">
        <f t="shared" si="44"/>
        <v>9.9999999999999997E+98</v>
      </c>
      <c r="AH63" s="8" t="str">
        <f t="shared" si="31"/>
        <v>height duplicate</v>
      </c>
      <c r="AI63" s="52">
        <f t="shared" si="45"/>
        <v>720000002478916.38</v>
      </c>
    </row>
    <row r="64" spans="1:35" ht="15" customHeight="1" x14ac:dyDescent="0.25">
      <c r="A64" s="8">
        <v>57</v>
      </c>
      <c r="B64" s="8">
        <f t="shared" si="47"/>
        <v>6</v>
      </c>
      <c r="C64" s="8">
        <v>17</v>
      </c>
      <c r="D64" s="49">
        <f t="shared" si="2"/>
        <v>0.6</v>
      </c>
      <c r="E64" s="50">
        <f t="shared" si="3"/>
        <v>46.711309523809518</v>
      </c>
      <c r="F64" s="37">
        <f t="shared" si="4"/>
        <v>0.77852182539682535</v>
      </c>
      <c r="G64" s="8">
        <f t="shared" si="5"/>
        <v>2</v>
      </c>
      <c r="H64" s="8">
        <f t="shared" si="6"/>
        <v>27</v>
      </c>
      <c r="I64" s="50">
        <f t="shared" si="7"/>
        <v>27</v>
      </c>
      <c r="J64" s="50">
        <f t="shared" si="8"/>
        <v>16.900000000000002</v>
      </c>
      <c r="K64" s="50">
        <f t="shared" si="9"/>
        <v>36.549999999999997</v>
      </c>
      <c r="L64" s="50">
        <f t="shared" si="10"/>
        <v>6.75</v>
      </c>
      <c r="M64" s="37">
        <f t="shared" si="11"/>
        <v>6.0828889847787408</v>
      </c>
      <c r="N64" s="37">
        <f t="shared" si="12"/>
        <v>6.5142857142857142</v>
      </c>
      <c r="O64" s="50">
        <f t="shared" si="13"/>
        <v>83.194349398128907</v>
      </c>
      <c r="P64" s="50">
        <f t="shared" si="14"/>
        <v>19</v>
      </c>
      <c r="Q64" s="8">
        <f t="shared" si="15"/>
        <v>21</v>
      </c>
      <c r="R64" s="48">
        <f t="shared" si="16"/>
        <v>4896</v>
      </c>
      <c r="S64" s="48">
        <f t="shared" si="17"/>
        <v>4161.5999999999995</v>
      </c>
      <c r="T64" s="48">
        <f t="shared" si="18"/>
        <v>456.30000000000007</v>
      </c>
      <c r="U64" s="48">
        <f t="shared" si="19"/>
        <v>17362.215</v>
      </c>
      <c r="V64" s="48">
        <f t="shared" si="20"/>
        <v>300000</v>
      </c>
      <c r="W64" s="48">
        <f t="shared" si="21"/>
        <v>1050000</v>
      </c>
      <c r="X64" s="48">
        <f t="shared" si="22"/>
        <v>489600</v>
      </c>
      <c r="Y64" s="48">
        <f t="shared" si="23"/>
        <v>703386.45000000007</v>
      </c>
      <c r="Z64" s="48">
        <f t="shared" si="24"/>
        <v>2542986.4500000002</v>
      </c>
      <c r="AA64" s="37">
        <f t="shared" si="25"/>
        <v>0.28888888888888892</v>
      </c>
      <c r="AB64" s="49">
        <f t="shared" si="26"/>
        <v>0.38926091269841268</v>
      </c>
      <c r="AC64" s="49">
        <f t="shared" si="27"/>
        <v>0.77852182539682535</v>
      </c>
      <c r="AD64" s="50">
        <f t="shared" si="28"/>
        <v>15.4671</v>
      </c>
      <c r="AE64" s="8">
        <f t="shared" si="29"/>
        <v>0</v>
      </c>
      <c r="AF64" s="51">
        <f t="shared" si="30"/>
        <v>2542986.4500000002</v>
      </c>
      <c r="AG64" s="8">
        <f t="shared" si="44"/>
        <v>9.9999999999999997E+98</v>
      </c>
      <c r="AH64" s="8" t="str">
        <f t="shared" si="31"/>
        <v>height duplicate</v>
      </c>
      <c r="AI64" s="52">
        <f t="shared" si="45"/>
        <v>827500002542986.38</v>
      </c>
    </row>
    <row r="65" spans="1:35" ht="15" customHeight="1" x14ac:dyDescent="0.25">
      <c r="A65" s="8">
        <v>58</v>
      </c>
      <c r="B65" s="8">
        <f t="shared" si="47"/>
        <v>6</v>
      </c>
      <c r="C65" s="8">
        <v>18</v>
      </c>
      <c r="D65" s="49">
        <f t="shared" si="2"/>
        <v>0.6</v>
      </c>
      <c r="E65" s="50">
        <f t="shared" si="3"/>
        <v>46.890476190476186</v>
      </c>
      <c r="F65" s="37">
        <f t="shared" si="4"/>
        <v>0.78150793650793637</v>
      </c>
      <c r="G65" s="8">
        <f t="shared" si="5"/>
        <v>2</v>
      </c>
      <c r="H65" s="8">
        <f t="shared" si="6"/>
        <v>25</v>
      </c>
      <c r="I65" s="50">
        <f t="shared" si="7"/>
        <v>25</v>
      </c>
      <c r="J65" s="50">
        <f t="shared" si="8"/>
        <v>16.900000000000002</v>
      </c>
      <c r="K65" s="50">
        <f t="shared" si="9"/>
        <v>38.699999999999996</v>
      </c>
      <c r="L65" s="50">
        <f t="shared" si="10"/>
        <v>6.25</v>
      </c>
      <c r="M65" s="37">
        <f t="shared" si="11"/>
        <v>5.8998058178467536</v>
      </c>
      <c r="N65" s="37">
        <f t="shared" si="12"/>
        <v>6.5142857142857142</v>
      </c>
      <c r="O65" s="50">
        <f t="shared" si="13"/>
        <v>82.828183064264934</v>
      </c>
      <c r="P65" s="50">
        <f t="shared" si="14"/>
        <v>20</v>
      </c>
      <c r="Q65" s="8">
        <f t="shared" si="15"/>
        <v>22</v>
      </c>
      <c r="R65" s="48">
        <f t="shared" si="16"/>
        <v>4752</v>
      </c>
      <c r="S65" s="48">
        <f t="shared" si="17"/>
        <v>4039.2</v>
      </c>
      <c r="T65" s="48">
        <f t="shared" si="18"/>
        <v>422.50000000000006</v>
      </c>
      <c r="U65" s="48">
        <f t="shared" si="19"/>
        <v>16984.5</v>
      </c>
      <c r="V65" s="48">
        <f t="shared" si="20"/>
        <v>300000</v>
      </c>
      <c r="W65" s="48">
        <f t="shared" si="21"/>
        <v>1100000</v>
      </c>
      <c r="X65" s="48">
        <f t="shared" si="22"/>
        <v>475200</v>
      </c>
      <c r="Y65" s="48">
        <f t="shared" si="23"/>
        <v>678535</v>
      </c>
      <c r="Z65" s="48">
        <f t="shared" si="24"/>
        <v>2553735</v>
      </c>
      <c r="AA65" s="37">
        <f t="shared" si="25"/>
        <v>0.31200000000000006</v>
      </c>
      <c r="AB65" s="49">
        <f t="shared" si="26"/>
        <v>0.39075396825396819</v>
      </c>
      <c r="AC65" s="49">
        <f t="shared" si="27"/>
        <v>0.78150793650793637</v>
      </c>
      <c r="AD65" s="50">
        <f t="shared" si="28"/>
        <v>15.748319999999998</v>
      </c>
      <c r="AE65" s="8">
        <f t="shared" si="29"/>
        <v>0</v>
      </c>
      <c r="AF65" s="51">
        <f t="shared" si="30"/>
        <v>2553735</v>
      </c>
      <c r="AG65" s="8">
        <f t="shared" si="44"/>
        <v>9.9999999999999997E+98</v>
      </c>
      <c r="AH65" s="8" t="str">
        <f t="shared" si="31"/>
        <v>height duplicate</v>
      </c>
      <c r="AI65" s="52">
        <f t="shared" si="45"/>
        <v>935000002553734.88</v>
      </c>
    </row>
    <row r="66" spans="1:35" ht="15" customHeight="1" x14ac:dyDescent="0.25">
      <c r="A66" s="8">
        <v>59</v>
      </c>
      <c r="B66" s="8">
        <f t="shared" si="47"/>
        <v>6</v>
      </c>
      <c r="C66" s="8">
        <v>19</v>
      </c>
      <c r="D66" s="49">
        <f t="shared" si="2"/>
        <v>0.6</v>
      </c>
      <c r="E66" s="50">
        <f t="shared" si="3"/>
        <v>47.069642857142867</v>
      </c>
      <c r="F66" s="37">
        <f t="shared" si="4"/>
        <v>0.78449404761904773</v>
      </c>
      <c r="G66" s="8">
        <f t="shared" si="5"/>
        <v>2</v>
      </c>
      <c r="H66" s="8">
        <f t="shared" si="6"/>
        <v>24</v>
      </c>
      <c r="I66" s="50">
        <f t="shared" si="7"/>
        <v>24</v>
      </c>
      <c r="J66" s="50">
        <f t="shared" si="8"/>
        <v>16.900000000000002</v>
      </c>
      <c r="K66" s="50">
        <f t="shared" si="9"/>
        <v>40.85</v>
      </c>
      <c r="L66" s="50">
        <f t="shared" si="10"/>
        <v>6</v>
      </c>
      <c r="M66" s="37">
        <f t="shared" si="11"/>
        <v>5.8079822507332253</v>
      </c>
      <c r="N66" s="37">
        <f t="shared" si="12"/>
        <v>6.5142857142857142</v>
      </c>
      <c r="O66" s="50">
        <f t="shared" si="13"/>
        <v>82.644535930037875</v>
      </c>
      <c r="P66" s="50">
        <f t="shared" si="14"/>
        <v>21</v>
      </c>
      <c r="Q66" s="8">
        <f t="shared" si="15"/>
        <v>23</v>
      </c>
      <c r="R66" s="48">
        <f t="shared" si="16"/>
        <v>4788</v>
      </c>
      <c r="S66" s="48">
        <f t="shared" si="17"/>
        <v>4069.7999999999997</v>
      </c>
      <c r="T66" s="48">
        <f t="shared" si="18"/>
        <v>405.6</v>
      </c>
      <c r="U66" s="48">
        <f t="shared" si="19"/>
        <v>17177.16</v>
      </c>
      <c r="V66" s="48">
        <f t="shared" si="20"/>
        <v>300000</v>
      </c>
      <c r="W66" s="48">
        <f t="shared" si="21"/>
        <v>1150000</v>
      </c>
      <c r="X66" s="48">
        <f t="shared" si="22"/>
        <v>478800</v>
      </c>
      <c r="Y66" s="48">
        <f t="shared" si="23"/>
        <v>677554.8</v>
      </c>
      <c r="Z66" s="48">
        <f t="shared" si="24"/>
        <v>2606354.7999999998</v>
      </c>
      <c r="AA66" s="37">
        <f t="shared" si="25"/>
        <v>0.32500000000000001</v>
      </c>
      <c r="AB66" s="49">
        <f t="shared" si="26"/>
        <v>0.39224702380952386</v>
      </c>
      <c r="AC66" s="49">
        <f t="shared" si="27"/>
        <v>0.78449404761904773</v>
      </c>
      <c r="AD66" s="50">
        <f t="shared" si="28"/>
        <v>16.029539999999997</v>
      </c>
      <c r="AE66" s="8">
        <f t="shared" si="29"/>
        <v>0</v>
      </c>
      <c r="AF66" s="51">
        <f t="shared" si="30"/>
        <v>2606354.7999999998</v>
      </c>
      <c r="AG66" s="8">
        <f t="shared" si="44"/>
        <v>9.9999999999999997E+98</v>
      </c>
      <c r="AH66" s="8" t="str">
        <f t="shared" si="31"/>
        <v>height duplicate</v>
      </c>
      <c r="AI66" s="52">
        <f t="shared" si="45"/>
        <v>1042500002606354.9</v>
      </c>
    </row>
    <row r="67" spans="1:35" ht="15" customHeight="1" x14ac:dyDescent="0.25">
      <c r="A67" s="8">
        <v>60</v>
      </c>
      <c r="B67" s="8">
        <f t="shared" si="47"/>
        <v>6</v>
      </c>
      <c r="C67" s="8">
        <v>20</v>
      </c>
      <c r="D67" s="49">
        <f t="shared" si="2"/>
        <v>0.59999999999999987</v>
      </c>
      <c r="E67" s="50">
        <f t="shared" si="3"/>
        <v>47.248809523809541</v>
      </c>
      <c r="F67" s="37">
        <f t="shared" si="4"/>
        <v>0.78748015873015886</v>
      </c>
      <c r="G67" s="8">
        <f t="shared" si="5"/>
        <v>2</v>
      </c>
      <c r="H67" s="8">
        <f t="shared" si="6"/>
        <v>23</v>
      </c>
      <c r="I67" s="50">
        <f t="shared" si="7"/>
        <v>23</v>
      </c>
      <c r="J67" s="50">
        <f t="shared" si="8"/>
        <v>16.900000000000002</v>
      </c>
      <c r="K67" s="50">
        <f t="shared" si="9"/>
        <v>43</v>
      </c>
      <c r="L67" s="50">
        <f t="shared" si="10"/>
        <v>5.75</v>
      </c>
      <c r="M67" s="37">
        <f t="shared" si="11"/>
        <v>5.7159380007651057</v>
      </c>
      <c r="N67" s="37">
        <f t="shared" si="12"/>
        <v>6.5142857142857142</v>
      </c>
      <c r="O67" s="50">
        <f t="shared" si="13"/>
        <v>82.460447430101638</v>
      </c>
      <c r="P67" s="50">
        <f t="shared" si="14"/>
        <v>22</v>
      </c>
      <c r="Q67" s="8">
        <f t="shared" si="15"/>
        <v>24</v>
      </c>
      <c r="R67" s="48">
        <f t="shared" si="16"/>
        <v>4800</v>
      </c>
      <c r="S67" s="48">
        <f t="shared" si="17"/>
        <v>4080</v>
      </c>
      <c r="T67" s="48">
        <f t="shared" si="18"/>
        <v>388.70000000000005</v>
      </c>
      <c r="U67" s="48">
        <f t="shared" si="19"/>
        <v>17297.150000000001</v>
      </c>
      <c r="V67" s="48">
        <f t="shared" si="20"/>
        <v>300000</v>
      </c>
      <c r="W67" s="48">
        <f t="shared" si="21"/>
        <v>1200000</v>
      </c>
      <c r="X67" s="48">
        <f t="shared" si="22"/>
        <v>480000</v>
      </c>
      <c r="Y67" s="48">
        <f t="shared" si="23"/>
        <v>674394.50000000012</v>
      </c>
      <c r="Z67" s="48">
        <f t="shared" si="24"/>
        <v>2654394.5</v>
      </c>
      <c r="AA67" s="37">
        <f t="shared" si="25"/>
        <v>0.33913043478260874</v>
      </c>
      <c r="AB67" s="49">
        <f t="shared" si="26"/>
        <v>0.39374007936507943</v>
      </c>
      <c r="AC67" s="49">
        <f t="shared" si="27"/>
        <v>0.78748015873015886</v>
      </c>
      <c r="AD67" s="50">
        <f t="shared" si="28"/>
        <v>16.310760000000005</v>
      </c>
      <c r="AE67" s="8">
        <f t="shared" si="29"/>
        <v>0</v>
      </c>
      <c r="AF67" s="51">
        <f t="shared" si="30"/>
        <v>2654394.5</v>
      </c>
      <c r="AG67" s="8">
        <f t="shared" si="44"/>
        <v>9.9999999999999997E+98</v>
      </c>
      <c r="AH67" s="8" t="str">
        <f t="shared" si="31"/>
        <v>height duplicate</v>
      </c>
      <c r="AI67" s="52">
        <f t="shared" si="45"/>
        <v>1150000002654394.5</v>
      </c>
    </row>
    <row r="68" spans="1:35" ht="15" customHeight="1" x14ac:dyDescent="0.25">
      <c r="A68" s="8">
        <v>61</v>
      </c>
      <c r="B68" s="8">
        <f t="shared" ref="B68:B87" si="48">$E$3</f>
        <v>6</v>
      </c>
      <c r="C68" s="8">
        <v>1</v>
      </c>
      <c r="D68" s="49">
        <f t="shared" si="2"/>
        <v>0</v>
      </c>
      <c r="E68" s="50">
        <f t="shared" si="3"/>
        <v>0</v>
      </c>
      <c r="F68" s="37">
        <f t="shared" si="4"/>
        <v>0</v>
      </c>
      <c r="G68" s="8">
        <f t="shared" si="5"/>
        <v>0</v>
      </c>
      <c r="H68" s="8">
        <f t="shared" si="6"/>
        <v>393</v>
      </c>
      <c r="I68" s="50">
        <f t="shared" si="7"/>
        <v>393</v>
      </c>
      <c r="J68" s="50">
        <f t="shared" si="8"/>
        <v>16.900000000000002</v>
      </c>
      <c r="K68" s="50">
        <f t="shared" si="9"/>
        <v>2.15</v>
      </c>
      <c r="L68" s="50">
        <f t="shared" si="10"/>
        <v>393</v>
      </c>
      <c r="M68" s="37">
        <f t="shared" si="11"/>
        <v>144.0847456395968</v>
      </c>
      <c r="N68" s="37">
        <f t="shared" si="12"/>
        <v>6.5142857142857142</v>
      </c>
      <c r="O68" s="50">
        <f t="shared" si="13"/>
        <v>359.19806270776502</v>
      </c>
      <c r="P68" s="50">
        <f t="shared" si="14"/>
        <v>14</v>
      </c>
      <c r="Q68" s="8">
        <f t="shared" si="15"/>
        <v>16</v>
      </c>
      <c r="R68" s="48">
        <f t="shared" si="16"/>
        <v>4716</v>
      </c>
      <c r="S68" s="48">
        <f t="shared" si="17"/>
        <v>4008.6</v>
      </c>
      <c r="T68" s="48">
        <f t="shared" si="18"/>
        <v>6641.7000000000007</v>
      </c>
      <c r="U68" s="48">
        <f t="shared" si="19"/>
        <v>24242.205000000002</v>
      </c>
      <c r="V68" s="48">
        <f t="shared" si="20"/>
        <v>0</v>
      </c>
      <c r="W68" s="48">
        <f t="shared" si="21"/>
        <v>800000</v>
      </c>
      <c r="X68" s="48">
        <f t="shared" si="22"/>
        <v>471600</v>
      </c>
      <c r="Y68" s="48">
        <f t="shared" si="23"/>
        <v>3383946.1500000004</v>
      </c>
      <c r="Z68" s="48">
        <f t="shared" si="24"/>
        <v>4655546.1500000004</v>
      </c>
      <c r="AA68" s="37">
        <f t="shared" si="25"/>
        <v>1.984732824427481E-2</v>
      </c>
      <c r="AB68" s="49">
        <f t="shared" si="26"/>
        <v>0</v>
      </c>
      <c r="AC68" s="49" t="str">
        <f t="shared" si="27"/>
        <v>n/a</v>
      </c>
      <c r="AD68" s="50">
        <f t="shared" si="28"/>
        <v>0</v>
      </c>
      <c r="AE68" s="8">
        <f t="shared" si="29"/>
        <v>0</v>
      </c>
      <c r="AF68" s="51">
        <f t="shared" si="30"/>
        <v>4655546.1500000004</v>
      </c>
      <c r="AG68" s="8">
        <f t="shared" si="44"/>
        <v>9.9999999999999997E+98</v>
      </c>
      <c r="AH68" s="8" t="str">
        <f t="shared" si="31"/>
        <v>footprint lanes&gt;300 duplicate</v>
      </c>
      <c r="AI68" s="52">
        <f t="shared" si="45"/>
        <v>5860000004655545</v>
      </c>
    </row>
    <row r="69" spans="1:35" ht="15" customHeight="1" x14ac:dyDescent="0.25">
      <c r="A69" s="8">
        <v>62</v>
      </c>
      <c r="B69" s="8">
        <f t="shared" si="48"/>
        <v>6</v>
      </c>
      <c r="C69" s="8">
        <v>2</v>
      </c>
      <c r="D69" s="49">
        <f t="shared" si="2"/>
        <v>0.5</v>
      </c>
      <c r="E69" s="50">
        <f t="shared" si="3"/>
        <v>41.157142857142851</v>
      </c>
      <c r="F69" s="37">
        <f t="shared" si="4"/>
        <v>0.57162698412698409</v>
      </c>
      <c r="G69" s="8">
        <f t="shared" si="5"/>
        <v>2</v>
      </c>
      <c r="H69" s="8">
        <f t="shared" si="6"/>
        <v>200</v>
      </c>
      <c r="I69" s="50">
        <f t="shared" si="7"/>
        <v>200</v>
      </c>
      <c r="J69" s="50">
        <f t="shared" si="8"/>
        <v>16.900000000000002</v>
      </c>
      <c r="K69" s="50">
        <f t="shared" si="9"/>
        <v>4.3</v>
      </c>
      <c r="L69" s="50">
        <f t="shared" si="10"/>
        <v>50</v>
      </c>
      <c r="M69" s="37">
        <f t="shared" si="11"/>
        <v>21.57810072723084</v>
      </c>
      <c r="N69" s="37">
        <f t="shared" si="12"/>
        <v>6.5142857142857142</v>
      </c>
      <c r="O69" s="50">
        <f t="shared" si="13"/>
        <v>114.18477288303311</v>
      </c>
      <c r="P69" s="50">
        <f t="shared" si="14"/>
        <v>6</v>
      </c>
      <c r="Q69" s="8">
        <f t="shared" si="15"/>
        <v>8</v>
      </c>
      <c r="R69" s="48">
        <f t="shared" si="16"/>
        <v>4728</v>
      </c>
      <c r="S69" s="48">
        <f t="shared" si="17"/>
        <v>4018.7999999999997</v>
      </c>
      <c r="T69" s="48">
        <f t="shared" si="18"/>
        <v>3380.0000000000005</v>
      </c>
      <c r="U69" s="48">
        <f t="shared" si="19"/>
        <v>19604.000000000004</v>
      </c>
      <c r="V69" s="48">
        <f t="shared" si="20"/>
        <v>300000</v>
      </c>
      <c r="W69" s="48">
        <f t="shared" si="21"/>
        <v>400000</v>
      </c>
      <c r="X69" s="48">
        <f t="shared" si="22"/>
        <v>472800</v>
      </c>
      <c r="Y69" s="48">
        <f t="shared" si="23"/>
        <v>1940120.0000000005</v>
      </c>
      <c r="Z69" s="48">
        <f t="shared" si="24"/>
        <v>3112920.0000000005</v>
      </c>
      <c r="AA69" s="37">
        <f t="shared" si="25"/>
        <v>3.9000000000000007E-2</v>
      </c>
      <c r="AB69" s="49">
        <f t="shared" si="26"/>
        <v>0.28581349206349205</v>
      </c>
      <c r="AC69" s="49">
        <f t="shared" si="27"/>
        <v>0.57162698412698409</v>
      </c>
      <c r="AD69" s="50">
        <f t="shared" si="28"/>
        <v>5.6243999999999996</v>
      </c>
      <c r="AE69" s="8">
        <f t="shared" si="29"/>
        <v>0</v>
      </c>
      <c r="AF69" s="51">
        <f t="shared" si="30"/>
        <v>3112920.0000000005</v>
      </c>
      <c r="AG69" s="8">
        <f t="shared" si="44"/>
        <v>9.9999999999999997E+98</v>
      </c>
      <c r="AH69" s="8" t="str">
        <f t="shared" si="31"/>
        <v>footprint duplicate</v>
      </c>
      <c r="AI69" s="52">
        <f t="shared" si="45"/>
        <v>2333333336446253.5</v>
      </c>
    </row>
    <row r="70" spans="1:35" ht="15" customHeight="1" x14ac:dyDescent="0.25">
      <c r="A70" s="8">
        <v>63</v>
      </c>
      <c r="B70" s="8">
        <f t="shared" si="48"/>
        <v>6</v>
      </c>
      <c r="C70" s="8">
        <v>3</v>
      </c>
      <c r="D70" s="49">
        <f t="shared" si="2"/>
        <v>0.52941176470588236</v>
      </c>
      <c r="E70" s="50">
        <f t="shared" si="3"/>
        <v>41.634920634920626</v>
      </c>
      <c r="F70" s="37">
        <f t="shared" si="4"/>
        <v>0.61227824463118574</v>
      </c>
      <c r="G70" s="8">
        <f t="shared" si="5"/>
        <v>2</v>
      </c>
      <c r="H70" s="8">
        <f t="shared" si="6"/>
        <v>134</v>
      </c>
      <c r="I70" s="50">
        <f t="shared" si="7"/>
        <v>134</v>
      </c>
      <c r="J70" s="50">
        <f t="shared" si="8"/>
        <v>16.900000000000002</v>
      </c>
      <c r="K70" s="50">
        <f t="shared" si="9"/>
        <v>6.4499999999999993</v>
      </c>
      <c r="L70" s="50">
        <f t="shared" si="10"/>
        <v>33.5</v>
      </c>
      <c r="M70" s="37">
        <f t="shared" si="11"/>
        <v>15.681493622732603</v>
      </c>
      <c r="N70" s="37">
        <f t="shared" si="12"/>
        <v>6.5142857142857142</v>
      </c>
      <c r="O70" s="50">
        <f t="shared" si="13"/>
        <v>102.39155867403663</v>
      </c>
      <c r="P70" s="50">
        <f t="shared" si="14"/>
        <v>5</v>
      </c>
      <c r="Q70" s="8">
        <f t="shared" si="15"/>
        <v>7</v>
      </c>
      <c r="R70" s="48">
        <f t="shared" si="16"/>
        <v>4716</v>
      </c>
      <c r="S70" s="48">
        <f t="shared" si="17"/>
        <v>4008.6</v>
      </c>
      <c r="T70" s="48">
        <f t="shared" si="18"/>
        <v>2264.6000000000004</v>
      </c>
      <c r="U70" s="48">
        <f t="shared" si="19"/>
        <v>18003.57</v>
      </c>
      <c r="V70" s="48">
        <f t="shared" si="20"/>
        <v>300000</v>
      </c>
      <c r="W70" s="48">
        <f t="shared" si="21"/>
        <v>350000</v>
      </c>
      <c r="X70" s="48">
        <f t="shared" si="22"/>
        <v>471600</v>
      </c>
      <c r="Y70" s="48">
        <f t="shared" si="23"/>
        <v>1445947.1</v>
      </c>
      <c r="Z70" s="48">
        <f t="shared" si="24"/>
        <v>2567547.1</v>
      </c>
      <c r="AA70" s="37">
        <f t="shared" si="25"/>
        <v>5.8208955223880601E-2</v>
      </c>
      <c r="AB70" s="49">
        <f t="shared" si="26"/>
        <v>0.30613912231559287</v>
      </c>
      <c r="AC70" s="49">
        <f t="shared" si="27"/>
        <v>0.61227824463118574</v>
      </c>
      <c r="AD70" s="50">
        <f t="shared" si="28"/>
        <v>6.6169411764705863</v>
      </c>
      <c r="AE70" s="8">
        <f t="shared" si="29"/>
        <v>0</v>
      </c>
      <c r="AF70" s="51">
        <f t="shared" si="30"/>
        <v>2567547.1</v>
      </c>
      <c r="AG70" s="8">
        <f t="shared" si="44"/>
        <v>9.9999999999999997E+98</v>
      </c>
      <c r="AH70" s="8" t="str">
        <f t="shared" si="31"/>
        <v>footprint duplicate</v>
      </c>
      <c r="AI70" s="52">
        <f t="shared" si="45"/>
        <v>1233333335900880.5</v>
      </c>
    </row>
    <row r="71" spans="1:35" ht="15" customHeight="1" x14ac:dyDescent="0.25">
      <c r="A71" s="8">
        <v>64</v>
      </c>
      <c r="B71" s="8">
        <f t="shared" si="48"/>
        <v>6</v>
      </c>
      <c r="C71" s="8">
        <v>4</v>
      </c>
      <c r="D71" s="49">
        <f t="shared" ref="D71:D134" si="49">INDEX(Tc_pl,C71)</f>
        <v>0.55555555555555558</v>
      </c>
      <c r="E71" s="50">
        <f t="shared" ref="E71:E134" si="50">INDEX(Tc_S,C71)</f>
        <v>42.447142857142843</v>
      </c>
      <c r="F71" s="37">
        <f t="shared" ref="F71:F134" si="51">lam_total*D71*E71/3600</f>
        <v>0.65504850088183397</v>
      </c>
      <c r="G71" s="8">
        <f t="shared" ref="G71:G134" si="52">IF(F71&lt;=0.000000000001,0,MAX(ROUNDUP(F71/rho_max-0.000000001,0),IF(redund="Yes",ROUNDUP(F71/rho_fail-0.000000001,0)+1,0)))</f>
        <v>2</v>
      </c>
      <c r="H71" s="8">
        <f t="shared" ref="H71:H134" si="53">MAX(1,ROUNDUP((P_req/(B71*C71)+G71*lpl)/2-0.000000001,0))</f>
        <v>102</v>
      </c>
      <c r="I71" s="50">
        <f t="shared" ref="I71:I134" si="54">H71*u_w</f>
        <v>102</v>
      </c>
      <c r="J71" s="50">
        <f t="shared" ref="J71:J134" si="55">2*B71*u_d+aisle_w</f>
        <v>16.900000000000002</v>
      </c>
      <c r="K71" s="50">
        <f t="shared" ref="K71:K134" si="56">C71*u_h</f>
        <v>8.6</v>
      </c>
      <c r="L71" s="50">
        <f t="shared" ref="L71:L134" si="57">IF(G71=0,I71,I71/(2*G71))</f>
        <v>25.5</v>
      </c>
      <c r="M71" s="37">
        <f t="shared" ref="M71:M134" si="58">((IF((lane_off+(L71))&lt;=(v_sh^2/a_sh),(4/3)*(lane_off+(L71))^1.5/SQRT(a_sh),(4/3)*(v_sh^2/a_sh)^1.5/SQRT(a_sh)+((lane_off+(L71))^2-(v_sh^2/a_sh)^2)/(2*v_sh)+(v_sh/a_sh)*((lane_off+(L71))-(v_sh^2/a_sh))))-(IF((lane_off)&lt;=(v_sh^2/a_sh),(4/3)*(lane_off)^1.5/SQRT(a_sh),(4/3)*(v_sh^2/a_sh)^1.5/SQRT(a_sh)+((lane_off)^2-(v_sh^2/a_sh)^2)/(2*v_sh)+(v_sh/a_sh)*((lane_off)-(v_sh^2/a_sh)))))/(L71)</f>
        <v>12.820785739668324</v>
      </c>
      <c r="N71" s="37">
        <f t="shared" ref="N71:N134" si="59">IF(((B71-1)*u_d/2*(1+f_hc)+lane_off)&lt;=0,0,IF(((B71-1)*u_d/2*(1+f_hc)+lane_off)&gt;=v_sh^2/a_sh,((B71-1)*u_d/2*(1+f_hc)+lane_off)/v_sh+v_sh/a_sh,2*SQRT(((B71-1)*u_d/2*(1+f_hc)+lane_off)/a_sh)))</f>
        <v>6.5142857142857142</v>
      </c>
      <c r="O71" s="50">
        <f t="shared" ref="O71:O134" si="60">2*t_sh+2*t_turn+2*M71+2*N71</f>
        <v>96.670142907908073</v>
      </c>
      <c r="P71" s="50">
        <f t="shared" ref="P71:P134" si="61">SUMPRODUCT((Tc_idx&lt;=C71)*(ROUNDUP(lam_total*INDEX(Tc_P,C71,0)*O71/(3600*rho_max)-0.000000001,0)+(ROUNDUP(lam_total*INDEX(Tc_P,C71,0)*O71/(3600*rho_max)-0.000000001,0)&lt;min_sh)*(min_sh-ROUNDUP(lam_total*INDEX(Tc_P,C71,0)*O71/(3600*rho_max)-0.000000001,0))))</f>
        <v>6</v>
      </c>
      <c r="Q71" s="8">
        <f t="shared" ref="Q71:Q134" si="62">ROUNDUP(P71-0.000000001,0)+spares</f>
        <v>8</v>
      </c>
      <c r="R71" s="48">
        <f t="shared" ref="R71:R134" si="63">B71*C71*(2*H71-G71*lpl)</f>
        <v>4752</v>
      </c>
      <c r="S71" s="48">
        <f t="shared" ref="S71:S134" si="64">R71*fill</f>
        <v>4039.2</v>
      </c>
      <c r="T71" s="48">
        <f t="shared" ref="T71:T134" si="65">I71*J71</f>
        <v>1723.8000000000002</v>
      </c>
      <c r="U71" s="48">
        <f t="shared" ref="U71:U134" si="66">T71*(K71+headroom)</f>
        <v>17410.38</v>
      </c>
      <c r="V71" s="48">
        <f t="shared" ref="V71:V134" si="67">G71*c_lift</f>
        <v>300000</v>
      </c>
      <c r="W71" s="48">
        <f t="shared" ref="W71:W134" si="68">Q71*c_shut</f>
        <v>400000</v>
      </c>
      <c r="X71" s="48">
        <f t="shared" ref="X71:X134" si="69">R71*c_pos</f>
        <v>475200</v>
      </c>
      <c r="Y71" s="48">
        <f t="shared" ref="Y71:Y134" si="70">T71*c_m2+U71*c_m3</f>
        <v>1211831.4000000001</v>
      </c>
      <c r="Z71" s="48">
        <f t="shared" ref="Z71:Z134" si="71">SUM(V71:Y71)</f>
        <v>2387031.4000000004</v>
      </c>
      <c r="AA71" s="37">
        <f t="shared" ref="AA71:AA134" si="72">B71*u_d/(H71*u_w)</f>
        <v>7.6470588235294124E-2</v>
      </c>
      <c r="AB71" s="49">
        <f t="shared" ref="AB71:AB134" si="73">IF(G71=0,0,F71/G71)</f>
        <v>0.32752425044091699</v>
      </c>
      <c r="AC71" s="49">
        <f t="shared" ref="AC71:AC134" si="74">IF(G71&gt;1,F71/(G71-1),"n/a")</f>
        <v>0.65504850088183397</v>
      </c>
      <c r="AD71" s="50">
        <f t="shared" ref="AD71:AD134" si="75">moves_day*m_pallet*9.81*INDEX(Tc_mh,C71)/3600000</f>
        <v>8.124133333333333</v>
      </c>
      <c r="AE71" s="8">
        <f t="shared" ref="AE71:AE134" si="76">IF(AND(K71&lt;=H_max,H71&lt;=300,G71&lt;=6,NOT(AND(env_use="Yes",NOT(OR(AND(I71&lt;=L_bldg,J71&lt;=W_bldg),AND(I71&lt;=W_bldg,J71&lt;=L_bldg))))),OR(lane_policy="Free (optimize N_C)",AND(B71=sku_pal,A71&lt;=20))),1,0)</f>
        <v>0</v>
      </c>
      <c r="AF71" s="51">
        <f t="shared" ref="AF71:AF134" si="77">IF(obj_mode="Total cost",Z71,IF(obj_mode="Shuttle cycle",O71,T71))</f>
        <v>2387031.4000000004</v>
      </c>
      <c r="AG71" s="8">
        <f t="shared" si="44"/>
        <v>9.9999999999999997E+98</v>
      </c>
      <c r="AH71" s="8" t="str">
        <f t="shared" ref="AH71:AH134" si="78">IF(AE71=1,"",TRIM(IF(K71&gt;H_max,"height ","")&amp;IF(AND(env_use="Yes",NOT(OR(AND(I71&lt;=L_bldg,J71&lt;=W_bldg),AND(I71&lt;=W_bldg,J71&lt;=L_bldg)))),"footprint ","")&amp;IF(H71&gt;300,"lanes&gt;300 ","")&amp;IF(G71&gt;6,"lifts&gt;6 ","")&amp;IF(AND(lane_policy&lt;&gt;"Free (optimize N_C)",B71&lt;&gt;sku_pal),"lane policy ","")&amp;IF(AND(lane_policy&lt;&gt;"Free (optimize N_C)",B71=sku_pal,A71&gt;20),"duplicate","")))</f>
        <v>footprint duplicate</v>
      </c>
      <c r="AI71" s="52">
        <f t="shared" si="45"/>
        <v>700000002387031.38</v>
      </c>
    </row>
    <row r="72" spans="1:35" ht="15" customHeight="1" x14ac:dyDescent="0.25">
      <c r="A72" s="8">
        <v>65</v>
      </c>
      <c r="B72" s="8">
        <f t="shared" si="48"/>
        <v>6</v>
      </c>
      <c r="C72" s="8">
        <v>5</v>
      </c>
      <c r="D72" s="49">
        <f t="shared" si="49"/>
        <v>0.57894736842105265</v>
      </c>
      <c r="E72" s="50">
        <f t="shared" si="50"/>
        <v>43.502597402597381</v>
      </c>
      <c r="F72" s="37">
        <f t="shared" si="51"/>
        <v>0.69960317460317434</v>
      </c>
      <c r="G72" s="8">
        <f t="shared" si="52"/>
        <v>2</v>
      </c>
      <c r="H72" s="8">
        <f t="shared" si="53"/>
        <v>82</v>
      </c>
      <c r="I72" s="50">
        <f t="shared" si="54"/>
        <v>82</v>
      </c>
      <c r="J72" s="50">
        <f t="shared" si="55"/>
        <v>16.900000000000002</v>
      </c>
      <c r="K72" s="50">
        <f t="shared" si="56"/>
        <v>10.75</v>
      </c>
      <c r="L72" s="50">
        <f t="shared" si="57"/>
        <v>20.5</v>
      </c>
      <c r="M72" s="37">
        <f t="shared" si="58"/>
        <v>11.03143034516234</v>
      </c>
      <c r="N72" s="37">
        <f t="shared" si="59"/>
        <v>6.5142857142857142</v>
      </c>
      <c r="O72" s="50">
        <f t="shared" si="60"/>
        <v>93.091432118896108</v>
      </c>
      <c r="P72" s="50">
        <f t="shared" si="61"/>
        <v>7</v>
      </c>
      <c r="Q72" s="8">
        <f t="shared" si="62"/>
        <v>9</v>
      </c>
      <c r="R72" s="48">
        <f t="shared" si="63"/>
        <v>4740</v>
      </c>
      <c r="S72" s="48">
        <f t="shared" si="64"/>
        <v>4029</v>
      </c>
      <c r="T72" s="48">
        <f t="shared" si="65"/>
        <v>1385.8000000000002</v>
      </c>
      <c r="U72" s="48">
        <f t="shared" si="66"/>
        <v>16976.050000000003</v>
      </c>
      <c r="V72" s="48">
        <f t="shared" si="67"/>
        <v>300000</v>
      </c>
      <c r="W72" s="48">
        <f t="shared" si="68"/>
        <v>450000</v>
      </c>
      <c r="X72" s="48">
        <f t="shared" si="69"/>
        <v>474000</v>
      </c>
      <c r="Y72" s="48">
        <f t="shared" si="70"/>
        <v>1063601.5000000002</v>
      </c>
      <c r="Z72" s="48">
        <f t="shared" si="71"/>
        <v>2287601.5</v>
      </c>
      <c r="AA72" s="37">
        <f t="shared" si="72"/>
        <v>9.512195121951221E-2</v>
      </c>
      <c r="AB72" s="49">
        <f t="shared" si="73"/>
        <v>0.34980158730158717</v>
      </c>
      <c r="AC72" s="49">
        <f t="shared" si="74"/>
        <v>0.69960317460317434</v>
      </c>
      <c r="AD72" s="50">
        <f t="shared" si="75"/>
        <v>10.064715789473683</v>
      </c>
      <c r="AE72" s="8">
        <f t="shared" si="76"/>
        <v>0</v>
      </c>
      <c r="AF72" s="51">
        <f t="shared" si="77"/>
        <v>2287601.5</v>
      </c>
      <c r="AG72" s="8">
        <f t="shared" ref="AG72:AG135" si="79">IF(AE72=1,AF72*(1+A72*0.0000000001),1E+99)</f>
        <v>9.9999999999999997E+98</v>
      </c>
      <c r="AH72" s="8" t="str">
        <f t="shared" si="78"/>
        <v>footprint duplicate</v>
      </c>
      <c r="AI72" s="52">
        <f t="shared" ref="AI72:AI135" si="80">(MAX(0,K72/H_max-1)+IF(env_use="Yes",MIN(MAX(0,I72/L_bldg-1)+MAX(0,J72/W_bldg-1),MAX(0,I72/W_bldg-1)+MAX(0,J72/L_bldg-1)),0)+MAX(0,H72/300-1)+MAX(0,G72/6-1)+IF(AND(lane_policy&lt;&gt;"Free (optimize N_C)",B72&lt;&gt;sku_pal),1000,0))*1000000000000000+AF72*(1+A72*0.0000000001)</f>
        <v>366666668954268.19</v>
      </c>
    </row>
    <row r="73" spans="1:35" ht="15" customHeight="1" x14ac:dyDescent="0.25">
      <c r="A73" s="8">
        <v>66</v>
      </c>
      <c r="B73" s="8">
        <f t="shared" si="48"/>
        <v>6</v>
      </c>
      <c r="C73" s="8">
        <v>6</v>
      </c>
      <c r="D73" s="49">
        <f t="shared" si="49"/>
        <v>0.60000000000000009</v>
      </c>
      <c r="E73" s="50">
        <f t="shared" si="50"/>
        <v>44.740476190476173</v>
      </c>
      <c r="F73" s="37">
        <f t="shared" si="51"/>
        <v>0.74567460317460299</v>
      </c>
      <c r="G73" s="8">
        <f t="shared" si="52"/>
        <v>2</v>
      </c>
      <c r="H73" s="8">
        <f t="shared" si="53"/>
        <v>69</v>
      </c>
      <c r="I73" s="50">
        <f t="shared" si="54"/>
        <v>69</v>
      </c>
      <c r="J73" s="50">
        <f t="shared" si="55"/>
        <v>16.900000000000002</v>
      </c>
      <c r="K73" s="50">
        <f t="shared" si="56"/>
        <v>12.899999999999999</v>
      </c>
      <c r="L73" s="50">
        <f t="shared" si="57"/>
        <v>17.25</v>
      </c>
      <c r="M73" s="37">
        <f t="shared" si="58"/>
        <v>9.8672174288264642</v>
      </c>
      <c r="N73" s="37">
        <f t="shared" si="59"/>
        <v>6.5142857142857142</v>
      </c>
      <c r="O73" s="50">
        <f t="shared" si="60"/>
        <v>90.763006286224353</v>
      </c>
      <c r="P73" s="50">
        <f t="shared" si="61"/>
        <v>8</v>
      </c>
      <c r="Q73" s="8">
        <f t="shared" si="62"/>
        <v>10</v>
      </c>
      <c r="R73" s="48">
        <f t="shared" si="63"/>
        <v>4752</v>
      </c>
      <c r="S73" s="48">
        <f t="shared" si="64"/>
        <v>4039.2</v>
      </c>
      <c r="T73" s="48">
        <f t="shared" si="65"/>
        <v>1166.1000000000001</v>
      </c>
      <c r="U73" s="48">
        <f t="shared" si="66"/>
        <v>16791.84</v>
      </c>
      <c r="V73" s="48">
        <f t="shared" si="67"/>
        <v>300000</v>
      </c>
      <c r="W73" s="48">
        <f t="shared" si="68"/>
        <v>500000</v>
      </c>
      <c r="X73" s="48">
        <f t="shared" si="69"/>
        <v>475200</v>
      </c>
      <c r="Y73" s="48">
        <f t="shared" si="70"/>
        <v>970195.20000000007</v>
      </c>
      <c r="Z73" s="48">
        <f t="shared" si="71"/>
        <v>2245395.2000000002</v>
      </c>
      <c r="AA73" s="37">
        <f t="shared" si="72"/>
        <v>0.11304347826086958</v>
      </c>
      <c r="AB73" s="49">
        <f t="shared" si="73"/>
        <v>0.3728373015873015</v>
      </c>
      <c r="AC73" s="49">
        <f t="shared" si="74"/>
        <v>0.74567460317460299</v>
      </c>
      <c r="AD73" s="50">
        <f t="shared" si="75"/>
        <v>12.373679999999997</v>
      </c>
      <c r="AE73" s="8">
        <f t="shared" si="76"/>
        <v>0</v>
      </c>
      <c r="AF73" s="51">
        <f t="shared" si="77"/>
        <v>2245395.2000000002</v>
      </c>
      <c r="AG73" s="8">
        <f t="shared" si="79"/>
        <v>9.9999999999999997E+98</v>
      </c>
      <c r="AH73" s="8" t="str">
        <f t="shared" si="78"/>
        <v>footprint duplicate</v>
      </c>
      <c r="AI73" s="52">
        <f t="shared" si="80"/>
        <v>150000002245395.13</v>
      </c>
    </row>
    <row r="74" spans="1:35" ht="15" customHeight="1" x14ac:dyDescent="0.25">
      <c r="A74" s="8">
        <v>67</v>
      </c>
      <c r="B74" s="8">
        <f t="shared" si="48"/>
        <v>6</v>
      </c>
      <c r="C74" s="8">
        <v>7</v>
      </c>
      <c r="D74" s="49">
        <f t="shared" si="49"/>
        <v>0.60000000000000009</v>
      </c>
      <c r="E74" s="50">
        <f t="shared" si="50"/>
        <v>44.919642857142833</v>
      </c>
      <c r="F74" s="37">
        <f t="shared" si="51"/>
        <v>0.7486607142857139</v>
      </c>
      <c r="G74" s="8">
        <f t="shared" si="52"/>
        <v>2</v>
      </c>
      <c r="H74" s="8">
        <f t="shared" si="53"/>
        <v>60</v>
      </c>
      <c r="I74" s="50">
        <f t="shared" si="54"/>
        <v>60</v>
      </c>
      <c r="J74" s="50">
        <f t="shared" si="55"/>
        <v>16.900000000000002</v>
      </c>
      <c r="K74" s="50">
        <f t="shared" si="56"/>
        <v>15.049999999999999</v>
      </c>
      <c r="L74" s="50">
        <f t="shared" si="57"/>
        <v>15</v>
      </c>
      <c r="M74" s="37">
        <f t="shared" si="58"/>
        <v>9.0603357574361478</v>
      </c>
      <c r="N74" s="37">
        <f t="shared" si="59"/>
        <v>6.5142857142857142</v>
      </c>
      <c r="O74" s="50">
        <f t="shared" si="60"/>
        <v>89.149242943443724</v>
      </c>
      <c r="P74" s="50">
        <f t="shared" si="61"/>
        <v>9</v>
      </c>
      <c r="Q74" s="8">
        <f t="shared" si="62"/>
        <v>11</v>
      </c>
      <c r="R74" s="48">
        <f t="shared" si="63"/>
        <v>4788</v>
      </c>
      <c r="S74" s="48">
        <f t="shared" si="64"/>
        <v>4069.7999999999997</v>
      </c>
      <c r="T74" s="48">
        <f t="shared" si="65"/>
        <v>1014.0000000000001</v>
      </c>
      <c r="U74" s="48">
        <f t="shared" si="66"/>
        <v>16781.7</v>
      </c>
      <c r="V74" s="48">
        <f t="shared" si="67"/>
        <v>300000</v>
      </c>
      <c r="W74" s="48">
        <f t="shared" si="68"/>
        <v>550000</v>
      </c>
      <c r="X74" s="48">
        <f t="shared" si="69"/>
        <v>478800</v>
      </c>
      <c r="Y74" s="48">
        <f t="shared" si="70"/>
        <v>909051</v>
      </c>
      <c r="Z74" s="48">
        <f t="shared" si="71"/>
        <v>2237851</v>
      </c>
      <c r="AA74" s="37">
        <f t="shared" si="72"/>
        <v>0.13</v>
      </c>
      <c r="AB74" s="49">
        <f t="shared" si="73"/>
        <v>0.37433035714285695</v>
      </c>
      <c r="AC74" s="49">
        <f t="shared" si="74"/>
        <v>0.7486607142857139</v>
      </c>
      <c r="AD74" s="50">
        <f t="shared" si="75"/>
        <v>12.654899999999998</v>
      </c>
      <c r="AE74" s="8">
        <f t="shared" si="76"/>
        <v>0</v>
      </c>
      <c r="AF74" s="51">
        <f t="shared" si="77"/>
        <v>2237851</v>
      </c>
      <c r="AG74" s="8">
        <f t="shared" si="79"/>
        <v>9.9999999999999997E+98</v>
      </c>
      <c r="AH74" s="8" t="str">
        <f t="shared" si="78"/>
        <v>duplicate</v>
      </c>
      <c r="AI74" s="52">
        <f t="shared" si="80"/>
        <v>2237851.0149936019</v>
      </c>
    </row>
    <row r="75" spans="1:35" ht="15" customHeight="1" x14ac:dyDescent="0.25">
      <c r="A75" s="8">
        <v>68</v>
      </c>
      <c r="B75" s="8">
        <f t="shared" si="48"/>
        <v>6</v>
      </c>
      <c r="C75" s="8">
        <v>8</v>
      </c>
      <c r="D75" s="49">
        <f t="shared" si="49"/>
        <v>0.60000000000000009</v>
      </c>
      <c r="E75" s="50">
        <f t="shared" si="50"/>
        <v>45.0988095238095</v>
      </c>
      <c r="F75" s="37">
        <f t="shared" si="51"/>
        <v>0.75164682539682504</v>
      </c>
      <c r="G75" s="8">
        <f t="shared" si="52"/>
        <v>2</v>
      </c>
      <c r="H75" s="8">
        <f t="shared" si="53"/>
        <v>53</v>
      </c>
      <c r="I75" s="50">
        <f t="shared" si="54"/>
        <v>53</v>
      </c>
      <c r="J75" s="50">
        <f t="shared" si="55"/>
        <v>16.900000000000002</v>
      </c>
      <c r="K75" s="50">
        <f t="shared" si="56"/>
        <v>17.2</v>
      </c>
      <c r="L75" s="50">
        <f t="shared" si="57"/>
        <v>13.25</v>
      </c>
      <c r="M75" s="37">
        <f t="shared" si="58"/>
        <v>8.4319838763428088</v>
      </c>
      <c r="N75" s="37">
        <f t="shared" si="59"/>
        <v>6.5142857142857142</v>
      </c>
      <c r="O75" s="50">
        <f t="shared" si="60"/>
        <v>87.89253918125705</v>
      </c>
      <c r="P75" s="50">
        <f t="shared" si="61"/>
        <v>10</v>
      </c>
      <c r="Q75" s="8">
        <f t="shared" si="62"/>
        <v>12</v>
      </c>
      <c r="R75" s="48">
        <f t="shared" si="63"/>
        <v>4800</v>
      </c>
      <c r="S75" s="48">
        <f t="shared" si="64"/>
        <v>4080</v>
      </c>
      <c r="T75" s="48">
        <f t="shared" si="65"/>
        <v>895.70000000000016</v>
      </c>
      <c r="U75" s="48">
        <f t="shared" si="66"/>
        <v>16749.590000000004</v>
      </c>
      <c r="V75" s="48">
        <f t="shared" si="67"/>
        <v>300000</v>
      </c>
      <c r="W75" s="48">
        <f t="shared" si="68"/>
        <v>600000</v>
      </c>
      <c r="X75" s="48">
        <f t="shared" si="69"/>
        <v>480000</v>
      </c>
      <c r="Y75" s="48">
        <f t="shared" si="70"/>
        <v>860767.70000000019</v>
      </c>
      <c r="Z75" s="48">
        <f t="shared" si="71"/>
        <v>2240767.7000000002</v>
      </c>
      <c r="AA75" s="37">
        <f t="shared" si="72"/>
        <v>0.14716981132075474</v>
      </c>
      <c r="AB75" s="49">
        <f t="shared" si="73"/>
        <v>0.37582341269841252</v>
      </c>
      <c r="AC75" s="49">
        <f t="shared" si="74"/>
        <v>0.75164682539682504</v>
      </c>
      <c r="AD75" s="50">
        <f t="shared" si="75"/>
        <v>12.936119999999995</v>
      </c>
      <c r="AE75" s="8">
        <f t="shared" si="76"/>
        <v>0</v>
      </c>
      <c r="AF75" s="51">
        <f t="shared" si="77"/>
        <v>2240767.7000000002</v>
      </c>
      <c r="AG75" s="8">
        <f t="shared" si="79"/>
        <v>9.9999999999999997E+98</v>
      </c>
      <c r="AH75" s="8" t="str">
        <f t="shared" si="78"/>
        <v>duplicate</v>
      </c>
      <c r="AI75" s="52">
        <f t="shared" si="80"/>
        <v>2240767.7152372203</v>
      </c>
    </row>
    <row r="76" spans="1:35" ht="15" customHeight="1" x14ac:dyDescent="0.25">
      <c r="A76" s="8">
        <v>69</v>
      </c>
      <c r="B76" s="8">
        <f t="shared" si="48"/>
        <v>6</v>
      </c>
      <c r="C76" s="8">
        <v>9</v>
      </c>
      <c r="D76" s="49">
        <f t="shared" si="49"/>
        <v>0.6</v>
      </c>
      <c r="E76" s="50">
        <f t="shared" si="50"/>
        <v>45.277976190476181</v>
      </c>
      <c r="F76" s="37">
        <f t="shared" si="51"/>
        <v>0.75463293650793628</v>
      </c>
      <c r="G76" s="8">
        <f t="shared" si="52"/>
        <v>2</v>
      </c>
      <c r="H76" s="8">
        <f t="shared" si="53"/>
        <v>47</v>
      </c>
      <c r="I76" s="50">
        <f t="shared" si="54"/>
        <v>47</v>
      </c>
      <c r="J76" s="50">
        <f t="shared" si="55"/>
        <v>16.900000000000002</v>
      </c>
      <c r="K76" s="50">
        <f t="shared" si="56"/>
        <v>19.349999999999998</v>
      </c>
      <c r="L76" s="50">
        <f t="shared" si="57"/>
        <v>11.75</v>
      </c>
      <c r="M76" s="37">
        <f t="shared" si="58"/>
        <v>7.8926018787938661</v>
      </c>
      <c r="N76" s="37">
        <f t="shared" si="59"/>
        <v>6.5142857142857142</v>
      </c>
      <c r="O76" s="50">
        <f t="shared" si="60"/>
        <v>86.813775186159162</v>
      </c>
      <c r="P76" s="50">
        <f t="shared" si="61"/>
        <v>11</v>
      </c>
      <c r="Q76" s="8">
        <f t="shared" si="62"/>
        <v>13</v>
      </c>
      <c r="R76" s="48">
        <f t="shared" si="63"/>
        <v>4752</v>
      </c>
      <c r="S76" s="48">
        <f t="shared" si="64"/>
        <v>4039.2</v>
      </c>
      <c r="T76" s="48">
        <f t="shared" si="65"/>
        <v>794.30000000000007</v>
      </c>
      <c r="U76" s="48">
        <f t="shared" si="66"/>
        <v>16561.154999999999</v>
      </c>
      <c r="V76" s="48">
        <f t="shared" si="67"/>
        <v>300000</v>
      </c>
      <c r="W76" s="48">
        <f t="shared" si="68"/>
        <v>650000</v>
      </c>
      <c r="X76" s="48">
        <f t="shared" si="69"/>
        <v>475200</v>
      </c>
      <c r="Y76" s="48">
        <f t="shared" si="70"/>
        <v>814554.64999999991</v>
      </c>
      <c r="Z76" s="48">
        <f t="shared" si="71"/>
        <v>2239754.65</v>
      </c>
      <c r="AA76" s="37">
        <f t="shared" si="72"/>
        <v>0.16595744680851066</v>
      </c>
      <c r="AB76" s="49">
        <f t="shared" si="73"/>
        <v>0.37731646825396814</v>
      </c>
      <c r="AC76" s="49">
        <f t="shared" si="74"/>
        <v>0.75463293650793628</v>
      </c>
      <c r="AD76" s="50">
        <f t="shared" si="75"/>
        <v>13.217339999999998</v>
      </c>
      <c r="AE76" s="8">
        <f t="shared" si="76"/>
        <v>0</v>
      </c>
      <c r="AF76" s="51">
        <f t="shared" si="77"/>
        <v>2239754.65</v>
      </c>
      <c r="AG76" s="8">
        <f t="shared" si="79"/>
        <v>9.9999999999999997E+98</v>
      </c>
      <c r="AH76" s="8" t="str">
        <f t="shared" si="78"/>
        <v>duplicate</v>
      </c>
      <c r="AI76" s="52">
        <f t="shared" si="80"/>
        <v>2239754.6654543066</v>
      </c>
    </row>
    <row r="77" spans="1:35" ht="15" customHeight="1" x14ac:dyDescent="0.25">
      <c r="A77" s="8">
        <v>70</v>
      </c>
      <c r="B77" s="8">
        <f t="shared" si="48"/>
        <v>6</v>
      </c>
      <c r="C77" s="8">
        <v>10</v>
      </c>
      <c r="D77" s="49">
        <f t="shared" si="49"/>
        <v>0.60000000000000009</v>
      </c>
      <c r="E77" s="50">
        <f t="shared" si="50"/>
        <v>45.457142857142834</v>
      </c>
      <c r="F77" s="37">
        <f t="shared" si="51"/>
        <v>0.7576190476190473</v>
      </c>
      <c r="G77" s="8">
        <f t="shared" si="52"/>
        <v>2</v>
      </c>
      <c r="H77" s="8">
        <f t="shared" si="53"/>
        <v>43</v>
      </c>
      <c r="I77" s="50">
        <f t="shared" si="54"/>
        <v>43</v>
      </c>
      <c r="J77" s="50">
        <f t="shared" si="55"/>
        <v>16.900000000000002</v>
      </c>
      <c r="K77" s="50">
        <f t="shared" si="56"/>
        <v>21.5</v>
      </c>
      <c r="L77" s="50">
        <f t="shared" si="57"/>
        <v>10.75</v>
      </c>
      <c r="M77" s="37">
        <f t="shared" si="58"/>
        <v>7.5324452429341591</v>
      </c>
      <c r="N77" s="37">
        <f t="shared" si="59"/>
        <v>6.5142857142857142</v>
      </c>
      <c r="O77" s="50">
        <f t="shared" si="60"/>
        <v>86.093461914439743</v>
      </c>
      <c r="P77" s="50">
        <f t="shared" si="61"/>
        <v>12</v>
      </c>
      <c r="Q77" s="8">
        <f t="shared" si="62"/>
        <v>14</v>
      </c>
      <c r="R77" s="48">
        <f t="shared" si="63"/>
        <v>4800</v>
      </c>
      <c r="S77" s="48">
        <f t="shared" si="64"/>
        <v>4080</v>
      </c>
      <c r="T77" s="48">
        <f t="shared" si="65"/>
        <v>726.7</v>
      </c>
      <c r="U77" s="48">
        <f t="shared" si="66"/>
        <v>16714.100000000002</v>
      </c>
      <c r="V77" s="48">
        <f t="shared" si="67"/>
        <v>300000</v>
      </c>
      <c r="W77" s="48">
        <f t="shared" si="68"/>
        <v>700000</v>
      </c>
      <c r="X77" s="48">
        <f t="shared" si="69"/>
        <v>480000</v>
      </c>
      <c r="Y77" s="48">
        <f t="shared" si="70"/>
        <v>792103</v>
      </c>
      <c r="Z77" s="48">
        <f t="shared" si="71"/>
        <v>2272103</v>
      </c>
      <c r="AA77" s="37">
        <f t="shared" si="72"/>
        <v>0.18139534883720931</v>
      </c>
      <c r="AB77" s="49">
        <f t="shared" si="73"/>
        <v>0.37880952380952365</v>
      </c>
      <c r="AC77" s="49">
        <f t="shared" si="74"/>
        <v>0.7576190476190473</v>
      </c>
      <c r="AD77" s="50">
        <f t="shared" si="75"/>
        <v>13.498559999999996</v>
      </c>
      <c r="AE77" s="8">
        <f t="shared" si="76"/>
        <v>0</v>
      </c>
      <c r="AF77" s="51">
        <f t="shared" si="77"/>
        <v>2272103</v>
      </c>
      <c r="AG77" s="8">
        <f t="shared" si="79"/>
        <v>9.9999999999999997E+98</v>
      </c>
      <c r="AH77" s="8" t="str">
        <f t="shared" si="78"/>
        <v>height duplicate</v>
      </c>
      <c r="AI77" s="52">
        <f t="shared" si="80"/>
        <v>75000002272102.969</v>
      </c>
    </row>
    <row r="78" spans="1:35" ht="15" customHeight="1" x14ac:dyDescent="0.25">
      <c r="A78" s="8">
        <v>71</v>
      </c>
      <c r="B78" s="8">
        <f t="shared" si="48"/>
        <v>6</v>
      </c>
      <c r="C78" s="8">
        <v>11</v>
      </c>
      <c r="D78" s="49">
        <f t="shared" si="49"/>
        <v>0.6</v>
      </c>
      <c r="E78" s="50">
        <f t="shared" si="50"/>
        <v>45.636309523809516</v>
      </c>
      <c r="F78" s="37">
        <f t="shared" si="51"/>
        <v>0.76060515873015866</v>
      </c>
      <c r="G78" s="8">
        <f t="shared" si="52"/>
        <v>2</v>
      </c>
      <c r="H78" s="8">
        <f t="shared" si="53"/>
        <v>39</v>
      </c>
      <c r="I78" s="50">
        <f t="shared" si="54"/>
        <v>39</v>
      </c>
      <c r="J78" s="50">
        <f t="shared" si="55"/>
        <v>16.900000000000002</v>
      </c>
      <c r="K78" s="50">
        <f t="shared" si="56"/>
        <v>23.65</v>
      </c>
      <c r="L78" s="50">
        <f t="shared" si="57"/>
        <v>9.75</v>
      </c>
      <c r="M78" s="37">
        <f t="shared" si="58"/>
        <v>7.171670396055613</v>
      </c>
      <c r="N78" s="37">
        <f t="shared" si="59"/>
        <v>6.5142857142857142</v>
      </c>
      <c r="O78" s="50">
        <f t="shared" si="60"/>
        <v>85.371912220682646</v>
      </c>
      <c r="P78" s="50">
        <f t="shared" si="61"/>
        <v>13</v>
      </c>
      <c r="Q78" s="8">
        <f t="shared" si="62"/>
        <v>15</v>
      </c>
      <c r="R78" s="48">
        <f t="shared" si="63"/>
        <v>4752</v>
      </c>
      <c r="S78" s="48">
        <f t="shared" si="64"/>
        <v>4039.2</v>
      </c>
      <c r="T78" s="48">
        <f t="shared" si="65"/>
        <v>659.10000000000014</v>
      </c>
      <c r="U78" s="48">
        <f t="shared" si="66"/>
        <v>16576.365000000002</v>
      </c>
      <c r="V78" s="48">
        <f t="shared" si="67"/>
        <v>300000</v>
      </c>
      <c r="W78" s="48">
        <f t="shared" si="68"/>
        <v>750000</v>
      </c>
      <c r="X78" s="48">
        <f t="shared" si="69"/>
        <v>475200</v>
      </c>
      <c r="Y78" s="48">
        <f t="shared" si="70"/>
        <v>760930.95000000019</v>
      </c>
      <c r="Z78" s="48">
        <f t="shared" si="71"/>
        <v>2286130.9500000002</v>
      </c>
      <c r="AA78" s="37">
        <f t="shared" si="72"/>
        <v>0.2</v>
      </c>
      <c r="AB78" s="49">
        <f t="shared" si="73"/>
        <v>0.38030257936507933</v>
      </c>
      <c r="AC78" s="49">
        <f t="shared" si="74"/>
        <v>0.76060515873015866</v>
      </c>
      <c r="AD78" s="50">
        <f t="shared" si="75"/>
        <v>13.779779999999999</v>
      </c>
      <c r="AE78" s="8">
        <f t="shared" si="76"/>
        <v>0</v>
      </c>
      <c r="AF78" s="51">
        <f t="shared" si="77"/>
        <v>2286130.9500000002</v>
      </c>
      <c r="AG78" s="8">
        <f t="shared" si="79"/>
        <v>9.9999999999999997E+98</v>
      </c>
      <c r="AH78" s="8" t="str">
        <f t="shared" si="78"/>
        <v>height duplicate</v>
      </c>
      <c r="AI78" s="52">
        <f t="shared" si="80"/>
        <v>182500002286130.84</v>
      </c>
    </row>
    <row r="79" spans="1:35" ht="15" customHeight="1" x14ac:dyDescent="0.25">
      <c r="A79" s="8">
        <v>72</v>
      </c>
      <c r="B79" s="8">
        <f t="shared" si="48"/>
        <v>6</v>
      </c>
      <c r="C79" s="8">
        <v>12</v>
      </c>
      <c r="D79" s="49">
        <f t="shared" si="49"/>
        <v>0.6</v>
      </c>
      <c r="E79" s="50">
        <f t="shared" si="50"/>
        <v>45.815476190476183</v>
      </c>
      <c r="F79" s="37">
        <f t="shared" si="51"/>
        <v>0.76359126984126979</v>
      </c>
      <c r="G79" s="8">
        <f t="shared" si="52"/>
        <v>2</v>
      </c>
      <c r="H79" s="8">
        <f t="shared" si="53"/>
        <v>36</v>
      </c>
      <c r="I79" s="50">
        <f t="shared" si="54"/>
        <v>36</v>
      </c>
      <c r="J79" s="50">
        <f t="shared" si="55"/>
        <v>16.900000000000002</v>
      </c>
      <c r="K79" s="50">
        <f t="shared" si="56"/>
        <v>25.799999999999997</v>
      </c>
      <c r="L79" s="50">
        <f t="shared" si="57"/>
        <v>9</v>
      </c>
      <c r="M79" s="37">
        <f t="shared" si="58"/>
        <v>6.9005595957269135</v>
      </c>
      <c r="N79" s="37">
        <f t="shared" si="59"/>
        <v>6.5142857142857142</v>
      </c>
      <c r="O79" s="50">
        <f t="shared" si="60"/>
        <v>84.829690620025247</v>
      </c>
      <c r="P79" s="50">
        <f t="shared" si="61"/>
        <v>14</v>
      </c>
      <c r="Q79" s="8">
        <f t="shared" si="62"/>
        <v>16</v>
      </c>
      <c r="R79" s="48">
        <f t="shared" si="63"/>
        <v>4752</v>
      </c>
      <c r="S79" s="48">
        <f t="shared" si="64"/>
        <v>4039.2</v>
      </c>
      <c r="T79" s="48">
        <f t="shared" si="65"/>
        <v>608.40000000000009</v>
      </c>
      <c r="U79" s="48">
        <f t="shared" si="66"/>
        <v>16609.32</v>
      </c>
      <c r="V79" s="48">
        <f t="shared" si="67"/>
        <v>300000</v>
      </c>
      <c r="W79" s="48">
        <f t="shared" si="68"/>
        <v>800000</v>
      </c>
      <c r="X79" s="48">
        <f t="shared" si="69"/>
        <v>475200</v>
      </c>
      <c r="Y79" s="48">
        <f t="shared" si="70"/>
        <v>741639.6</v>
      </c>
      <c r="Z79" s="48">
        <f t="shared" si="71"/>
        <v>2316839.6</v>
      </c>
      <c r="AA79" s="37">
        <f t="shared" si="72"/>
        <v>0.21666666666666667</v>
      </c>
      <c r="AB79" s="49">
        <f t="shared" si="73"/>
        <v>0.3817956349206349</v>
      </c>
      <c r="AC79" s="49">
        <f t="shared" si="74"/>
        <v>0.76359126984126979</v>
      </c>
      <c r="AD79" s="50">
        <f t="shared" si="75"/>
        <v>14.060999999999998</v>
      </c>
      <c r="AE79" s="8">
        <f t="shared" si="76"/>
        <v>0</v>
      </c>
      <c r="AF79" s="51">
        <f t="shared" si="77"/>
        <v>2316839.6</v>
      </c>
      <c r="AG79" s="8">
        <f t="shared" si="79"/>
        <v>9.9999999999999997E+98</v>
      </c>
      <c r="AH79" s="8" t="str">
        <f t="shared" si="78"/>
        <v>height duplicate</v>
      </c>
      <c r="AI79" s="52">
        <f t="shared" si="80"/>
        <v>290000002316839.44</v>
      </c>
    </row>
    <row r="80" spans="1:35" ht="15" customHeight="1" x14ac:dyDescent="0.25">
      <c r="A80" s="8">
        <v>73</v>
      </c>
      <c r="B80" s="8">
        <f t="shared" si="48"/>
        <v>6</v>
      </c>
      <c r="C80" s="8">
        <v>13</v>
      </c>
      <c r="D80" s="49">
        <f t="shared" si="49"/>
        <v>0.6</v>
      </c>
      <c r="E80" s="50">
        <f t="shared" si="50"/>
        <v>45.99464285714285</v>
      </c>
      <c r="F80" s="37">
        <f t="shared" si="51"/>
        <v>0.76657738095238082</v>
      </c>
      <c r="G80" s="8">
        <f t="shared" si="52"/>
        <v>2</v>
      </c>
      <c r="H80" s="8">
        <f t="shared" si="53"/>
        <v>34</v>
      </c>
      <c r="I80" s="50">
        <f t="shared" si="54"/>
        <v>34</v>
      </c>
      <c r="J80" s="50">
        <f t="shared" si="55"/>
        <v>16.900000000000002</v>
      </c>
      <c r="K80" s="50">
        <f t="shared" si="56"/>
        <v>27.95</v>
      </c>
      <c r="L80" s="50">
        <f t="shared" si="57"/>
        <v>8.5</v>
      </c>
      <c r="M80" s="37">
        <f t="shared" si="58"/>
        <v>6.7195000761478241</v>
      </c>
      <c r="N80" s="37">
        <f t="shared" si="59"/>
        <v>6.5142857142857142</v>
      </c>
      <c r="O80" s="50">
        <f t="shared" si="60"/>
        <v>84.467571580867073</v>
      </c>
      <c r="P80" s="50">
        <f t="shared" si="61"/>
        <v>15</v>
      </c>
      <c r="Q80" s="8">
        <f t="shared" si="62"/>
        <v>17</v>
      </c>
      <c r="R80" s="48">
        <f t="shared" si="63"/>
        <v>4836</v>
      </c>
      <c r="S80" s="48">
        <f t="shared" si="64"/>
        <v>4110.5999999999995</v>
      </c>
      <c r="T80" s="48">
        <f t="shared" si="65"/>
        <v>574.6</v>
      </c>
      <c r="U80" s="48">
        <f t="shared" si="66"/>
        <v>16921.97</v>
      </c>
      <c r="V80" s="48">
        <f t="shared" si="67"/>
        <v>300000</v>
      </c>
      <c r="W80" s="48">
        <f t="shared" si="68"/>
        <v>850000</v>
      </c>
      <c r="X80" s="48">
        <f t="shared" si="69"/>
        <v>483600</v>
      </c>
      <c r="Y80" s="48">
        <f t="shared" si="70"/>
        <v>737499.10000000009</v>
      </c>
      <c r="Z80" s="48">
        <f t="shared" si="71"/>
        <v>2371099.1</v>
      </c>
      <c r="AA80" s="37">
        <f t="shared" si="72"/>
        <v>0.22941176470588237</v>
      </c>
      <c r="AB80" s="49">
        <f t="shared" si="73"/>
        <v>0.38328869047619041</v>
      </c>
      <c r="AC80" s="49">
        <f t="shared" si="74"/>
        <v>0.76657738095238082</v>
      </c>
      <c r="AD80" s="50">
        <f t="shared" si="75"/>
        <v>14.342219999999999</v>
      </c>
      <c r="AE80" s="8">
        <f t="shared" si="76"/>
        <v>0</v>
      </c>
      <c r="AF80" s="51">
        <f t="shared" si="77"/>
        <v>2371099.1</v>
      </c>
      <c r="AG80" s="8">
        <f t="shared" si="79"/>
        <v>9.9999999999999997E+98</v>
      </c>
      <c r="AH80" s="8" t="str">
        <f t="shared" si="78"/>
        <v>height duplicate</v>
      </c>
      <c r="AI80" s="52">
        <f t="shared" si="80"/>
        <v>397500002371099.06</v>
      </c>
    </row>
    <row r="81" spans="1:35" ht="15" customHeight="1" x14ac:dyDescent="0.25">
      <c r="A81" s="8">
        <v>74</v>
      </c>
      <c r="B81" s="8">
        <f t="shared" si="48"/>
        <v>6</v>
      </c>
      <c r="C81" s="8">
        <v>14</v>
      </c>
      <c r="D81" s="49">
        <f t="shared" si="49"/>
        <v>0.6</v>
      </c>
      <c r="E81" s="50">
        <f t="shared" si="50"/>
        <v>46.173809523809517</v>
      </c>
      <c r="F81" s="37">
        <f t="shared" si="51"/>
        <v>0.76956349206349195</v>
      </c>
      <c r="G81" s="8">
        <f t="shared" si="52"/>
        <v>2</v>
      </c>
      <c r="H81" s="8">
        <f t="shared" si="53"/>
        <v>32</v>
      </c>
      <c r="I81" s="50">
        <f t="shared" si="54"/>
        <v>32</v>
      </c>
      <c r="J81" s="50">
        <f t="shared" si="55"/>
        <v>16.900000000000002</v>
      </c>
      <c r="K81" s="50">
        <f t="shared" si="56"/>
        <v>30.099999999999998</v>
      </c>
      <c r="L81" s="50">
        <f t="shared" si="57"/>
        <v>8</v>
      </c>
      <c r="M81" s="37">
        <f t="shared" si="58"/>
        <v>6.5381295451927768</v>
      </c>
      <c r="N81" s="37">
        <f t="shared" si="59"/>
        <v>6.5142857142857142</v>
      </c>
      <c r="O81" s="50">
        <f t="shared" si="60"/>
        <v>84.104830518956973</v>
      </c>
      <c r="P81" s="50">
        <f t="shared" si="61"/>
        <v>16</v>
      </c>
      <c r="Q81" s="8">
        <f t="shared" si="62"/>
        <v>18</v>
      </c>
      <c r="R81" s="48">
        <f t="shared" si="63"/>
        <v>4872</v>
      </c>
      <c r="S81" s="48">
        <f t="shared" si="64"/>
        <v>4141.2</v>
      </c>
      <c r="T81" s="48">
        <f t="shared" si="65"/>
        <v>540.80000000000007</v>
      </c>
      <c r="U81" s="48">
        <f t="shared" si="66"/>
        <v>17089.280000000002</v>
      </c>
      <c r="V81" s="48">
        <f t="shared" si="67"/>
        <v>300000</v>
      </c>
      <c r="W81" s="48">
        <f t="shared" si="68"/>
        <v>900000</v>
      </c>
      <c r="X81" s="48">
        <f t="shared" si="69"/>
        <v>487200</v>
      </c>
      <c r="Y81" s="48">
        <f t="shared" si="70"/>
        <v>728998.40000000014</v>
      </c>
      <c r="Z81" s="48">
        <f t="shared" si="71"/>
        <v>2416198.4000000004</v>
      </c>
      <c r="AA81" s="37">
        <f t="shared" si="72"/>
        <v>0.24375000000000002</v>
      </c>
      <c r="AB81" s="49">
        <f t="shared" si="73"/>
        <v>0.38478174603174597</v>
      </c>
      <c r="AC81" s="49">
        <f t="shared" si="74"/>
        <v>0.76956349206349195</v>
      </c>
      <c r="AD81" s="50">
        <f t="shared" si="75"/>
        <v>14.623439999999999</v>
      </c>
      <c r="AE81" s="8">
        <f t="shared" si="76"/>
        <v>0</v>
      </c>
      <c r="AF81" s="51">
        <f t="shared" si="77"/>
        <v>2416198.4000000004</v>
      </c>
      <c r="AG81" s="8">
        <f t="shared" si="79"/>
        <v>9.9999999999999997E+98</v>
      </c>
      <c r="AH81" s="8" t="str">
        <f t="shared" si="78"/>
        <v>height duplicate</v>
      </c>
      <c r="AI81" s="52">
        <f t="shared" si="80"/>
        <v>505000002416198.31</v>
      </c>
    </row>
    <row r="82" spans="1:35" ht="15" customHeight="1" x14ac:dyDescent="0.25">
      <c r="A82" s="8">
        <v>75</v>
      </c>
      <c r="B82" s="8">
        <f t="shared" si="48"/>
        <v>6</v>
      </c>
      <c r="C82" s="8">
        <v>15</v>
      </c>
      <c r="D82" s="49">
        <f t="shared" si="49"/>
        <v>0.60000000000000009</v>
      </c>
      <c r="E82" s="50">
        <f t="shared" si="50"/>
        <v>46.352976190476163</v>
      </c>
      <c r="F82" s="37">
        <f t="shared" si="51"/>
        <v>0.77254960317460286</v>
      </c>
      <c r="G82" s="8">
        <f t="shared" si="52"/>
        <v>2</v>
      </c>
      <c r="H82" s="8">
        <f t="shared" si="53"/>
        <v>30</v>
      </c>
      <c r="I82" s="50">
        <f t="shared" si="54"/>
        <v>30</v>
      </c>
      <c r="J82" s="50">
        <f t="shared" si="55"/>
        <v>16.900000000000002</v>
      </c>
      <c r="K82" s="50">
        <f t="shared" si="56"/>
        <v>32.25</v>
      </c>
      <c r="L82" s="50">
        <f t="shared" si="57"/>
        <v>7.5</v>
      </c>
      <c r="M82" s="37">
        <f t="shared" si="58"/>
        <v>6.3563858005865805</v>
      </c>
      <c r="N82" s="37">
        <f t="shared" si="59"/>
        <v>6.5142857142857142</v>
      </c>
      <c r="O82" s="50">
        <f t="shared" si="60"/>
        <v>83.741343029744584</v>
      </c>
      <c r="P82" s="50">
        <f t="shared" si="61"/>
        <v>17</v>
      </c>
      <c r="Q82" s="8">
        <f t="shared" si="62"/>
        <v>19</v>
      </c>
      <c r="R82" s="48">
        <f t="shared" si="63"/>
        <v>4860</v>
      </c>
      <c r="S82" s="48">
        <f t="shared" si="64"/>
        <v>4131</v>
      </c>
      <c r="T82" s="48">
        <f t="shared" si="65"/>
        <v>507.00000000000006</v>
      </c>
      <c r="U82" s="48">
        <f t="shared" si="66"/>
        <v>17111.250000000004</v>
      </c>
      <c r="V82" s="48">
        <f t="shared" si="67"/>
        <v>300000</v>
      </c>
      <c r="W82" s="48">
        <f t="shared" si="68"/>
        <v>950000</v>
      </c>
      <c r="X82" s="48">
        <f t="shared" si="69"/>
        <v>486000</v>
      </c>
      <c r="Y82" s="48">
        <f t="shared" si="70"/>
        <v>716137.50000000012</v>
      </c>
      <c r="Z82" s="48">
        <f t="shared" si="71"/>
        <v>2452137.5</v>
      </c>
      <c r="AA82" s="37">
        <f t="shared" si="72"/>
        <v>0.26</v>
      </c>
      <c r="AB82" s="49">
        <f t="shared" si="73"/>
        <v>0.38627480158730143</v>
      </c>
      <c r="AC82" s="49">
        <f t="shared" si="74"/>
        <v>0.77254960317460286</v>
      </c>
      <c r="AD82" s="50">
        <f t="shared" si="75"/>
        <v>14.904659999999998</v>
      </c>
      <c r="AE82" s="8">
        <f t="shared" si="76"/>
        <v>0</v>
      </c>
      <c r="AF82" s="51">
        <f t="shared" si="77"/>
        <v>2452137.5</v>
      </c>
      <c r="AG82" s="8">
        <f t="shared" si="79"/>
        <v>9.9999999999999997E+98</v>
      </c>
      <c r="AH82" s="8" t="str">
        <f t="shared" si="78"/>
        <v>height duplicate</v>
      </c>
      <c r="AI82" s="52">
        <f t="shared" si="80"/>
        <v>612500002452137.5</v>
      </c>
    </row>
    <row r="83" spans="1:35" ht="15" customHeight="1" x14ac:dyDescent="0.25">
      <c r="A83" s="8">
        <v>76</v>
      </c>
      <c r="B83" s="8">
        <f t="shared" si="48"/>
        <v>6</v>
      </c>
      <c r="C83" s="8">
        <v>16</v>
      </c>
      <c r="D83" s="49">
        <f t="shared" si="49"/>
        <v>0.59999999999999987</v>
      </c>
      <c r="E83" s="50">
        <f t="shared" si="50"/>
        <v>46.532142857142851</v>
      </c>
      <c r="F83" s="37">
        <f t="shared" si="51"/>
        <v>0.775535714285714</v>
      </c>
      <c r="G83" s="8">
        <f t="shared" si="52"/>
        <v>2</v>
      </c>
      <c r="H83" s="8">
        <f t="shared" si="53"/>
        <v>28</v>
      </c>
      <c r="I83" s="50">
        <f t="shared" si="54"/>
        <v>28</v>
      </c>
      <c r="J83" s="50">
        <f t="shared" si="55"/>
        <v>16.900000000000002</v>
      </c>
      <c r="K83" s="50">
        <f t="shared" si="56"/>
        <v>34.4</v>
      </c>
      <c r="L83" s="50">
        <f t="shared" si="57"/>
        <v>7</v>
      </c>
      <c r="M83" s="37">
        <f t="shared" si="58"/>
        <v>6.1741888679754187</v>
      </c>
      <c r="N83" s="37">
        <f t="shared" si="59"/>
        <v>6.5142857142857142</v>
      </c>
      <c r="O83" s="50">
        <f t="shared" si="60"/>
        <v>83.376949164522259</v>
      </c>
      <c r="P83" s="50">
        <f t="shared" si="61"/>
        <v>18</v>
      </c>
      <c r="Q83" s="8">
        <f t="shared" si="62"/>
        <v>20</v>
      </c>
      <c r="R83" s="48">
        <f t="shared" si="63"/>
        <v>4800</v>
      </c>
      <c r="S83" s="48">
        <f t="shared" si="64"/>
        <v>4080</v>
      </c>
      <c r="T83" s="48">
        <f t="shared" si="65"/>
        <v>473.20000000000005</v>
      </c>
      <c r="U83" s="48">
        <f t="shared" si="66"/>
        <v>16987.88</v>
      </c>
      <c r="V83" s="48">
        <f t="shared" si="67"/>
        <v>300000</v>
      </c>
      <c r="W83" s="48">
        <f t="shared" si="68"/>
        <v>1000000</v>
      </c>
      <c r="X83" s="48">
        <f t="shared" si="69"/>
        <v>480000</v>
      </c>
      <c r="Y83" s="48">
        <f t="shared" si="70"/>
        <v>698916.4</v>
      </c>
      <c r="Z83" s="48">
        <f t="shared" si="71"/>
        <v>2478916.4</v>
      </c>
      <c r="AA83" s="37">
        <f t="shared" si="72"/>
        <v>0.27857142857142858</v>
      </c>
      <c r="AB83" s="49">
        <f t="shared" si="73"/>
        <v>0.387767857142857</v>
      </c>
      <c r="AC83" s="49">
        <f t="shared" si="74"/>
        <v>0.775535714285714</v>
      </c>
      <c r="AD83" s="50">
        <f t="shared" si="75"/>
        <v>15.185879999999999</v>
      </c>
      <c r="AE83" s="8">
        <f t="shared" si="76"/>
        <v>0</v>
      </c>
      <c r="AF83" s="51">
        <f t="shared" si="77"/>
        <v>2478916.4</v>
      </c>
      <c r="AG83" s="8">
        <f t="shared" si="79"/>
        <v>9.9999999999999997E+98</v>
      </c>
      <c r="AH83" s="8" t="str">
        <f t="shared" si="78"/>
        <v>height duplicate</v>
      </c>
      <c r="AI83" s="52">
        <f t="shared" si="80"/>
        <v>720000002478916.38</v>
      </c>
    </row>
    <row r="84" spans="1:35" ht="15" customHeight="1" x14ac:dyDescent="0.25">
      <c r="A84" s="8">
        <v>77</v>
      </c>
      <c r="B84" s="8">
        <f t="shared" si="48"/>
        <v>6</v>
      </c>
      <c r="C84" s="8">
        <v>17</v>
      </c>
      <c r="D84" s="49">
        <f t="shared" si="49"/>
        <v>0.6</v>
      </c>
      <c r="E84" s="50">
        <f t="shared" si="50"/>
        <v>46.711309523809518</v>
      </c>
      <c r="F84" s="37">
        <f t="shared" si="51"/>
        <v>0.77852182539682535</v>
      </c>
      <c r="G84" s="8">
        <f t="shared" si="52"/>
        <v>2</v>
      </c>
      <c r="H84" s="8">
        <f t="shared" si="53"/>
        <v>27</v>
      </c>
      <c r="I84" s="50">
        <f t="shared" si="54"/>
        <v>27</v>
      </c>
      <c r="J84" s="50">
        <f t="shared" si="55"/>
        <v>16.900000000000002</v>
      </c>
      <c r="K84" s="50">
        <f t="shared" si="56"/>
        <v>36.549999999999997</v>
      </c>
      <c r="L84" s="50">
        <f t="shared" si="57"/>
        <v>6.75</v>
      </c>
      <c r="M84" s="37">
        <f t="shared" si="58"/>
        <v>6.0828889847787408</v>
      </c>
      <c r="N84" s="37">
        <f t="shared" si="59"/>
        <v>6.5142857142857142</v>
      </c>
      <c r="O84" s="50">
        <f t="shared" si="60"/>
        <v>83.194349398128907</v>
      </c>
      <c r="P84" s="50">
        <f t="shared" si="61"/>
        <v>19</v>
      </c>
      <c r="Q84" s="8">
        <f t="shared" si="62"/>
        <v>21</v>
      </c>
      <c r="R84" s="48">
        <f t="shared" si="63"/>
        <v>4896</v>
      </c>
      <c r="S84" s="48">
        <f t="shared" si="64"/>
        <v>4161.5999999999995</v>
      </c>
      <c r="T84" s="48">
        <f t="shared" si="65"/>
        <v>456.30000000000007</v>
      </c>
      <c r="U84" s="48">
        <f t="shared" si="66"/>
        <v>17362.215</v>
      </c>
      <c r="V84" s="48">
        <f t="shared" si="67"/>
        <v>300000</v>
      </c>
      <c r="W84" s="48">
        <f t="shared" si="68"/>
        <v>1050000</v>
      </c>
      <c r="X84" s="48">
        <f t="shared" si="69"/>
        <v>489600</v>
      </c>
      <c r="Y84" s="48">
        <f t="shared" si="70"/>
        <v>703386.45000000007</v>
      </c>
      <c r="Z84" s="48">
        <f t="shared" si="71"/>
        <v>2542986.4500000002</v>
      </c>
      <c r="AA84" s="37">
        <f t="shared" si="72"/>
        <v>0.28888888888888892</v>
      </c>
      <c r="AB84" s="49">
        <f t="shared" si="73"/>
        <v>0.38926091269841268</v>
      </c>
      <c r="AC84" s="49">
        <f t="shared" si="74"/>
        <v>0.77852182539682535</v>
      </c>
      <c r="AD84" s="50">
        <f t="shared" si="75"/>
        <v>15.4671</v>
      </c>
      <c r="AE84" s="8">
        <f t="shared" si="76"/>
        <v>0</v>
      </c>
      <c r="AF84" s="51">
        <f t="shared" si="77"/>
        <v>2542986.4500000002</v>
      </c>
      <c r="AG84" s="8">
        <f t="shared" si="79"/>
        <v>9.9999999999999997E+98</v>
      </c>
      <c r="AH84" s="8" t="str">
        <f t="shared" si="78"/>
        <v>height duplicate</v>
      </c>
      <c r="AI84" s="52">
        <f t="shared" si="80"/>
        <v>827500002542986.38</v>
      </c>
    </row>
    <row r="85" spans="1:35" ht="15" customHeight="1" x14ac:dyDescent="0.25">
      <c r="A85" s="8">
        <v>78</v>
      </c>
      <c r="B85" s="8">
        <f t="shared" si="48"/>
        <v>6</v>
      </c>
      <c r="C85" s="8">
        <v>18</v>
      </c>
      <c r="D85" s="49">
        <f t="shared" si="49"/>
        <v>0.6</v>
      </c>
      <c r="E85" s="50">
        <f t="shared" si="50"/>
        <v>46.890476190476186</v>
      </c>
      <c r="F85" s="37">
        <f t="shared" si="51"/>
        <v>0.78150793650793637</v>
      </c>
      <c r="G85" s="8">
        <f t="shared" si="52"/>
        <v>2</v>
      </c>
      <c r="H85" s="8">
        <f t="shared" si="53"/>
        <v>25</v>
      </c>
      <c r="I85" s="50">
        <f t="shared" si="54"/>
        <v>25</v>
      </c>
      <c r="J85" s="50">
        <f t="shared" si="55"/>
        <v>16.900000000000002</v>
      </c>
      <c r="K85" s="50">
        <f t="shared" si="56"/>
        <v>38.699999999999996</v>
      </c>
      <c r="L85" s="50">
        <f t="shared" si="57"/>
        <v>6.25</v>
      </c>
      <c r="M85" s="37">
        <f t="shared" si="58"/>
        <v>5.8998058178467536</v>
      </c>
      <c r="N85" s="37">
        <f t="shared" si="59"/>
        <v>6.5142857142857142</v>
      </c>
      <c r="O85" s="50">
        <f t="shared" si="60"/>
        <v>82.828183064264934</v>
      </c>
      <c r="P85" s="50">
        <f t="shared" si="61"/>
        <v>20</v>
      </c>
      <c r="Q85" s="8">
        <f t="shared" si="62"/>
        <v>22</v>
      </c>
      <c r="R85" s="48">
        <f t="shared" si="63"/>
        <v>4752</v>
      </c>
      <c r="S85" s="48">
        <f t="shared" si="64"/>
        <v>4039.2</v>
      </c>
      <c r="T85" s="48">
        <f t="shared" si="65"/>
        <v>422.50000000000006</v>
      </c>
      <c r="U85" s="48">
        <f t="shared" si="66"/>
        <v>16984.5</v>
      </c>
      <c r="V85" s="48">
        <f t="shared" si="67"/>
        <v>300000</v>
      </c>
      <c r="W85" s="48">
        <f t="shared" si="68"/>
        <v>1100000</v>
      </c>
      <c r="X85" s="48">
        <f t="shared" si="69"/>
        <v>475200</v>
      </c>
      <c r="Y85" s="48">
        <f t="shared" si="70"/>
        <v>678535</v>
      </c>
      <c r="Z85" s="48">
        <f t="shared" si="71"/>
        <v>2553735</v>
      </c>
      <c r="AA85" s="37">
        <f t="shared" si="72"/>
        <v>0.31200000000000006</v>
      </c>
      <c r="AB85" s="49">
        <f t="shared" si="73"/>
        <v>0.39075396825396819</v>
      </c>
      <c r="AC85" s="49">
        <f t="shared" si="74"/>
        <v>0.78150793650793637</v>
      </c>
      <c r="AD85" s="50">
        <f t="shared" si="75"/>
        <v>15.748319999999998</v>
      </c>
      <c r="AE85" s="8">
        <f t="shared" si="76"/>
        <v>0</v>
      </c>
      <c r="AF85" s="51">
        <f t="shared" si="77"/>
        <v>2553735</v>
      </c>
      <c r="AG85" s="8">
        <f t="shared" si="79"/>
        <v>9.9999999999999997E+98</v>
      </c>
      <c r="AH85" s="8" t="str">
        <f t="shared" si="78"/>
        <v>height duplicate</v>
      </c>
      <c r="AI85" s="52">
        <f t="shared" si="80"/>
        <v>935000002553734.88</v>
      </c>
    </row>
    <row r="86" spans="1:35" ht="15" customHeight="1" x14ac:dyDescent="0.25">
      <c r="A86" s="8">
        <v>79</v>
      </c>
      <c r="B86" s="8">
        <f t="shared" si="48"/>
        <v>6</v>
      </c>
      <c r="C86" s="8">
        <v>19</v>
      </c>
      <c r="D86" s="49">
        <f t="shared" si="49"/>
        <v>0.6</v>
      </c>
      <c r="E86" s="50">
        <f t="shared" si="50"/>
        <v>47.069642857142867</v>
      </c>
      <c r="F86" s="37">
        <f t="shared" si="51"/>
        <v>0.78449404761904773</v>
      </c>
      <c r="G86" s="8">
        <f t="shared" si="52"/>
        <v>2</v>
      </c>
      <c r="H86" s="8">
        <f t="shared" si="53"/>
        <v>24</v>
      </c>
      <c r="I86" s="50">
        <f t="shared" si="54"/>
        <v>24</v>
      </c>
      <c r="J86" s="50">
        <f t="shared" si="55"/>
        <v>16.900000000000002</v>
      </c>
      <c r="K86" s="50">
        <f t="shared" si="56"/>
        <v>40.85</v>
      </c>
      <c r="L86" s="50">
        <f t="shared" si="57"/>
        <v>6</v>
      </c>
      <c r="M86" s="37">
        <f t="shared" si="58"/>
        <v>5.8079822507332253</v>
      </c>
      <c r="N86" s="37">
        <f t="shared" si="59"/>
        <v>6.5142857142857142</v>
      </c>
      <c r="O86" s="50">
        <f t="shared" si="60"/>
        <v>82.644535930037875</v>
      </c>
      <c r="P86" s="50">
        <f t="shared" si="61"/>
        <v>21</v>
      </c>
      <c r="Q86" s="8">
        <f t="shared" si="62"/>
        <v>23</v>
      </c>
      <c r="R86" s="48">
        <f t="shared" si="63"/>
        <v>4788</v>
      </c>
      <c r="S86" s="48">
        <f t="shared" si="64"/>
        <v>4069.7999999999997</v>
      </c>
      <c r="T86" s="48">
        <f t="shared" si="65"/>
        <v>405.6</v>
      </c>
      <c r="U86" s="48">
        <f t="shared" si="66"/>
        <v>17177.16</v>
      </c>
      <c r="V86" s="48">
        <f t="shared" si="67"/>
        <v>300000</v>
      </c>
      <c r="W86" s="48">
        <f t="shared" si="68"/>
        <v>1150000</v>
      </c>
      <c r="X86" s="48">
        <f t="shared" si="69"/>
        <v>478800</v>
      </c>
      <c r="Y86" s="48">
        <f t="shared" si="70"/>
        <v>677554.8</v>
      </c>
      <c r="Z86" s="48">
        <f t="shared" si="71"/>
        <v>2606354.7999999998</v>
      </c>
      <c r="AA86" s="37">
        <f t="shared" si="72"/>
        <v>0.32500000000000001</v>
      </c>
      <c r="AB86" s="49">
        <f t="shared" si="73"/>
        <v>0.39224702380952386</v>
      </c>
      <c r="AC86" s="49">
        <f t="shared" si="74"/>
        <v>0.78449404761904773</v>
      </c>
      <c r="AD86" s="50">
        <f t="shared" si="75"/>
        <v>16.029539999999997</v>
      </c>
      <c r="AE86" s="8">
        <f t="shared" si="76"/>
        <v>0</v>
      </c>
      <c r="AF86" s="51">
        <f t="shared" si="77"/>
        <v>2606354.7999999998</v>
      </c>
      <c r="AG86" s="8">
        <f t="shared" si="79"/>
        <v>9.9999999999999997E+98</v>
      </c>
      <c r="AH86" s="8" t="str">
        <f t="shared" si="78"/>
        <v>height duplicate</v>
      </c>
      <c r="AI86" s="52">
        <f t="shared" si="80"/>
        <v>1042500002606354.9</v>
      </c>
    </row>
    <row r="87" spans="1:35" ht="15" customHeight="1" x14ac:dyDescent="0.25">
      <c r="A87" s="8">
        <v>80</v>
      </c>
      <c r="B87" s="8">
        <f t="shared" si="48"/>
        <v>6</v>
      </c>
      <c r="C87" s="8">
        <v>20</v>
      </c>
      <c r="D87" s="49">
        <f t="shared" si="49"/>
        <v>0.59999999999999987</v>
      </c>
      <c r="E87" s="50">
        <f t="shared" si="50"/>
        <v>47.248809523809541</v>
      </c>
      <c r="F87" s="37">
        <f t="shared" si="51"/>
        <v>0.78748015873015886</v>
      </c>
      <c r="G87" s="8">
        <f t="shared" si="52"/>
        <v>2</v>
      </c>
      <c r="H87" s="8">
        <f t="shared" si="53"/>
        <v>23</v>
      </c>
      <c r="I87" s="50">
        <f t="shared" si="54"/>
        <v>23</v>
      </c>
      <c r="J87" s="50">
        <f t="shared" si="55"/>
        <v>16.900000000000002</v>
      </c>
      <c r="K87" s="50">
        <f t="shared" si="56"/>
        <v>43</v>
      </c>
      <c r="L87" s="50">
        <f t="shared" si="57"/>
        <v>5.75</v>
      </c>
      <c r="M87" s="37">
        <f t="shared" si="58"/>
        <v>5.7159380007651057</v>
      </c>
      <c r="N87" s="37">
        <f t="shared" si="59"/>
        <v>6.5142857142857142</v>
      </c>
      <c r="O87" s="50">
        <f t="shared" si="60"/>
        <v>82.460447430101638</v>
      </c>
      <c r="P87" s="50">
        <f t="shared" si="61"/>
        <v>22</v>
      </c>
      <c r="Q87" s="8">
        <f t="shared" si="62"/>
        <v>24</v>
      </c>
      <c r="R87" s="48">
        <f t="shared" si="63"/>
        <v>4800</v>
      </c>
      <c r="S87" s="48">
        <f t="shared" si="64"/>
        <v>4080</v>
      </c>
      <c r="T87" s="48">
        <f t="shared" si="65"/>
        <v>388.70000000000005</v>
      </c>
      <c r="U87" s="48">
        <f t="shared" si="66"/>
        <v>17297.150000000001</v>
      </c>
      <c r="V87" s="48">
        <f t="shared" si="67"/>
        <v>300000</v>
      </c>
      <c r="W87" s="48">
        <f t="shared" si="68"/>
        <v>1200000</v>
      </c>
      <c r="X87" s="48">
        <f t="shared" si="69"/>
        <v>480000</v>
      </c>
      <c r="Y87" s="48">
        <f t="shared" si="70"/>
        <v>674394.50000000012</v>
      </c>
      <c r="Z87" s="48">
        <f t="shared" si="71"/>
        <v>2654394.5</v>
      </c>
      <c r="AA87" s="37">
        <f t="shared" si="72"/>
        <v>0.33913043478260874</v>
      </c>
      <c r="AB87" s="49">
        <f t="shared" si="73"/>
        <v>0.39374007936507943</v>
      </c>
      <c r="AC87" s="49">
        <f t="shared" si="74"/>
        <v>0.78748015873015886</v>
      </c>
      <c r="AD87" s="50">
        <f t="shared" si="75"/>
        <v>16.310760000000005</v>
      </c>
      <c r="AE87" s="8">
        <f t="shared" si="76"/>
        <v>0</v>
      </c>
      <c r="AF87" s="51">
        <f t="shared" si="77"/>
        <v>2654394.5</v>
      </c>
      <c r="AG87" s="8">
        <f t="shared" si="79"/>
        <v>9.9999999999999997E+98</v>
      </c>
      <c r="AH87" s="8" t="str">
        <f t="shared" si="78"/>
        <v>height duplicate</v>
      </c>
      <c r="AI87" s="52">
        <f t="shared" si="80"/>
        <v>1150000002654394.5</v>
      </c>
    </row>
    <row r="88" spans="1:35" ht="15" customHeight="1" x14ac:dyDescent="0.25">
      <c r="A88" s="8">
        <v>81</v>
      </c>
      <c r="B88" s="8">
        <f t="shared" ref="B88:B107" si="81">$F$3</f>
        <v>6</v>
      </c>
      <c r="C88" s="8">
        <v>1</v>
      </c>
      <c r="D88" s="49">
        <f t="shared" si="49"/>
        <v>0</v>
      </c>
      <c r="E88" s="50">
        <f t="shared" si="50"/>
        <v>0</v>
      </c>
      <c r="F88" s="37">
        <f t="shared" si="51"/>
        <v>0</v>
      </c>
      <c r="G88" s="8">
        <f t="shared" si="52"/>
        <v>0</v>
      </c>
      <c r="H88" s="8">
        <f t="shared" si="53"/>
        <v>393</v>
      </c>
      <c r="I88" s="50">
        <f t="shared" si="54"/>
        <v>393</v>
      </c>
      <c r="J88" s="50">
        <f t="shared" si="55"/>
        <v>16.900000000000002</v>
      </c>
      <c r="K88" s="50">
        <f t="shared" si="56"/>
        <v>2.15</v>
      </c>
      <c r="L88" s="50">
        <f t="shared" si="57"/>
        <v>393</v>
      </c>
      <c r="M88" s="37">
        <f t="shared" si="58"/>
        <v>144.0847456395968</v>
      </c>
      <c r="N88" s="37">
        <f t="shared" si="59"/>
        <v>6.5142857142857142</v>
      </c>
      <c r="O88" s="50">
        <f t="shared" si="60"/>
        <v>359.19806270776502</v>
      </c>
      <c r="P88" s="50">
        <f t="shared" si="61"/>
        <v>14</v>
      </c>
      <c r="Q88" s="8">
        <f t="shared" si="62"/>
        <v>16</v>
      </c>
      <c r="R88" s="48">
        <f t="shared" si="63"/>
        <v>4716</v>
      </c>
      <c r="S88" s="48">
        <f t="shared" si="64"/>
        <v>4008.6</v>
      </c>
      <c r="T88" s="48">
        <f t="shared" si="65"/>
        <v>6641.7000000000007</v>
      </c>
      <c r="U88" s="48">
        <f t="shared" si="66"/>
        <v>24242.205000000002</v>
      </c>
      <c r="V88" s="48">
        <f t="shared" si="67"/>
        <v>0</v>
      </c>
      <c r="W88" s="48">
        <f t="shared" si="68"/>
        <v>800000</v>
      </c>
      <c r="X88" s="48">
        <f t="shared" si="69"/>
        <v>471600</v>
      </c>
      <c r="Y88" s="48">
        <f t="shared" si="70"/>
        <v>3383946.1500000004</v>
      </c>
      <c r="Z88" s="48">
        <f t="shared" si="71"/>
        <v>4655546.1500000004</v>
      </c>
      <c r="AA88" s="37">
        <f t="shared" si="72"/>
        <v>1.984732824427481E-2</v>
      </c>
      <c r="AB88" s="49">
        <f t="shared" si="73"/>
        <v>0</v>
      </c>
      <c r="AC88" s="49" t="str">
        <f t="shared" si="74"/>
        <v>n/a</v>
      </c>
      <c r="AD88" s="50">
        <f t="shared" si="75"/>
        <v>0</v>
      </c>
      <c r="AE88" s="8">
        <f t="shared" si="76"/>
        <v>0</v>
      </c>
      <c r="AF88" s="51">
        <f t="shared" si="77"/>
        <v>4655546.1500000004</v>
      </c>
      <c r="AG88" s="8">
        <f t="shared" si="79"/>
        <v>9.9999999999999997E+98</v>
      </c>
      <c r="AH88" s="8" t="str">
        <f t="shared" si="78"/>
        <v>footprint lanes&gt;300 duplicate</v>
      </c>
      <c r="AI88" s="52">
        <f t="shared" si="80"/>
        <v>5860000004655545</v>
      </c>
    </row>
    <row r="89" spans="1:35" ht="15" customHeight="1" x14ac:dyDescent="0.25">
      <c r="A89" s="8">
        <v>82</v>
      </c>
      <c r="B89" s="8">
        <f t="shared" si="81"/>
        <v>6</v>
      </c>
      <c r="C89" s="8">
        <v>2</v>
      </c>
      <c r="D89" s="49">
        <f t="shared" si="49"/>
        <v>0.5</v>
      </c>
      <c r="E89" s="50">
        <f t="shared" si="50"/>
        <v>41.157142857142851</v>
      </c>
      <c r="F89" s="37">
        <f t="shared" si="51"/>
        <v>0.57162698412698409</v>
      </c>
      <c r="G89" s="8">
        <f t="shared" si="52"/>
        <v>2</v>
      </c>
      <c r="H89" s="8">
        <f t="shared" si="53"/>
        <v>200</v>
      </c>
      <c r="I89" s="50">
        <f t="shared" si="54"/>
        <v>200</v>
      </c>
      <c r="J89" s="50">
        <f t="shared" si="55"/>
        <v>16.900000000000002</v>
      </c>
      <c r="K89" s="50">
        <f t="shared" si="56"/>
        <v>4.3</v>
      </c>
      <c r="L89" s="50">
        <f t="shared" si="57"/>
        <v>50</v>
      </c>
      <c r="M89" s="37">
        <f t="shared" si="58"/>
        <v>21.57810072723084</v>
      </c>
      <c r="N89" s="37">
        <f t="shared" si="59"/>
        <v>6.5142857142857142</v>
      </c>
      <c r="O89" s="50">
        <f t="shared" si="60"/>
        <v>114.18477288303311</v>
      </c>
      <c r="P89" s="50">
        <f t="shared" si="61"/>
        <v>6</v>
      </c>
      <c r="Q89" s="8">
        <f t="shared" si="62"/>
        <v>8</v>
      </c>
      <c r="R89" s="48">
        <f t="shared" si="63"/>
        <v>4728</v>
      </c>
      <c r="S89" s="48">
        <f t="shared" si="64"/>
        <v>4018.7999999999997</v>
      </c>
      <c r="T89" s="48">
        <f t="shared" si="65"/>
        <v>3380.0000000000005</v>
      </c>
      <c r="U89" s="48">
        <f t="shared" si="66"/>
        <v>19604.000000000004</v>
      </c>
      <c r="V89" s="48">
        <f t="shared" si="67"/>
        <v>300000</v>
      </c>
      <c r="W89" s="48">
        <f t="shared" si="68"/>
        <v>400000</v>
      </c>
      <c r="X89" s="48">
        <f t="shared" si="69"/>
        <v>472800</v>
      </c>
      <c r="Y89" s="48">
        <f t="shared" si="70"/>
        <v>1940120.0000000005</v>
      </c>
      <c r="Z89" s="48">
        <f t="shared" si="71"/>
        <v>3112920.0000000005</v>
      </c>
      <c r="AA89" s="37">
        <f t="shared" si="72"/>
        <v>3.9000000000000007E-2</v>
      </c>
      <c r="AB89" s="49">
        <f t="shared" si="73"/>
        <v>0.28581349206349205</v>
      </c>
      <c r="AC89" s="49">
        <f t="shared" si="74"/>
        <v>0.57162698412698409</v>
      </c>
      <c r="AD89" s="50">
        <f t="shared" si="75"/>
        <v>5.6243999999999996</v>
      </c>
      <c r="AE89" s="8">
        <f t="shared" si="76"/>
        <v>0</v>
      </c>
      <c r="AF89" s="51">
        <f t="shared" si="77"/>
        <v>3112920.0000000005</v>
      </c>
      <c r="AG89" s="8">
        <f t="shared" si="79"/>
        <v>9.9999999999999997E+98</v>
      </c>
      <c r="AH89" s="8" t="str">
        <f t="shared" si="78"/>
        <v>footprint duplicate</v>
      </c>
      <c r="AI89" s="52">
        <f t="shared" si="80"/>
        <v>2333333336446253.5</v>
      </c>
    </row>
    <row r="90" spans="1:35" ht="15" customHeight="1" x14ac:dyDescent="0.25">
      <c r="A90" s="8">
        <v>83</v>
      </c>
      <c r="B90" s="8">
        <f t="shared" si="81"/>
        <v>6</v>
      </c>
      <c r="C90" s="8">
        <v>3</v>
      </c>
      <c r="D90" s="49">
        <f t="shared" si="49"/>
        <v>0.52941176470588236</v>
      </c>
      <c r="E90" s="50">
        <f t="shared" si="50"/>
        <v>41.634920634920626</v>
      </c>
      <c r="F90" s="37">
        <f t="shared" si="51"/>
        <v>0.61227824463118574</v>
      </c>
      <c r="G90" s="8">
        <f t="shared" si="52"/>
        <v>2</v>
      </c>
      <c r="H90" s="8">
        <f t="shared" si="53"/>
        <v>134</v>
      </c>
      <c r="I90" s="50">
        <f t="shared" si="54"/>
        <v>134</v>
      </c>
      <c r="J90" s="50">
        <f t="shared" si="55"/>
        <v>16.900000000000002</v>
      </c>
      <c r="K90" s="50">
        <f t="shared" si="56"/>
        <v>6.4499999999999993</v>
      </c>
      <c r="L90" s="50">
        <f t="shared" si="57"/>
        <v>33.5</v>
      </c>
      <c r="M90" s="37">
        <f t="shared" si="58"/>
        <v>15.681493622732603</v>
      </c>
      <c r="N90" s="37">
        <f t="shared" si="59"/>
        <v>6.5142857142857142</v>
      </c>
      <c r="O90" s="50">
        <f t="shared" si="60"/>
        <v>102.39155867403663</v>
      </c>
      <c r="P90" s="50">
        <f t="shared" si="61"/>
        <v>5</v>
      </c>
      <c r="Q90" s="8">
        <f t="shared" si="62"/>
        <v>7</v>
      </c>
      <c r="R90" s="48">
        <f t="shared" si="63"/>
        <v>4716</v>
      </c>
      <c r="S90" s="48">
        <f t="shared" si="64"/>
        <v>4008.6</v>
      </c>
      <c r="T90" s="48">
        <f t="shared" si="65"/>
        <v>2264.6000000000004</v>
      </c>
      <c r="U90" s="48">
        <f t="shared" si="66"/>
        <v>18003.57</v>
      </c>
      <c r="V90" s="48">
        <f t="shared" si="67"/>
        <v>300000</v>
      </c>
      <c r="W90" s="48">
        <f t="shared" si="68"/>
        <v>350000</v>
      </c>
      <c r="X90" s="48">
        <f t="shared" si="69"/>
        <v>471600</v>
      </c>
      <c r="Y90" s="48">
        <f t="shared" si="70"/>
        <v>1445947.1</v>
      </c>
      <c r="Z90" s="48">
        <f t="shared" si="71"/>
        <v>2567547.1</v>
      </c>
      <c r="AA90" s="37">
        <f t="shared" si="72"/>
        <v>5.8208955223880601E-2</v>
      </c>
      <c r="AB90" s="49">
        <f t="shared" si="73"/>
        <v>0.30613912231559287</v>
      </c>
      <c r="AC90" s="49">
        <f t="shared" si="74"/>
        <v>0.61227824463118574</v>
      </c>
      <c r="AD90" s="50">
        <f t="shared" si="75"/>
        <v>6.6169411764705863</v>
      </c>
      <c r="AE90" s="8">
        <f t="shared" si="76"/>
        <v>0</v>
      </c>
      <c r="AF90" s="51">
        <f t="shared" si="77"/>
        <v>2567547.1</v>
      </c>
      <c r="AG90" s="8">
        <f t="shared" si="79"/>
        <v>9.9999999999999997E+98</v>
      </c>
      <c r="AH90" s="8" t="str">
        <f t="shared" si="78"/>
        <v>footprint duplicate</v>
      </c>
      <c r="AI90" s="52">
        <f t="shared" si="80"/>
        <v>1233333335900880.5</v>
      </c>
    </row>
    <row r="91" spans="1:35" ht="15" customHeight="1" x14ac:dyDescent="0.25">
      <c r="A91" s="8">
        <v>84</v>
      </c>
      <c r="B91" s="8">
        <f t="shared" si="81"/>
        <v>6</v>
      </c>
      <c r="C91" s="8">
        <v>4</v>
      </c>
      <c r="D91" s="49">
        <f t="shared" si="49"/>
        <v>0.55555555555555558</v>
      </c>
      <c r="E91" s="50">
        <f t="shared" si="50"/>
        <v>42.447142857142843</v>
      </c>
      <c r="F91" s="37">
        <f t="shared" si="51"/>
        <v>0.65504850088183397</v>
      </c>
      <c r="G91" s="8">
        <f t="shared" si="52"/>
        <v>2</v>
      </c>
      <c r="H91" s="8">
        <f t="shared" si="53"/>
        <v>102</v>
      </c>
      <c r="I91" s="50">
        <f t="shared" si="54"/>
        <v>102</v>
      </c>
      <c r="J91" s="50">
        <f t="shared" si="55"/>
        <v>16.900000000000002</v>
      </c>
      <c r="K91" s="50">
        <f t="shared" si="56"/>
        <v>8.6</v>
      </c>
      <c r="L91" s="50">
        <f t="shared" si="57"/>
        <v>25.5</v>
      </c>
      <c r="M91" s="37">
        <f t="shared" si="58"/>
        <v>12.820785739668324</v>
      </c>
      <c r="N91" s="37">
        <f t="shared" si="59"/>
        <v>6.5142857142857142</v>
      </c>
      <c r="O91" s="50">
        <f t="shared" si="60"/>
        <v>96.670142907908073</v>
      </c>
      <c r="P91" s="50">
        <f t="shared" si="61"/>
        <v>6</v>
      </c>
      <c r="Q91" s="8">
        <f t="shared" si="62"/>
        <v>8</v>
      </c>
      <c r="R91" s="48">
        <f t="shared" si="63"/>
        <v>4752</v>
      </c>
      <c r="S91" s="48">
        <f t="shared" si="64"/>
        <v>4039.2</v>
      </c>
      <c r="T91" s="48">
        <f t="shared" si="65"/>
        <v>1723.8000000000002</v>
      </c>
      <c r="U91" s="48">
        <f t="shared" si="66"/>
        <v>17410.38</v>
      </c>
      <c r="V91" s="48">
        <f t="shared" si="67"/>
        <v>300000</v>
      </c>
      <c r="W91" s="48">
        <f t="shared" si="68"/>
        <v>400000</v>
      </c>
      <c r="X91" s="48">
        <f t="shared" si="69"/>
        <v>475200</v>
      </c>
      <c r="Y91" s="48">
        <f t="shared" si="70"/>
        <v>1211831.4000000001</v>
      </c>
      <c r="Z91" s="48">
        <f t="shared" si="71"/>
        <v>2387031.4000000004</v>
      </c>
      <c r="AA91" s="37">
        <f t="shared" si="72"/>
        <v>7.6470588235294124E-2</v>
      </c>
      <c r="AB91" s="49">
        <f t="shared" si="73"/>
        <v>0.32752425044091699</v>
      </c>
      <c r="AC91" s="49">
        <f t="shared" si="74"/>
        <v>0.65504850088183397</v>
      </c>
      <c r="AD91" s="50">
        <f t="shared" si="75"/>
        <v>8.124133333333333</v>
      </c>
      <c r="AE91" s="8">
        <f t="shared" si="76"/>
        <v>0</v>
      </c>
      <c r="AF91" s="51">
        <f t="shared" si="77"/>
        <v>2387031.4000000004</v>
      </c>
      <c r="AG91" s="8">
        <f t="shared" si="79"/>
        <v>9.9999999999999997E+98</v>
      </c>
      <c r="AH91" s="8" t="str">
        <f t="shared" si="78"/>
        <v>footprint duplicate</v>
      </c>
      <c r="AI91" s="52">
        <f t="shared" si="80"/>
        <v>700000002387031.38</v>
      </c>
    </row>
    <row r="92" spans="1:35" ht="15" customHeight="1" x14ac:dyDescent="0.25">
      <c r="A92" s="8">
        <v>85</v>
      </c>
      <c r="B92" s="8">
        <f t="shared" si="81"/>
        <v>6</v>
      </c>
      <c r="C92" s="8">
        <v>5</v>
      </c>
      <c r="D92" s="49">
        <f t="shared" si="49"/>
        <v>0.57894736842105265</v>
      </c>
      <c r="E92" s="50">
        <f t="shared" si="50"/>
        <v>43.502597402597381</v>
      </c>
      <c r="F92" s="37">
        <f t="shared" si="51"/>
        <v>0.69960317460317434</v>
      </c>
      <c r="G92" s="8">
        <f t="shared" si="52"/>
        <v>2</v>
      </c>
      <c r="H92" s="8">
        <f t="shared" si="53"/>
        <v>82</v>
      </c>
      <c r="I92" s="50">
        <f t="shared" si="54"/>
        <v>82</v>
      </c>
      <c r="J92" s="50">
        <f t="shared" si="55"/>
        <v>16.900000000000002</v>
      </c>
      <c r="K92" s="50">
        <f t="shared" si="56"/>
        <v>10.75</v>
      </c>
      <c r="L92" s="50">
        <f t="shared" si="57"/>
        <v>20.5</v>
      </c>
      <c r="M92" s="37">
        <f t="shared" si="58"/>
        <v>11.03143034516234</v>
      </c>
      <c r="N92" s="37">
        <f t="shared" si="59"/>
        <v>6.5142857142857142</v>
      </c>
      <c r="O92" s="50">
        <f t="shared" si="60"/>
        <v>93.091432118896108</v>
      </c>
      <c r="P92" s="50">
        <f t="shared" si="61"/>
        <v>7</v>
      </c>
      <c r="Q92" s="8">
        <f t="shared" si="62"/>
        <v>9</v>
      </c>
      <c r="R92" s="48">
        <f t="shared" si="63"/>
        <v>4740</v>
      </c>
      <c r="S92" s="48">
        <f t="shared" si="64"/>
        <v>4029</v>
      </c>
      <c r="T92" s="48">
        <f t="shared" si="65"/>
        <v>1385.8000000000002</v>
      </c>
      <c r="U92" s="48">
        <f t="shared" si="66"/>
        <v>16976.050000000003</v>
      </c>
      <c r="V92" s="48">
        <f t="shared" si="67"/>
        <v>300000</v>
      </c>
      <c r="W92" s="48">
        <f t="shared" si="68"/>
        <v>450000</v>
      </c>
      <c r="X92" s="48">
        <f t="shared" si="69"/>
        <v>474000</v>
      </c>
      <c r="Y92" s="48">
        <f t="shared" si="70"/>
        <v>1063601.5000000002</v>
      </c>
      <c r="Z92" s="48">
        <f t="shared" si="71"/>
        <v>2287601.5</v>
      </c>
      <c r="AA92" s="37">
        <f t="shared" si="72"/>
        <v>9.512195121951221E-2</v>
      </c>
      <c r="AB92" s="49">
        <f t="shared" si="73"/>
        <v>0.34980158730158717</v>
      </c>
      <c r="AC92" s="49">
        <f t="shared" si="74"/>
        <v>0.69960317460317434</v>
      </c>
      <c r="AD92" s="50">
        <f t="shared" si="75"/>
        <v>10.064715789473683</v>
      </c>
      <c r="AE92" s="8">
        <f t="shared" si="76"/>
        <v>0</v>
      </c>
      <c r="AF92" s="51">
        <f t="shared" si="77"/>
        <v>2287601.5</v>
      </c>
      <c r="AG92" s="8">
        <f t="shared" si="79"/>
        <v>9.9999999999999997E+98</v>
      </c>
      <c r="AH92" s="8" t="str">
        <f t="shared" si="78"/>
        <v>footprint duplicate</v>
      </c>
      <c r="AI92" s="52">
        <f t="shared" si="80"/>
        <v>366666668954268.19</v>
      </c>
    </row>
    <row r="93" spans="1:35" ht="15" customHeight="1" x14ac:dyDescent="0.25">
      <c r="A93" s="8">
        <v>86</v>
      </c>
      <c r="B93" s="8">
        <f t="shared" si="81"/>
        <v>6</v>
      </c>
      <c r="C93" s="8">
        <v>6</v>
      </c>
      <c r="D93" s="49">
        <f t="shared" si="49"/>
        <v>0.60000000000000009</v>
      </c>
      <c r="E93" s="50">
        <f t="shared" si="50"/>
        <v>44.740476190476173</v>
      </c>
      <c r="F93" s="37">
        <f t="shared" si="51"/>
        <v>0.74567460317460299</v>
      </c>
      <c r="G93" s="8">
        <f t="shared" si="52"/>
        <v>2</v>
      </c>
      <c r="H93" s="8">
        <f t="shared" si="53"/>
        <v>69</v>
      </c>
      <c r="I93" s="50">
        <f t="shared" si="54"/>
        <v>69</v>
      </c>
      <c r="J93" s="50">
        <f t="shared" si="55"/>
        <v>16.900000000000002</v>
      </c>
      <c r="K93" s="50">
        <f t="shared" si="56"/>
        <v>12.899999999999999</v>
      </c>
      <c r="L93" s="50">
        <f t="shared" si="57"/>
        <v>17.25</v>
      </c>
      <c r="M93" s="37">
        <f t="shared" si="58"/>
        <v>9.8672174288264642</v>
      </c>
      <c r="N93" s="37">
        <f t="shared" si="59"/>
        <v>6.5142857142857142</v>
      </c>
      <c r="O93" s="50">
        <f t="shared" si="60"/>
        <v>90.763006286224353</v>
      </c>
      <c r="P93" s="50">
        <f t="shared" si="61"/>
        <v>8</v>
      </c>
      <c r="Q93" s="8">
        <f t="shared" si="62"/>
        <v>10</v>
      </c>
      <c r="R93" s="48">
        <f t="shared" si="63"/>
        <v>4752</v>
      </c>
      <c r="S93" s="48">
        <f t="shared" si="64"/>
        <v>4039.2</v>
      </c>
      <c r="T93" s="48">
        <f t="shared" si="65"/>
        <v>1166.1000000000001</v>
      </c>
      <c r="U93" s="48">
        <f t="shared" si="66"/>
        <v>16791.84</v>
      </c>
      <c r="V93" s="48">
        <f t="shared" si="67"/>
        <v>300000</v>
      </c>
      <c r="W93" s="48">
        <f t="shared" si="68"/>
        <v>500000</v>
      </c>
      <c r="X93" s="48">
        <f t="shared" si="69"/>
        <v>475200</v>
      </c>
      <c r="Y93" s="48">
        <f t="shared" si="70"/>
        <v>970195.20000000007</v>
      </c>
      <c r="Z93" s="48">
        <f t="shared" si="71"/>
        <v>2245395.2000000002</v>
      </c>
      <c r="AA93" s="37">
        <f t="shared" si="72"/>
        <v>0.11304347826086958</v>
      </c>
      <c r="AB93" s="49">
        <f t="shared" si="73"/>
        <v>0.3728373015873015</v>
      </c>
      <c r="AC93" s="49">
        <f t="shared" si="74"/>
        <v>0.74567460317460299</v>
      </c>
      <c r="AD93" s="50">
        <f t="shared" si="75"/>
        <v>12.373679999999997</v>
      </c>
      <c r="AE93" s="8">
        <f t="shared" si="76"/>
        <v>0</v>
      </c>
      <c r="AF93" s="51">
        <f t="shared" si="77"/>
        <v>2245395.2000000002</v>
      </c>
      <c r="AG93" s="8">
        <f t="shared" si="79"/>
        <v>9.9999999999999997E+98</v>
      </c>
      <c r="AH93" s="8" t="str">
        <f t="shared" si="78"/>
        <v>footprint duplicate</v>
      </c>
      <c r="AI93" s="52">
        <f t="shared" si="80"/>
        <v>150000002245395.13</v>
      </c>
    </row>
    <row r="94" spans="1:35" ht="15" customHeight="1" x14ac:dyDescent="0.25">
      <c r="A94" s="8">
        <v>87</v>
      </c>
      <c r="B94" s="8">
        <f t="shared" si="81"/>
        <v>6</v>
      </c>
      <c r="C94" s="8">
        <v>7</v>
      </c>
      <c r="D94" s="49">
        <f t="shared" si="49"/>
        <v>0.60000000000000009</v>
      </c>
      <c r="E94" s="50">
        <f t="shared" si="50"/>
        <v>44.919642857142833</v>
      </c>
      <c r="F94" s="37">
        <f t="shared" si="51"/>
        <v>0.7486607142857139</v>
      </c>
      <c r="G94" s="8">
        <f t="shared" si="52"/>
        <v>2</v>
      </c>
      <c r="H94" s="8">
        <f t="shared" si="53"/>
        <v>60</v>
      </c>
      <c r="I94" s="50">
        <f t="shared" si="54"/>
        <v>60</v>
      </c>
      <c r="J94" s="50">
        <f t="shared" si="55"/>
        <v>16.900000000000002</v>
      </c>
      <c r="K94" s="50">
        <f t="shared" si="56"/>
        <v>15.049999999999999</v>
      </c>
      <c r="L94" s="50">
        <f t="shared" si="57"/>
        <v>15</v>
      </c>
      <c r="M94" s="37">
        <f t="shared" si="58"/>
        <v>9.0603357574361478</v>
      </c>
      <c r="N94" s="37">
        <f t="shared" si="59"/>
        <v>6.5142857142857142</v>
      </c>
      <c r="O94" s="50">
        <f t="shared" si="60"/>
        <v>89.149242943443724</v>
      </c>
      <c r="P94" s="50">
        <f t="shared" si="61"/>
        <v>9</v>
      </c>
      <c r="Q94" s="8">
        <f t="shared" si="62"/>
        <v>11</v>
      </c>
      <c r="R94" s="48">
        <f t="shared" si="63"/>
        <v>4788</v>
      </c>
      <c r="S94" s="48">
        <f t="shared" si="64"/>
        <v>4069.7999999999997</v>
      </c>
      <c r="T94" s="48">
        <f t="shared" si="65"/>
        <v>1014.0000000000001</v>
      </c>
      <c r="U94" s="48">
        <f t="shared" si="66"/>
        <v>16781.7</v>
      </c>
      <c r="V94" s="48">
        <f t="shared" si="67"/>
        <v>300000</v>
      </c>
      <c r="W94" s="48">
        <f t="shared" si="68"/>
        <v>550000</v>
      </c>
      <c r="X94" s="48">
        <f t="shared" si="69"/>
        <v>478800</v>
      </c>
      <c r="Y94" s="48">
        <f t="shared" si="70"/>
        <v>909051</v>
      </c>
      <c r="Z94" s="48">
        <f t="shared" si="71"/>
        <v>2237851</v>
      </c>
      <c r="AA94" s="37">
        <f t="shared" si="72"/>
        <v>0.13</v>
      </c>
      <c r="AB94" s="49">
        <f t="shared" si="73"/>
        <v>0.37433035714285695</v>
      </c>
      <c r="AC94" s="49">
        <f t="shared" si="74"/>
        <v>0.7486607142857139</v>
      </c>
      <c r="AD94" s="50">
        <f t="shared" si="75"/>
        <v>12.654899999999998</v>
      </c>
      <c r="AE94" s="8">
        <f t="shared" si="76"/>
        <v>0</v>
      </c>
      <c r="AF94" s="51">
        <f t="shared" si="77"/>
        <v>2237851</v>
      </c>
      <c r="AG94" s="8">
        <f t="shared" si="79"/>
        <v>9.9999999999999997E+98</v>
      </c>
      <c r="AH94" s="8" t="str">
        <f t="shared" si="78"/>
        <v>duplicate</v>
      </c>
      <c r="AI94" s="52">
        <f t="shared" si="80"/>
        <v>2237851.019469304</v>
      </c>
    </row>
    <row r="95" spans="1:35" ht="15" customHeight="1" x14ac:dyDescent="0.25">
      <c r="A95" s="8">
        <v>88</v>
      </c>
      <c r="B95" s="8">
        <f t="shared" si="81"/>
        <v>6</v>
      </c>
      <c r="C95" s="8">
        <v>8</v>
      </c>
      <c r="D95" s="49">
        <f t="shared" si="49"/>
        <v>0.60000000000000009</v>
      </c>
      <c r="E95" s="50">
        <f t="shared" si="50"/>
        <v>45.0988095238095</v>
      </c>
      <c r="F95" s="37">
        <f t="shared" si="51"/>
        <v>0.75164682539682504</v>
      </c>
      <c r="G95" s="8">
        <f t="shared" si="52"/>
        <v>2</v>
      </c>
      <c r="H95" s="8">
        <f t="shared" si="53"/>
        <v>53</v>
      </c>
      <c r="I95" s="50">
        <f t="shared" si="54"/>
        <v>53</v>
      </c>
      <c r="J95" s="50">
        <f t="shared" si="55"/>
        <v>16.900000000000002</v>
      </c>
      <c r="K95" s="50">
        <f t="shared" si="56"/>
        <v>17.2</v>
      </c>
      <c r="L95" s="50">
        <f t="shared" si="57"/>
        <v>13.25</v>
      </c>
      <c r="M95" s="37">
        <f t="shared" si="58"/>
        <v>8.4319838763428088</v>
      </c>
      <c r="N95" s="37">
        <f t="shared" si="59"/>
        <v>6.5142857142857142</v>
      </c>
      <c r="O95" s="50">
        <f t="shared" si="60"/>
        <v>87.89253918125705</v>
      </c>
      <c r="P95" s="50">
        <f t="shared" si="61"/>
        <v>10</v>
      </c>
      <c r="Q95" s="8">
        <f t="shared" si="62"/>
        <v>12</v>
      </c>
      <c r="R95" s="48">
        <f t="shared" si="63"/>
        <v>4800</v>
      </c>
      <c r="S95" s="48">
        <f t="shared" si="64"/>
        <v>4080</v>
      </c>
      <c r="T95" s="48">
        <f t="shared" si="65"/>
        <v>895.70000000000016</v>
      </c>
      <c r="U95" s="48">
        <f t="shared" si="66"/>
        <v>16749.590000000004</v>
      </c>
      <c r="V95" s="48">
        <f t="shared" si="67"/>
        <v>300000</v>
      </c>
      <c r="W95" s="48">
        <f t="shared" si="68"/>
        <v>600000</v>
      </c>
      <c r="X95" s="48">
        <f t="shared" si="69"/>
        <v>480000</v>
      </c>
      <c r="Y95" s="48">
        <f t="shared" si="70"/>
        <v>860767.70000000019</v>
      </c>
      <c r="Z95" s="48">
        <f t="shared" si="71"/>
        <v>2240767.7000000002</v>
      </c>
      <c r="AA95" s="37">
        <f t="shared" si="72"/>
        <v>0.14716981132075474</v>
      </c>
      <c r="AB95" s="49">
        <f t="shared" si="73"/>
        <v>0.37582341269841252</v>
      </c>
      <c r="AC95" s="49">
        <f t="shared" si="74"/>
        <v>0.75164682539682504</v>
      </c>
      <c r="AD95" s="50">
        <f t="shared" si="75"/>
        <v>12.936119999999995</v>
      </c>
      <c r="AE95" s="8">
        <f t="shared" si="76"/>
        <v>0</v>
      </c>
      <c r="AF95" s="51">
        <f t="shared" si="77"/>
        <v>2240767.7000000002</v>
      </c>
      <c r="AG95" s="8">
        <f t="shared" si="79"/>
        <v>9.9999999999999997E+98</v>
      </c>
      <c r="AH95" s="8" t="str">
        <f t="shared" si="78"/>
        <v>duplicate</v>
      </c>
      <c r="AI95" s="52">
        <f t="shared" si="80"/>
        <v>2240767.7197187562</v>
      </c>
    </row>
    <row r="96" spans="1:35" ht="15" customHeight="1" x14ac:dyDescent="0.25">
      <c r="A96" s="8">
        <v>89</v>
      </c>
      <c r="B96" s="8">
        <f t="shared" si="81"/>
        <v>6</v>
      </c>
      <c r="C96" s="8">
        <v>9</v>
      </c>
      <c r="D96" s="49">
        <f t="shared" si="49"/>
        <v>0.6</v>
      </c>
      <c r="E96" s="50">
        <f t="shared" si="50"/>
        <v>45.277976190476181</v>
      </c>
      <c r="F96" s="37">
        <f t="shared" si="51"/>
        <v>0.75463293650793628</v>
      </c>
      <c r="G96" s="8">
        <f t="shared" si="52"/>
        <v>2</v>
      </c>
      <c r="H96" s="8">
        <f t="shared" si="53"/>
        <v>47</v>
      </c>
      <c r="I96" s="50">
        <f t="shared" si="54"/>
        <v>47</v>
      </c>
      <c r="J96" s="50">
        <f t="shared" si="55"/>
        <v>16.900000000000002</v>
      </c>
      <c r="K96" s="50">
        <f t="shared" si="56"/>
        <v>19.349999999999998</v>
      </c>
      <c r="L96" s="50">
        <f t="shared" si="57"/>
        <v>11.75</v>
      </c>
      <c r="M96" s="37">
        <f t="shared" si="58"/>
        <v>7.8926018787938661</v>
      </c>
      <c r="N96" s="37">
        <f t="shared" si="59"/>
        <v>6.5142857142857142</v>
      </c>
      <c r="O96" s="50">
        <f t="shared" si="60"/>
        <v>86.813775186159162</v>
      </c>
      <c r="P96" s="50">
        <f t="shared" si="61"/>
        <v>11</v>
      </c>
      <c r="Q96" s="8">
        <f t="shared" si="62"/>
        <v>13</v>
      </c>
      <c r="R96" s="48">
        <f t="shared" si="63"/>
        <v>4752</v>
      </c>
      <c r="S96" s="48">
        <f t="shared" si="64"/>
        <v>4039.2</v>
      </c>
      <c r="T96" s="48">
        <f t="shared" si="65"/>
        <v>794.30000000000007</v>
      </c>
      <c r="U96" s="48">
        <f t="shared" si="66"/>
        <v>16561.154999999999</v>
      </c>
      <c r="V96" s="48">
        <f t="shared" si="67"/>
        <v>300000</v>
      </c>
      <c r="W96" s="48">
        <f t="shared" si="68"/>
        <v>650000</v>
      </c>
      <c r="X96" s="48">
        <f t="shared" si="69"/>
        <v>475200</v>
      </c>
      <c r="Y96" s="48">
        <f t="shared" si="70"/>
        <v>814554.64999999991</v>
      </c>
      <c r="Z96" s="48">
        <f t="shared" si="71"/>
        <v>2239754.65</v>
      </c>
      <c r="AA96" s="37">
        <f t="shared" si="72"/>
        <v>0.16595744680851066</v>
      </c>
      <c r="AB96" s="49">
        <f t="shared" si="73"/>
        <v>0.37731646825396814</v>
      </c>
      <c r="AC96" s="49">
        <f t="shared" si="74"/>
        <v>0.75463293650793628</v>
      </c>
      <c r="AD96" s="50">
        <f t="shared" si="75"/>
        <v>13.217339999999998</v>
      </c>
      <c r="AE96" s="8">
        <f t="shared" si="76"/>
        <v>0</v>
      </c>
      <c r="AF96" s="51">
        <f t="shared" si="77"/>
        <v>2239754.65</v>
      </c>
      <c r="AG96" s="8">
        <f t="shared" si="79"/>
        <v>9.9999999999999997E+98</v>
      </c>
      <c r="AH96" s="8" t="str">
        <f t="shared" si="78"/>
        <v>duplicate</v>
      </c>
      <c r="AI96" s="52">
        <f t="shared" si="80"/>
        <v>2239754.6699338164</v>
      </c>
    </row>
    <row r="97" spans="1:35" ht="15" customHeight="1" x14ac:dyDescent="0.25">
      <c r="A97" s="8">
        <v>90</v>
      </c>
      <c r="B97" s="8">
        <f t="shared" si="81"/>
        <v>6</v>
      </c>
      <c r="C97" s="8">
        <v>10</v>
      </c>
      <c r="D97" s="49">
        <f t="shared" si="49"/>
        <v>0.60000000000000009</v>
      </c>
      <c r="E97" s="50">
        <f t="shared" si="50"/>
        <v>45.457142857142834</v>
      </c>
      <c r="F97" s="37">
        <f t="shared" si="51"/>
        <v>0.7576190476190473</v>
      </c>
      <c r="G97" s="8">
        <f t="shared" si="52"/>
        <v>2</v>
      </c>
      <c r="H97" s="8">
        <f t="shared" si="53"/>
        <v>43</v>
      </c>
      <c r="I97" s="50">
        <f t="shared" si="54"/>
        <v>43</v>
      </c>
      <c r="J97" s="50">
        <f t="shared" si="55"/>
        <v>16.900000000000002</v>
      </c>
      <c r="K97" s="50">
        <f t="shared" si="56"/>
        <v>21.5</v>
      </c>
      <c r="L97" s="50">
        <f t="shared" si="57"/>
        <v>10.75</v>
      </c>
      <c r="M97" s="37">
        <f t="shared" si="58"/>
        <v>7.5324452429341591</v>
      </c>
      <c r="N97" s="37">
        <f t="shared" si="59"/>
        <v>6.5142857142857142</v>
      </c>
      <c r="O97" s="50">
        <f t="shared" si="60"/>
        <v>86.093461914439743</v>
      </c>
      <c r="P97" s="50">
        <f t="shared" si="61"/>
        <v>12</v>
      </c>
      <c r="Q97" s="8">
        <f t="shared" si="62"/>
        <v>14</v>
      </c>
      <c r="R97" s="48">
        <f t="shared" si="63"/>
        <v>4800</v>
      </c>
      <c r="S97" s="48">
        <f t="shared" si="64"/>
        <v>4080</v>
      </c>
      <c r="T97" s="48">
        <f t="shared" si="65"/>
        <v>726.7</v>
      </c>
      <c r="U97" s="48">
        <f t="shared" si="66"/>
        <v>16714.100000000002</v>
      </c>
      <c r="V97" s="48">
        <f t="shared" si="67"/>
        <v>300000</v>
      </c>
      <c r="W97" s="48">
        <f t="shared" si="68"/>
        <v>700000</v>
      </c>
      <c r="X97" s="48">
        <f t="shared" si="69"/>
        <v>480000</v>
      </c>
      <c r="Y97" s="48">
        <f t="shared" si="70"/>
        <v>792103</v>
      </c>
      <c r="Z97" s="48">
        <f t="shared" si="71"/>
        <v>2272103</v>
      </c>
      <c r="AA97" s="37">
        <f t="shared" si="72"/>
        <v>0.18139534883720931</v>
      </c>
      <c r="AB97" s="49">
        <f t="shared" si="73"/>
        <v>0.37880952380952365</v>
      </c>
      <c r="AC97" s="49">
        <f t="shared" si="74"/>
        <v>0.7576190476190473</v>
      </c>
      <c r="AD97" s="50">
        <f t="shared" si="75"/>
        <v>13.498559999999996</v>
      </c>
      <c r="AE97" s="8">
        <f t="shared" si="76"/>
        <v>0</v>
      </c>
      <c r="AF97" s="51">
        <f t="shared" si="77"/>
        <v>2272103</v>
      </c>
      <c r="AG97" s="8">
        <f t="shared" si="79"/>
        <v>9.9999999999999997E+98</v>
      </c>
      <c r="AH97" s="8" t="str">
        <f t="shared" si="78"/>
        <v>height duplicate</v>
      </c>
      <c r="AI97" s="52">
        <f t="shared" si="80"/>
        <v>75000002272102.969</v>
      </c>
    </row>
    <row r="98" spans="1:35" ht="15" customHeight="1" x14ac:dyDescent="0.25">
      <c r="A98" s="8">
        <v>91</v>
      </c>
      <c r="B98" s="8">
        <f t="shared" si="81"/>
        <v>6</v>
      </c>
      <c r="C98" s="8">
        <v>11</v>
      </c>
      <c r="D98" s="49">
        <f t="shared" si="49"/>
        <v>0.6</v>
      </c>
      <c r="E98" s="50">
        <f t="shared" si="50"/>
        <v>45.636309523809516</v>
      </c>
      <c r="F98" s="37">
        <f t="shared" si="51"/>
        <v>0.76060515873015866</v>
      </c>
      <c r="G98" s="8">
        <f t="shared" si="52"/>
        <v>2</v>
      </c>
      <c r="H98" s="8">
        <f t="shared" si="53"/>
        <v>39</v>
      </c>
      <c r="I98" s="50">
        <f t="shared" si="54"/>
        <v>39</v>
      </c>
      <c r="J98" s="50">
        <f t="shared" si="55"/>
        <v>16.900000000000002</v>
      </c>
      <c r="K98" s="50">
        <f t="shared" si="56"/>
        <v>23.65</v>
      </c>
      <c r="L98" s="50">
        <f t="shared" si="57"/>
        <v>9.75</v>
      </c>
      <c r="M98" s="37">
        <f t="shared" si="58"/>
        <v>7.171670396055613</v>
      </c>
      <c r="N98" s="37">
        <f t="shared" si="59"/>
        <v>6.5142857142857142</v>
      </c>
      <c r="O98" s="50">
        <f t="shared" si="60"/>
        <v>85.371912220682646</v>
      </c>
      <c r="P98" s="50">
        <f t="shared" si="61"/>
        <v>13</v>
      </c>
      <c r="Q98" s="8">
        <f t="shared" si="62"/>
        <v>15</v>
      </c>
      <c r="R98" s="48">
        <f t="shared" si="63"/>
        <v>4752</v>
      </c>
      <c r="S98" s="48">
        <f t="shared" si="64"/>
        <v>4039.2</v>
      </c>
      <c r="T98" s="48">
        <f t="shared" si="65"/>
        <v>659.10000000000014</v>
      </c>
      <c r="U98" s="48">
        <f t="shared" si="66"/>
        <v>16576.365000000002</v>
      </c>
      <c r="V98" s="48">
        <f t="shared" si="67"/>
        <v>300000</v>
      </c>
      <c r="W98" s="48">
        <f t="shared" si="68"/>
        <v>750000</v>
      </c>
      <c r="X98" s="48">
        <f t="shared" si="69"/>
        <v>475200</v>
      </c>
      <c r="Y98" s="48">
        <f t="shared" si="70"/>
        <v>760930.95000000019</v>
      </c>
      <c r="Z98" s="48">
        <f t="shared" si="71"/>
        <v>2286130.9500000002</v>
      </c>
      <c r="AA98" s="37">
        <f t="shared" si="72"/>
        <v>0.2</v>
      </c>
      <c r="AB98" s="49">
        <f t="shared" si="73"/>
        <v>0.38030257936507933</v>
      </c>
      <c r="AC98" s="49">
        <f t="shared" si="74"/>
        <v>0.76060515873015866</v>
      </c>
      <c r="AD98" s="50">
        <f t="shared" si="75"/>
        <v>13.779779999999999</v>
      </c>
      <c r="AE98" s="8">
        <f t="shared" si="76"/>
        <v>0</v>
      </c>
      <c r="AF98" s="51">
        <f t="shared" si="77"/>
        <v>2286130.9500000002</v>
      </c>
      <c r="AG98" s="8">
        <f t="shared" si="79"/>
        <v>9.9999999999999997E+98</v>
      </c>
      <c r="AH98" s="8" t="str">
        <f t="shared" si="78"/>
        <v>height duplicate</v>
      </c>
      <c r="AI98" s="52">
        <f t="shared" si="80"/>
        <v>182500002286130.84</v>
      </c>
    </row>
    <row r="99" spans="1:35" ht="15" customHeight="1" x14ac:dyDescent="0.25">
      <c r="A99" s="8">
        <v>92</v>
      </c>
      <c r="B99" s="8">
        <f t="shared" si="81"/>
        <v>6</v>
      </c>
      <c r="C99" s="8">
        <v>12</v>
      </c>
      <c r="D99" s="49">
        <f t="shared" si="49"/>
        <v>0.6</v>
      </c>
      <c r="E99" s="50">
        <f t="shared" si="50"/>
        <v>45.815476190476183</v>
      </c>
      <c r="F99" s="37">
        <f t="shared" si="51"/>
        <v>0.76359126984126979</v>
      </c>
      <c r="G99" s="8">
        <f t="shared" si="52"/>
        <v>2</v>
      </c>
      <c r="H99" s="8">
        <f t="shared" si="53"/>
        <v>36</v>
      </c>
      <c r="I99" s="50">
        <f t="shared" si="54"/>
        <v>36</v>
      </c>
      <c r="J99" s="50">
        <f t="shared" si="55"/>
        <v>16.900000000000002</v>
      </c>
      <c r="K99" s="50">
        <f t="shared" si="56"/>
        <v>25.799999999999997</v>
      </c>
      <c r="L99" s="50">
        <f t="shared" si="57"/>
        <v>9</v>
      </c>
      <c r="M99" s="37">
        <f t="shared" si="58"/>
        <v>6.9005595957269135</v>
      </c>
      <c r="N99" s="37">
        <f t="shared" si="59"/>
        <v>6.5142857142857142</v>
      </c>
      <c r="O99" s="50">
        <f t="shared" si="60"/>
        <v>84.829690620025247</v>
      </c>
      <c r="P99" s="50">
        <f t="shared" si="61"/>
        <v>14</v>
      </c>
      <c r="Q99" s="8">
        <f t="shared" si="62"/>
        <v>16</v>
      </c>
      <c r="R99" s="48">
        <f t="shared" si="63"/>
        <v>4752</v>
      </c>
      <c r="S99" s="48">
        <f t="shared" si="64"/>
        <v>4039.2</v>
      </c>
      <c r="T99" s="48">
        <f t="shared" si="65"/>
        <v>608.40000000000009</v>
      </c>
      <c r="U99" s="48">
        <f t="shared" si="66"/>
        <v>16609.32</v>
      </c>
      <c r="V99" s="48">
        <f t="shared" si="67"/>
        <v>300000</v>
      </c>
      <c r="W99" s="48">
        <f t="shared" si="68"/>
        <v>800000</v>
      </c>
      <c r="X99" s="48">
        <f t="shared" si="69"/>
        <v>475200</v>
      </c>
      <c r="Y99" s="48">
        <f t="shared" si="70"/>
        <v>741639.6</v>
      </c>
      <c r="Z99" s="48">
        <f t="shared" si="71"/>
        <v>2316839.6</v>
      </c>
      <c r="AA99" s="37">
        <f t="shared" si="72"/>
        <v>0.21666666666666667</v>
      </c>
      <c r="AB99" s="49">
        <f t="shared" si="73"/>
        <v>0.3817956349206349</v>
      </c>
      <c r="AC99" s="49">
        <f t="shared" si="74"/>
        <v>0.76359126984126979</v>
      </c>
      <c r="AD99" s="50">
        <f t="shared" si="75"/>
        <v>14.060999999999998</v>
      </c>
      <c r="AE99" s="8">
        <f t="shared" si="76"/>
        <v>0</v>
      </c>
      <c r="AF99" s="51">
        <f t="shared" si="77"/>
        <v>2316839.6</v>
      </c>
      <c r="AG99" s="8">
        <f t="shared" si="79"/>
        <v>9.9999999999999997E+98</v>
      </c>
      <c r="AH99" s="8" t="str">
        <f t="shared" si="78"/>
        <v>height duplicate</v>
      </c>
      <c r="AI99" s="52">
        <f t="shared" si="80"/>
        <v>290000002316839.44</v>
      </c>
    </row>
    <row r="100" spans="1:35" ht="15" customHeight="1" x14ac:dyDescent="0.25">
      <c r="A100" s="8">
        <v>93</v>
      </c>
      <c r="B100" s="8">
        <f t="shared" si="81"/>
        <v>6</v>
      </c>
      <c r="C100" s="8">
        <v>13</v>
      </c>
      <c r="D100" s="49">
        <f t="shared" si="49"/>
        <v>0.6</v>
      </c>
      <c r="E100" s="50">
        <f t="shared" si="50"/>
        <v>45.99464285714285</v>
      </c>
      <c r="F100" s="37">
        <f t="shared" si="51"/>
        <v>0.76657738095238082</v>
      </c>
      <c r="G100" s="8">
        <f t="shared" si="52"/>
        <v>2</v>
      </c>
      <c r="H100" s="8">
        <f t="shared" si="53"/>
        <v>34</v>
      </c>
      <c r="I100" s="50">
        <f t="shared" si="54"/>
        <v>34</v>
      </c>
      <c r="J100" s="50">
        <f t="shared" si="55"/>
        <v>16.900000000000002</v>
      </c>
      <c r="K100" s="50">
        <f t="shared" si="56"/>
        <v>27.95</v>
      </c>
      <c r="L100" s="50">
        <f t="shared" si="57"/>
        <v>8.5</v>
      </c>
      <c r="M100" s="37">
        <f t="shared" si="58"/>
        <v>6.7195000761478241</v>
      </c>
      <c r="N100" s="37">
        <f t="shared" si="59"/>
        <v>6.5142857142857142</v>
      </c>
      <c r="O100" s="50">
        <f t="shared" si="60"/>
        <v>84.467571580867073</v>
      </c>
      <c r="P100" s="50">
        <f t="shared" si="61"/>
        <v>15</v>
      </c>
      <c r="Q100" s="8">
        <f t="shared" si="62"/>
        <v>17</v>
      </c>
      <c r="R100" s="48">
        <f t="shared" si="63"/>
        <v>4836</v>
      </c>
      <c r="S100" s="48">
        <f t="shared" si="64"/>
        <v>4110.5999999999995</v>
      </c>
      <c r="T100" s="48">
        <f t="shared" si="65"/>
        <v>574.6</v>
      </c>
      <c r="U100" s="48">
        <f t="shared" si="66"/>
        <v>16921.97</v>
      </c>
      <c r="V100" s="48">
        <f t="shared" si="67"/>
        <v>300000</v>
      </c>
      <c r="W100" s="48">
        <f t="shared" si="68"/>
        <v>850000</v>
      </c>
      <c r="X100" s="48">
        <f t="shared" si="69"/>
        <v>483600</v>
      </c>
      <c r="Y100" s="48">
        <f t="shared" si="70"/>
        <v>737499.10000000009</v>
      </c>
      <c r="Z100" s="48">
        <f t="shared" si="71"/>
        <v>2371099.1</v>
      </c>
      <c r="AA100" s="37">
        <f t="shared" si="72"/>
        <v>0.22941176470588237</v>
      </c>
      <c r="AB100" s="49">
        <f t="shared" si="73"/>
        <v>0.38328869047619041</v>
      </c>
      <c r="AC100" s="49">
        <f t="shared" si="74"/>
        <v>0.76657738095238082</v>
      </c>
      <c r="AD100" s="50">
        <f t="shared" si="75"/>
        <v>14.342219999999999</v>
      </c>
      <c r="AE100" s="8">
        <f t="shared" si="76"/>
        <v>0</v>
      </c>
      <c r="AF100" s="51">
        <f t="shared" si="77"/>
        <v>2371099.1</v>
      </c>
      <c r="AG100" s="8">
        <f t="shared" si="79"/>
        <v>9.9999999999999997E+98</v>
      </c>
      <c r="AH100" s="8" t="str">
        <f t="shared" si="78"/>
        <v>height duplicate</v>
      </c>
      <c r="AI100" s="52">
        <f t="shared" si="80"/>
        <v>397500002371099.06</v>
      </c>
    </row>
    <row r="101" spans="1:35" ht="15" customHeight="1" x14ac:dyDescent="0.25">
      <c r="A101" s="8">
        <v>94</v>
      </c>
      <c r="B101" s="8">
        <f t="shared" si="81"/>
        <v>6</v>
      </c>
      <c r="C101" s="8">
        <v>14</v>
      </c>
      <c r="D101" s="49">
        <f t="shared" si="49"/>
        <v>0.6</v>
      </c>
      <c r="E101" s="50">
        <f t="shared" si="50"/>
        <v>46.173809523809517</v>
      </c>
      <c r="F101" s="37">
        <f t="shared" si="51"/>
        <v>0.76956349206349195</v>
      </c>
      <c r="G101" s="8">
        <f t="shared" si="52"/>
        <v>2</v>
      </c>
      <c r="H101" s="8">
        <f t="shared" si="53"/>
        <v>32</v>
      </c>
      <c r="I101" s="50">
        <f t="shared" si="54"/>
        <v>32</v>
      </c>
      <c r="J101" s="50">
        <f t="shared" si="55"/>
        <v>16.900000000000002</v>
      </c>
      <c r="K101" s="50">
        <f t="shared" si="56"/>
        <v>30.099999999999998</v>
      </c>
      <c r="L101" s="50">
        <f t="shared" si="57"/>
        <v>8</v>
      </c>
      <c r="M101" s="37">
        <f t="shared" si="58"/>
        <v>6.5381295451927768</v>
      </c>
      <c r="N101" s="37">
        <f t="shared" si="59"/>
        <v>6.5142857142857142</v>
      </c>
      <c r="O101" s="50">
        <f t="shared" si="60"/>
        <v>84.104830518956973</v>
      </c>
      <c r="P101" s="50">
        <f t="shared" si="61"/>
        <v>16</v>
      </c>
      <c r="Q101" s="8">
        <f t="shared" si="62"/>
        <v>18</v>
      </c>
      <c r="R101" s="48">
        <f t="shared" si="63"/>
        <v>4872</v>
      </c>
      <c r="S101" s="48">
        <f t="shared" si="64"/>
        <v>4141.2</v>
      </c>
      <c r="T101" s="48">
        <f t="shared" si="65"/>
        <v>540.80000000000007</v>
      </c>
      <c r="U101" s="48">
        <f t="shared" si="66"/>
        <v>17089.280000000002</v>
      </c>
      <c r="V101" s="48">
        <f t="shared" si="67"/>
        <v>300000</v>
      </c>
      <c r="W101" s="48">
        <f t="shared" si="68"/>
        <v>900000</v>
      </c>
      <c r="X101" s="48">
        <f t="shared" si="69"/>
        <v>487200</v>
      </c>
      <c r="Y101" s="48">
        <f t="shared" si="70"/>
        <v>728998.40000000014</v>
      </c>
      <c r="Z101" s="48">
        <f t="shared" si="71"/>
        <v>2416198.4000000004</v>
      </c>
      <c r="AA101" s="37">
        <f t="shared" si="72"/>
        <v>0.24375000000000002</v>
      </c>
      <c r="AB101" s="49">
        <f t="shared" si="73"/>
        <v>0.38478174603174597</v>
      </c>
      <c r="AC101" s="49">
        <f t="shared" si="74"/>
        <v>0.76956349206349195</v>
      </c>
      <c r="AD101" s="50">
        <f t="shared" si="75"/>
        <v>14.623439999999999</v>
      </c>
      <c r="AE101" s="8">
        <f t="shared" si="76"/>
        <v>0</v>
      </c>
      <c r="AF101" s="51">
        <f t="shared" si="77"/>
        <v>2416198.4000000004</v>
      </c>
      <c r="AG101" s="8">
        <f t="shared" si="79"/>
        <v>9.9999999999999997E+98</v>
      </c>
      <c r="AH101" s="8" t="str">
        <f t="shared" si="78"/>
        <v>height duplicate</v>
      </c>
      <c r="AI101" s="52">
        <f t="shared" si="80"/>
        <v>505000002416198.31</v>
      </c>
    </row>
    <row r="102" spans="1:35" ht="15" customHeight="1" x14ac:dyDescent="0.25">
      <c r="A102" s="8">
        <v>95</v>
      </c>
      <c r="B102" s="8">
        <f t="shared" si="81"/>
        <v>6</v>
      </c>
      <c r="C102" s="8">
        <v>15</v>
      </c>
      <c r="D102" s="49">
        <f t="shared" si="49"/>
        <v>0.60000000000000009</v>
      </c>
      <c r="E102" s="50">
        <f t="shared" si="50"/>
        <v>46.352976190476163</v>
      </c>
      <c r="F102" s="37">
        <f t="shared" si="51"/>
        <v>0.77254960317460286</v>
      </c>
      <c r="G102" s="8">
        <f t="shared" si="52"/>
        <v>2</v>
      </c>
      <c r="H102" s="8">
        <f t="shared" si="53"/>
        <v>30</v>
      </c>
      <c r="I102" s="50">
        <f t="shared" si="54"/>
        <v>30</v>
      </c>
      <c r="J102" s="50">
        <f t="shared" si="55"/>
        <v>16.900000000000002</v>
      </c>
      <c r="K102" s="50">
        <f t="shared" si="56"/>
        <v>32.25</v>
      </c>
      <c r="L102" s="50">
        <f t="shared" si="57"/>
        <v>7.5</v>
      </c>
      <c r="M102" s="37">
        <f t="shared" si="58"/>
        <v>6.3563858005865805</v>
      </c>
      <c r="N102" s="37">
        <f t="shared" si="59"/>
        <v>6.5142857142857142</v>
      </c>
      <c r="O102" s="50">
        <f t="shared" si="60"/>
        <v>83.741343029744584</v>
      </c>
      <c r="P102" s="50">
        <f t="shared" si="61"/>
        <v>17</v>
      </c>
      <c r="Q102" s="8">
        <f t="shared" si="62"/>
        <v>19</v>
      </c>
      <c r="R102" s="48">
        <f t="shared" si="63"/>
        <v>4860</v>
      </c>
      <c r="S102" s="48">
        <f t="shared" si="64"/>
        <v>4131</v>
      </c>
      <c r="T102" s="48">
        <f t="shared" si="65"/>
        <v>507.00000000000006</v>
      </c>
      <c r="U102" s="48">
        <f t="shared" si="66"/>
        <v>17111.250000000004</v>
      </c>
      <c r="V102" s="48">
        <f t="shared" si="67"/>
        <v>300000</v>
      </c>
      <c r="W102" s="48">
        <f t="shared" si="68"/>
        <v>950000</v>
      </c>
      <c r="X102" s="48">
        <f t="shared" si="69"/>
        <v>486000</v>
      </c>
      <c r="Y102" s="48">
        <f t="shared" si="70"/>
        <v>716137.50000000012</v>
      </c>
      <c r="Z102" s="48">
        <f t="shared" si="71"/>
        <v>2452137.5</v>
      </c>
      <c r="AA102" s="37">
        <f t="shared" si="72"/>
        <v>0.26</v>
      </c>
      <c r="AB102" s="49">
        <f t="shared" si="73"/>
        <v>0.38627480158730143</v>
      </c>
      <c r="AC102" s="49">
        <f t="shared" si="74"/>
        <v>0.77254960317460286</v>
      </c>
      <c r="AD102" s="50">
        <f t="shared" si="75"/>
        <v>14.904659999999998</v>
      </c>
      <c r="AE102" s="8">
        <f t="shared" si="76"/>
        <v>0</v>
      </c>
      <c r="AF102" s="51">
        <f t="shared" si="77"/>
        <v>2452137.5</v>
      </c>
      <c r="AG102" s="8">
        <f t="shared" si="79"/>
        <v>9.9999999999999997E+98</v>
      </c>
      <c r="AH102" s="8" t="str">
        <f t="shared" si="78"/>
        <v>height duplicate</v>
      </c>
      <c r="AI102" s="52">
        <f t="shared" si="80"/>
        <v>612500002452137.5</v>
      </c>
    </row>
    <row r="103" spans="1:35" ht="15" customHeight="1" x14ac:dyDescent="0.25">
      <c r="A103" s="8">
        <v>96</v>
      </c>
      <c r="B103" s="8">
        <f t="shared" si="81"/>
        <v>6</v>
      </c>
      <c r="C103" s="8">
        <v>16</v>
      </c>
      <c r="D103" s="49">
        <f t="shared" si="49"/>
        <v>0.59999999999999987</v>
      </c>
      <c r="E103" s="50">
        <f t="shared" si="50"/>
        <v>46.532142857142851</v>
      </c>
      <c r="F103" s="37">
        <f t="shared" si="51"/>
        <v>0.775535714285714</v>
      </c>
      <c r="G103" s="8">
        <f t="shared" si="52"/>
        <v>2</v>
      </c>
      <c r="H103" s="8">
        <f t="shared" si="53"/>
        <v>28</v>
      </c>
      <c r="I103" s="50">
        <f t="shared" si="54"/>
        <v>28</v>
      </c>
      <c r="J103" s="50">
        <f t="shared" si="55"/>
        <v>16.900000000000002</v>
      </c>
      <c r="K103" s="50">
        <f t="shared" si="56"/>
        <v>34.4</v>
      </c>
      <c r="L103" s="50">
        <f t="shared" si="57"/>
        <v>7</v>
      </c>
      <c r="M103" s="37">
        <f t="shared" si="58"/>
        <v>6.1741888679754187</v>
      </c>
      <c r="N103" s="37">
        <f t="shared" si="59"/>
        <v>6.5142857142857142</v>
      </c>
      <c r="O103" s="50">
        <f t="shared" si="60"/>
        <v>83.376949164522259</v>
      </c>
      <c r="P103" s="50">
        <f t="shared" si="61"/>
        <v>18</v>
      </c>
      <c r="Q103" s="8">
        <f t="shared" si="62"/>
        <v>20</v>
      </c>
      <c r="R103" s="48">
        <f t="shared" si="63"/>
        <v>4800</v>
      </c>
      <c r="S103" s="48">
        <f t="shared" si="64"/>
        <v>4080</v>
      </c>
      <c r="T103" s="48">
        <f t="shared" si="65"/>
        <v>473.20000000000005</v>
      </c>
      <c r="U103" s="48">
        <f t="shared" si="66"/>
        <v>16987.88</v>
      </c>
      <c r="V103" s="48">
        <f t="shared" si="67"/>
        <v>300000</v>
      </c>
      <c r="W103" s="48">
        <f t="shared" si="68"/>
        <v>1000000</v>
      </c>
      <c r="X103" s="48">
        <f t="shared" si="69"/>
        <v>480000</v>
      </c>
      <c r="Y103" s="48">
        <f t="shared" si="70"/>
        <v>698916.4</v>
      </c>
      <c r="Z103" s="48">
        <f t="shared" si="71"/>
        <v>2478916.4</v>
      </c>
      <c r="AA103" s="37">
        <f t="shared" si="72"/>
        <v>0.27857142857142858</v>
      </c>
      <c r="AB103" s="49">
        <f t="shared" si="73"/>
        <v>0.387767857142857</v>
      </c>
      <c r="AC103" s="49">
        <f t="shared" si="74"/>
        <v>0.775535714285714</v>
      </c>
      <c r="AD103" s="50">
        <f t="shared" si="75"/>
        <v>15.185879999999999</v>
      </c>
      <c r="AE103" s="8">
        <f t="shared" si="76"/>
        <v>0</v>
      </c>
      <c r="AF103" s="51">
        <f t="shared" si="77"/>
        <v>2478916.4</v>
      </c>
      <c r="AG103" s="8">
        <f t="shared" si="79"/>
        <v>9.9999999999999997E+98</v>
      </c>
      <c r="AH103" s="8" t="str">
        <f t="shared" si="78"/>
        <v>height duplicate</v>
      </c>
      <c r="AI103" s="52">
        <f t="shared" si="80"/>
        <v>720000002478916.38</v>
      </c>
    </row>
    <row r="104" spans="1:35" ht="15" customHeight="1" x14ac:dyDescent="0.25">
      <c r="A104" s="8">
        <v>97</v>
      </c>
      <c r="B104" s="8">
        <f t="shared" si="81"/>
        <v>6</v>
      </c>
      <c r="C104" s="8">
        <v>17</v>
      </c>
      <c r="D104" s="49">
        <f t="shared" si="49"/>
        <v>0.6</v>
      </c>
      <c r="E104" s="50">
        <f t="shared" si="50"/>
        <v>46.711309523809518</v>
      </c>
      <c r="F104" s="37">
        <f t="shared" si="51"/>
        <v>0.77852182539682535</v>
      </c>
      <c r="G104" s="8">
        <f t="shared" si="52"/>
        <v>2</v>
      </c>
      <c r="H104" s="8">
        <f t="shared" si="53"/>
        <v>27</v>
      </c>
      <c r="I104" s="50">
        <f t="shared" si="54"/>
        <v>27</v>
      </c>
      <c r="J104" s="50">
        <f t="shared" si="55"/>
        <v>16.900000000000002</v>
      </c>
      <c r="K104" s="50">
        <f t="shared" si="56"/>
        <v>36.549999999999997</v>
      </c>
      <c r="L104" s="50">
        <f t="shared" si="57"/>
        <v>6.75</v>
      </c>
      <c r="M104" s="37">
        <f t="shared" si="58"/>
        <v>6.0828889847787408</v>
      </c>
      <c r="N104" s="37">
        <f t="shared" si="59"/>
        <v>6.5142857142857142</v>
      </c>
      <c r="O104" s="50">
        <f t="shared" si="60"/>
        <v>83.194349398128907</v>
      </c>
      <c r="P104" s="50">
        <f t="shared" si="61"/>
        <v>19</v>
      </c>
      <c r="Q104" s="8">
        <f t="shared" si="62"/>
        <v>21</v>
      </c>
      <c r="R104" s="48">
        <f t="shared" si="63"/>
        <v>4896</v>
      </c>
      <c r="S104" s="48">
        <f t="shared" si="64"/>
        <v>4161.5999999999995</v>
      </c>
      <c r="T104" s="48">
        <f t="shared" si="65"/>
        <v>456.30000000000007</v>
      </c>
      <c r="U104" s="48">
        <f t="shared" si="66"/>
        <v>17362.215</v>
      </c>
      <c r="V104" s="48">
        <f t="shared" si="67"/>
        <v>300000</v>
      </c>
      <c r="W104" s="48">
        <f t="shared" si="68"/>
        <v>1050000</v>
      </c>
      <c r="X104" s="48">
        <f t="shared" si="69"/>
        <v>489600</v>
      </c>
      <c r="Y104" s="48">
        <f t="shared" si="70"/>
        <v>703386.45000000007</v>
      </c>
      <c r="Z104" s="48">
        <f t="shared" si="71"/>
        <v>2542986.4500000002</v>
      </c>
      <c r="AA104" s="37">
        <f t="shared" si="72"/>
        <v>0.28888888888888892</v>
      </c>
      <c r="AB104" s="49">
        <f t="shared" si="73"/>
        <v>0.38926091269841268</v>
      </c>
      <c r="AC104" s="49">
        <f t="shared" si="74"/>
        <v>0.77852182539682535</v>
      </c>
      <c r="AD104" s="50">
        <f t="shared" si="75"/>
        <v>15.4671</v>
      </c>
      <c r="AE104" s="8">
        <f t="shared" si="76"/>
        <v>0</v>
      </c>
      <c r="AF104" s="51">
        <f t="shared" si="77"/>
        <v>2542986.4500000002</v>
      </c>
      <c r="AG104" s="8">
        <f t="shared" si="79"/>
        <v>9.9999999999999997E+98</v>
      </c>
      <c r="AH104" s="8" t="str">
        <f t="shared" si="78"/>
        <v>height duplicate</v>
      </c>
      <c r="AI104" s="52">
        <f t="shared" si="80"/>
        <v>827500002542986.38</v>
      </c>
    </row>
    <row r="105" spans="1:35" ht="15" customHeight="1" x14ac:dyDescent="0.25">
      <c r="A105" s="8">
        <v>98</v>
      </c>
      <c r="B105" s="8">
        <f t="shared" si="81"/>
        <v>6</v>
      </c>
      <c r="C105" s="8">
        <v>18</v>
      </c>
      <c r="D105" s="49">
        <f t="shared" si="49"/>
        <v>0.6</v>
      </c>
      <c r="E105" s="50">
        <f t="shared" si="50"/>
        <v>46.890476190476186</v>
      </c>
      <c r="F105" s="37">
        <f t="shared" si="51"/>
        <v>0.78150793650793637</v>
      </c>
      <c r="G105" s="8">
        <f t="shared" si="52"/>
        <v>2</v>
      </c>
      <c r="H105" s="8">
        <f t="shared" si="53"/>
        <v>25</v>
      </c>
      <c r="I105" s="50">
        <f t="shared" si="54"/>
        <v>25</v>
      </c>
      <c r="J105" s="50">
        <f t="shared" si="55"/>
        <v>16.900000000000002</v>
      </c>
      <c r="K105" s="50">
        <f t="shared" si="56"/>
        <v>38.699999999999996</v>
      </c>
      <c r="L105" s="50">
        <f t="shared" si="57"/>
        <v>6.25</v>
      </c>
      <c r="M105" s="37">
        <f t="shared" si="58"/>
        <v>5.8998058178467536</v>
      </c>
      <c r="N105" s="37">
        <f t="shared" si="59"/>
        <v>6.5142857142857142</v>
      </c>
      <c r="O105" s="50">
        <f t="shared" si="60"/>
        <v>82.828183064264934</v>
      </c>
      <c r="P105" s="50">
        <f t="shared" si="61"/>
        <v>20</v>
      </c>
      <c r="Q105" s="8">
        <f t="shared" si="62"/>
        <v>22</v>
      </c>
      <c r="R105" s="48">
        <f t="shared" si="63"/>
        <v>4752</v>
      </c>
      <c r="S105" s="48">
        <f t="shared" si="64"/>
        <v>4039.2</v>
      </c>
      <c r="T105" s="48">
        <f t="shared" si="65"/>
        <v>422.50000000000006</v>
      </c>
      <c r="U105" s="48">
        <f t="shared" si="66"/>
        <v>16984.5</v>
      </c>
      <c r="V105" s="48">
        <f t="shared" si="67"/>
        <v>300000</v>
      </c>
      <c r="W105" s="48">
        <f t="shared" si="68"/>
        <v>1100000</v>
      </c>
      <c r="X105" s="48">
        <f t="shared" si="69"/>
        <v>475200</v>
      </c>
      <c r="Y105" s="48">
        <f t="shared" si="70"/>
        <v>678535</v>
      </c>
      <c r="Z105" s="48">
        <f t="shared" si="71"/>
        <v>2553735</v>
      </c>
      <c r="AA105" s="37">
        <f t="shared" si="72"/>
        <v>0.31200000000000006</v>
      </c>
      <c r="AB105" s="49">
        <f t="shared" si="73"/>
        <v>0.39075396825396819</v>
      </c>
      <c r="AC105" s="49">
        <f t="shared" si="74"/>
        <v>0.78150793650793637</v>
      </c>
      <c r="AD105" s="50">
        <f t="shared" si="75"/>
        <v>15.748319999999998</v>
      </c>
      <c r="AE105" s="8">
        <f t="shared" si="76"/>
        <v>0</v>
      </c>
      <c r="AF105" s="51">
        <f t="shared" si="77"/>
        <v>2553735</v>
      </c>
      <c r="AG105" s="8">
        <f t="shared" si="79"/>
        <v>9.9999999999999997E+98</v>
      </c>
      <c r="AH105" s="8" t="str">
        <f t="shared" si="78"/>
        <v>height duplicate</v>
      </c>
      <c r="AI105" s="52">
        <f t="shared" si="80"/>
        <v>935000002553734.88</v>
      </c>
    </row>
    <row r="106" spans="1:35" ht="15" customHeight="1" x14ac:dyDescent="0.25">
      <c r="A106" s="8">
        <v>99</v>
      </c>
      <c r="B106" s="8">
        <f t="shared" si="81"/>
        <v>6</v>
      </c>
      <c r="C106" s="8">
        <v>19</v>
      </c>
      <c r="D106" s="49">
        <f t="shared" si="49"/>
        <v>0.6</v>
      </c>
      <c r="E106" s="50">
        <f t="shared" si="50"/>
        <v>47.069642857142867</v>
      </c>
      <c r="F106" s="37">
        <f t="shared" si="51"/>
        <v>0.78449404761904773</v>
      </c>
      <c r="G106" s="8">
        <f t="shared" si="52"/>
        <v>2</v>
      </c>
      <c r="H106" s="8">
        <f t="shared" si="53"/>
        <v>24</v>
      </c>
      <c r="I106" s="50">
        <f t="shared" si="54"/>
        <v>24</v>
      </c>
      <c r="J106" s="50">
        <f t="shared" si="55"/>
        <v>16.900000000000002</v>
      </c>
      <c r="K106" s="50">
        <f t="shared" si="56"/>
        <v>40.85</v>
      </c>
      <c r="L106" s="50">
        <f t="shared" si="57"/>
        <v>6</v>
      </c>
      <c r="M106" s="37">
        <f t="shared" si="58"/>
        <v>5.8079822507332253</v>
      </c>
      <c r="N106" s="37">
        <f t="shared" si="59"/>
        <v>6.5142857142857142</v>
      </c>
      <c r="O106" s="50">
        <f t="shared" si="60"/>
        <v>82.644535930037875</v>
      </c>
      <c r="P106" s="50">
        <f t="shared" si="61"/>
        <v>21</v>
      </c>
      <c r="Q106" s="8">
        <f t="shared" si="62"/>
        <v>23</v>
      </c>
      <c r="R106" s="48">
        <f t="shared" si="63"/>
        <v>4788</v>
      </c>
      <c r="S106" s="48">
        <f t="shared" si="64"/>
        <v>4069.7999999999997</v>
      </c>
      <c r="T106" s="48">
        <f t="shared" si="65"/>
        <v>405.6</v>
      </c>
      <c r="U106" s="48">
        <f t="shared" si="66"/>
        <v>17177.16</v>
      </c>
      <c r="V106" s="48">
        <f t="shared" si="67"/>
        <v>300000</v>
      </c>
      <c r="W106" s="48">
        <f t="shared" si="68"/>
        <v>1150000</v>
      </c>
      <c r="X106" s="48">
        <f t="shared" si="69"/>
        <v>478800</v>
      </c>
      <c r="Y106" s="48">
        <f t="shared" si="70"/>
        <v>677554.8</v>
      </c>
      <c r="Z106" s="48">
        <f t="shared" si="71"/>
        <v>2606354.7999999998</v>
      </c>
      <c r="AA106" s="37">
        <f t="shared" si="72"/>
        <v>0.32500000000000001</v>
      </c>
      <c r="AB106" s="49">
        <f t="shared" si="73"/>
        <v>0.39224702380952386</v>
      </c>
      <c r="AC106" s="49">
        <f t="shared" si="74"/>
        <v>0.78449404761904773</v>
      </c>
      <c r="AD106" s="50">
        <f t="shared" si="75"/>
        <v>16.029539999999997</v>
      </c>
      <c r="AE106" s="8">
        <f t="shared" si="76"/>
        <v>0</v>
      </c>
      <c r="AF106" s="51">
        <f t="shared" si="77"/>
        <v>2606354.7999999998</v>
      </c>
      <c r="AG106" s="8">
        <f t="shared" si="79"/>
        <v>9.9999999999999997E+98</v>
      </c>
      <c r="AH106" s="8" t="str">
        <f t="shared" si="78"/>
        <v>height duplicate</v>
      </c>
      <c r="AI106" s="52">
        <f t="shared" si="80"/>
        <v>1042500002606354.9</v>
      </c>
    </row>
    <row r="107" spans="1:35" ht="15" customHeight="1" x14ac:dyDescent="0.25">
      <c r="A107" s="8">
        <v>100</v>
      </c>
      <c r="B107" s="8">
        <f t="shared" si="81"/>
        <v>6</v>
      </c>
      <c r="C107" s="8">
        <v>20</v>
      </c>
      <c r="D107" s="49">
        <f t="shared" si="49"/>
        <v>0.59999999999999987</v>
      </c>
      <c r="E107" s="50">
        <f t="shared" si="50"/>
        <v>47.248809523809541</v>
      </c>
      <c r="F107" s="37">
        <f t="shared" si="51"/>
        <v>0.78748015873015886</v>
      </c>
      <c r="G107" s="8">
        <f t="shared" si="52"/>
        <v>2</v>
      </c>
      <c r="H107" s="8">
        <f t="shared" si="53"/>
        <v>23</v>
      </c>
      <c r="I107" s="50">
        <f t="shared" si="54"/>
        <v>23</v>
      </c>
      <c r="J107" s="50">
        <f t="shared" si="55"/>
        <v>16.900000000000002</v>
      </c>
      <c r="K107" s="50">
        <f t="shared" si="56"/>
        <v>43</v>
      </c>
      <c r="L107" s="50">
        <f t="shared" si="57"/>
        <v>5.75</v>
      </c>
      <c r="M107" s="37">
        <f t="shared" si="58"/>
        <v>5.7159380007651057</v>
      </c>
      <c r="N107" s="37">
        <f t="shared" si="59"/>
        <v>6.5142857142857142</v>
      </c>
      <c r="O107" s="50">
        <f t="shared" si="60"/>
        <v>82.460447430101638</v>
      </c>
      <c r="P107" s="50">
        <f t="shared" si="61"/>
        <v>22</v>
      </c>
      <c r="Q107" s="8">
        <f t="shared" si="62"/>
        <v>24</v>
      </c>
      <c r="R107" s="48">
        <f t="shared" si="63"/>
        <v>4800</v>
      </c>
      <c r="S107" s="48">
        <f t="shared" si="64"/>
        <v>4080</v>
      </c>
      <c r="T107" s="48">
        <f t="shared" si="65"/>
        <v>388.70000000000005</v>
      </c>
      <c r="U107" s="48">
        <f t="shared" si="66"/>
        <v>17297.150000000001</v>
      </c>
      <c r="V107" s="48">
        <f t="shared" si="67"/>
        <v>300000</v>
      </c>
      <c r="W107" s="48">
        <f t="shared" si="68"/>
        <v>1200000</v>
      </c>
      <c r="X107" s="48">
        <f t="shared" si="69"/>
        <v>480000</v>
      </c>
      <c r="Y107" s="48">
        <f t="shared" si="70"/>
        <v>674394.50000000012</v>
      </c>
      <c r="Z107" s="48">
        <f t="shared" si="71"/>
        <v>2654394.5</v>
      </c>
      <c r="AA107" s="37">
        <f t="shared" si="72"/>
        <v>0.33913043478260874</v>
      </c>
      <c r="AB107" s="49">
        <f t="shared" si="73"/>
        <v>0.39374007936507943</v>
      </c>
      <c r="AC107" s="49">
        <f t="shared" si="74"/>
        <v>0.78748015873015886</v>
      </c>
      <c r="AD107" s="50">
        <f t="shared" si="75"/>
        <v>16.310760000000005</v>
      </c>
      <c r="AE107" s="8">
        <f t="shared" si="76"/>
        <v>0</v>
      </c>
      <c r="AF107" s="51">
        <f t="shared" si="77"/>
        <v>2654394.5</v>
      </c>
      <c r="AG107" s="8">
        <f t="shared" si="79"/>
        <v>9.9999999999999997E+98</v>
      </c>
      <c r="AH107" s="8" t="str">
        <f t="shared" si="78"/>
        <v>height duplicate</v>
      </c>
      <c r="AI107" s="52">
        <f t="shared" si="80"/>
        <v>1150000002654394.5</v>
      </c>
    </row>
    <row r="108" spans="1:35" ht="15" customHeight="1" x14ac:dyDescent="0.25">
      <c r="A108" s="8">
        <v>101</v>
      </c>
      <c r="B108" s="8">
        <f t="shared" ref="B108:B127" si="82">$G$3</f>
        <v>6</v>
      </c>
      <c r="C108" s="8">
        <v>1</v>
      </c>
      <c r="D108" s="49">
        <f t="shared" si="49"/>
        <v>0</v>
      </c>
      <c r="E108" s="50">
        <f t="shared" si="50"/>
        <v>0</v>
      </c>
      <c r="F108" s="37">
        <f t="shared" si="51"/>
        <v>0</v>
      </c>
      <c r="G108" s="8">
        <f t="shared" si="52"/>
        <v>0</v>
      </c>
      <c r="H108" s="8">
        <f t="shared" si="53"/>
        <v>393</v>
      </c>
      <c r="I108" s="50">
        <f t="shared" si="54"/>
        <v>393</v>
      </c>
      <c r="J108" s="50">
        <f t="shared" si="55"/>
        <v>16.900000000000002</v>
      </c>
      <c r="K108" s="50">
        <f t="shared" si="56"/>
        <v>2.15</v>
      </c>
      <c r="L108" s="50">
        <f t="shared" si="57"/>
        <v>393</v>
      </c>
      <c r="M108" s="37">
        <f t="shared" si="58"/>
        <v>144.0847456395968</v>
      </c>
      <c r="N108" s="37">
        <f t="shared" si="59"/>
        <v>6.5142857142857142</v>
      </c>
      <c r="O108" s="50">
        <f t="shared" si="60"/>
        <v>359.19806270776502</v>
      </c>
      <c r="P108" s="50">
        <f t="shared" si="61"/>
        <v>14</v>
      </c>
      <c r="Q108" s="8">
        <f t="shared" si="62"/>
        <v>16</v>
      </c>
      <c r="R108" s="48">
        <f t="shared" si="63"/>
        <v>4716</v>
      </c>
      <c r="S108" s="48">
        <f t="shared" si="64"/>
        <v>4008.6</v>
      </c>
      <c r="T108" s="48">
        <f t="shared" si="65"/>
        <v>6641.7000000000007</v>
      </c>
      <c r="U108" s="48">
        <f t="shared" si="66"/>
        <v>24242.205000000002</v>
      </c>
      <c r="V108" s="48">
        <f t="shared" si="67"/>
        <v>0</v>
      </c>
      <c r="W108" s="48">
        <f t="shared" si="68"/>
        <v>800000</v>
      </c>
      <c r="X108" s="48">
        <f t="shared" si="69"/>
        <v>471600</v>
      </c>
      <c r="Y108" s="48">
        <f t="shared" si="70"/>
        <v>3383946.1500000004</v>
      </c>
      <c r="Z108" s="48">
        <f t="shared" si="71"/>
        <v>4655546.1500000004</v>
      </c>
      <c r="AA108" s="37">
        <f t="shared" si="72"/>
        <v>1.984732824427481E-2</v>
      </c>
      <c r="AB108" s="49">
        <f t="shared" si="73"/>
        <v>0</v>
      </c>
      <c r="AC108" s="49" t="str">
        <f t="shared" si="74"/>
        <v>n/a</v>
      </c>
      <c r="AD108" s="50">
        <f t="shared" si="75"/>
        <v>0</v>
      </c>
      <c r="AE108" s="8">
        <f t="shared" si="76"/>
        <v>0</v>
      </c>
      <c r="AF108" s="51">
        <f t="shared" si="77"/>
        <v>4655546.1500000004</v>
      </c>
      <c r="AG108" s="8">
        <f t="shared" si="79"/>
        <v>9.9999999999999997E+98</v>
      </c>
      <c r="AH108" s="8" t="str">
        <f t="shared" si="78"/>
        <v>footprint lanes&gt;300 duplicate</v>
      </c>
      <c r="AI108" s="52">
        <f t="shared" si="80"/>
        <v>5860000004655545</v>
      </c>
    </row>
    <row r="109" spans="1:35" ht="15" customHeight="1" x14ac:dyDescent="0.25">
      <c r="A109" s="8">
        <v>102</v>
      </c>
      <c r="B109" s="8">
        <f t="shared" si="82"/>
        <v>6</v>
      </c>
      <c r="C109" s="8">
        <v>2</v>
      </c>
      <c r="D109" s="49">
        <f t="shared" si="49"/>
        <v>0.5</v>
      </c>
      <c r="E109" s="50">
        <f t="shared" si="50"/>
        <v>41.157142857142851</v>
      </c>
      <c r="F109" s="37">
        <f t="shared" si="51"/>
        <v>0.57162698412698409</v>
      </c>
      <c r="G109" s="8">
        <f t="shared" si="52"/>
        <v>2</v>
      </c>
      <c r="H109" s="8">
        <f t="shared" si="53"/>
        <v>200</v>
      </c>
      <c r="I109" s="50">
        <f t="shared" si="54"/>
        <v>200</v>
      </c>
      <c r="J109" s="50">
        <f t="shared" si="55"/>
        <v>16.900000000000002</v>
      </c>
      <c r="K109" s="50">
        <f t="shared" si="56"/>
        <v>4.3</v>
      </c>
      <c r="L109" s="50">
        <f t="shared" si="57"/>
        <v>50</v>
      </c>
      <c r="M109" s="37">
        <f t="shared" si="58"/>
        <v>21.57810072723084</v>
      </c>
      <c r="N109" s="37">
        <f t="shared" si="59"/>
        <v>6.5142857142857142</v>
      </c>
      <c r="O109" s="50">
        <f t="shared" si="60"/>
        <v>114.18477288303311</v>
      </c>
      <c r="P109" s="50">
        <f t="shared" si="61"/>
        <v>6</v>
      </c>
      <c r="Q109" s="8">
        <f t="shared" si="62"/>
        <v>8</v>
      </c>
      <c r="R109" s="48">
        <f t="shared" si="63"/>
        <v>4728</v>
      </c>
      <c r="S109" s="48">
        <f t="shared" si="64"/>
        <v>4018.7999999999997</v>
      </c>
      <c r="T109" s="48">
        <f t="shared" si="65"/>
        <v>3380.0000000000005</v>
      </c>
      <c r="U109" s="48">
        <f t="shared" si="66"/>
        <v>19604.000000000004</v>
      </c>
      <c r="V109" s="48">
        <f t="shared" si="67"/>
        <v>300000</v>
      </c>
      <c r="W109" s="48">
        <f t="shared" si="68"/>
        <v>400000</v>
      </c>
      <c r="X109" s="48">
        <f t="shared" si="69"/>
        <v>472800</v>
      </c>
      <c r="Y109" s="48">
        <f t="shared" si="70"/>
        <v>1940120.0000000005</v>
      </c>
      <c r="Z109" s="48">
        <f t="shared" si="71"/>
        <v>3112920.0000000005</v>
      </c>
      <c r="AA109" s="37">
        <f t="shared" si="72"/>
        <v>3.9000000000000007E-2</v>
      </c>
      <c r="AB109" s="49">
        <f t="shared" si="73"/>
        <v>0.28581349206349205</v>
      </c>
      <c r="AC109" s="49">
        <f t="shared" si="74"/>
        <v>0.57162698412698409</v>
      </c>
      <c r="AD109" s="50">
        <f t="shared" si="75"/>
        <v>5.6243999999999996</v>
      </c>
      <c r="AE109" s="8">
        <f t="shared" si="76"/>
        <v>0</v>
      </c>
      <c r="AF109" s="51">
        <f t="shared" si="77"/>
        <v>3112920.0000000005</v>
      </c>
      <c r="AG109" s="8">
        <f t="shared" si="79"/>
        <v>9.9999999999999997E+98</v>
      </c>
      <c r="AH109" s="8" t="str">
        <f t="shared" si="78"/>
        <v>footprint duplicate</v>
      </c>
      <c r="AI109" s="52">
        <f t="shared" si="80"/>
        <v>2333333336446253.5</v>
      </c>
    </row>
    <row r="110" spans="1:35" ht="15" customHeight="1" x14ac:dyDescent="0.25">
      <c r="A110" s="8">
        <v>103</v>
      </c>
      <c r="B110" s="8">
        <f t="shared" si="82"/>
        <v>6</v>
      </c>
      <c r="C110" s="8">
        <v>3</v>
      </c>
      <c r="D110" s="49">
        <f t="shared" si="49"/>
        <v>0.52941176470588236</v>
      </c>
      <c r="E110" s="50">
        <f t="shared" si="50"/>
        <v>41.634920634920626</v>
      </c>
      <c r="F110" s="37">
        <f t="shared" si="51"/>
        <v>0.61227824463118574</v>
      </c>
      <c r="G110" s="8">
        <f t="shared" si="52"/>
        <v>2</v>
      </c>
      <c r="H110" s="8">
        <f t="shared" si="53"/>
        <v>134</v>
      </c>
      <c r="I110" s="50">
        <f t="shared" si="54"/>
        <v>134</v>
      </c>
      <c r="J110" s="50">
        <f t="shared" si="55"/>
        <v>16.900000000000002</v>
      </c>
      <c r="K110" s="50">
        <f t="shared" si="56"/>
        <v>6.4499999999999993</v>
      </c>
      <c r="L110" s="50">
        <f t="shared" si="57"/>
        <v>33.5</v>
      </c>
      <c r="M110" s="37">
        <f t="shared" si="58"/>
        <v>15.681493622732603</v>
      </c>
      <c r="N110" s="37">
        <f t="shared" si="59"/>
        <v>6.5142857142857142</v>
      </c>
      <c r="O110" s="50">
        <f t="shared" si="60"/>
        <v>102.39155867403663</v>
      </c>
      <c r="P110" s="50">
        <f t="shared" si="61"/>
        <v>5</v>
      </c>
      <c r="Q110" s="8">
        <f t="shared" si="62"/>
        <v>7</v>
      </c>
      <c r="R110" s="48">
        <f t="shared" si="63"/>
        <v>4716</v>
      </c>
      <c r="S110" s="48">
        <f t="shared" si="64"/>
        <v>4008.6</v>
      </c>
      <c r="T110" s="48">
        <f t="shared" si="65"/>
        <v>2264.6000000000004</v>
      </c>
      <c r="U110" s="48">
        <f t="shared" si="66"/>
        <v>18003.57</v>
      </c>
      <c r="V110" s="48">
        <f t="shared" si="67"/>
        <v>300000</v>
      </c>
      <c r="W110" s="48">
        <f t="shared" si="68"/>
        <v>350000</v>
      </c>
      <c r="X110" s="48">
        <f t="shared" si="69"/>
        <v>471600</v>
      </c>
      <c r="Y110" s="48">
        <f t="shared" si="70"/>
        <v>1445947.1</v>
      </c>
      <c r="Z110" s="48">
        <f t="shared" si="71"/>
        <v>2567547.1</v>
      </c>
      <c r="AA110" s="37">
        <f t="shared" si="72"/>
        <v>5.8208955223880601E-2</v>
      </c>
      <c r="AB110" s="49">
        <f t="shared" si="73"/>
        <v>0.30613912231559287</v>
      </c>
      <c r="AC110" s="49">
        <f t="shared" si="74"/>
        <v>0.61227824463118574</v>
      </c>
      <c r="AD110" s="50">
        <f t="shared" si="75"/>
        <v>6.6169411764705863</v>
      </c>
      <c r="AE110" s="8">
        <f t="shared" si="76"/>
        <v>0</v>
      </c>
      <c r="AF110" s="51">
        <f t="shared" si="77"/>
        <v>2567547.1</v>
      </c>
      <c r="AG110" s="8">
        <f t="shared" si="79"/>
        <v>9.9999999999999997E+98</v>
      </c>
      <c r="AH110" s="8" t="str">
        <f t="shared" si="78"/>
        <v>footprint duplicate</v>
      </c>
      <c r="AI110" s="52">
        <f t="shared" si="80"/>
        <v>1233333335900880.8</v>
      </c>
    </row>
    <row r="111" spans="1:35" ht="15" customHeight="1" x14ac:dyDescent="0.25">
      <c r="A111" s="8">
        <v>104</v>
      </c>
      <c r="B111" s="8">
        <f t="shared" si="82"/>
        <v>6</v>
      </c>
      <c r="C111" s="8">
        <v>4</v>
      </c>
      <c r="D111" s="49">
        <f t="shared" si="49"/>
        <v>0.55555555555555558</v>
      </c>
      <c r="E111" s="50">
        <f t="shared" si="50"/>
        <v>42.447142857142843</v>
      </c>
      <c r="F111" s="37">
        <f t="shared" si="51"/>
        <v>0.65504850088183397</v>
      </c>
      <c r="G111" s="8">
        <f t="shared" si="52"/>
        <v>2</v>
      </c>
      <c r="H111" s="8">
        <f t="shared" si="53"/>
        <v>102</v>
      </c>
      <c r="I111" s="50">
        <f t="shared" si="54"/>
        <v>102</v>
      </c>
      <c r="J111" s="50">
        <f t="shared" si="55"/>
        <v>16.900000000000002</v>
      </c>
      <c r="K111" s="50">
        <f t="shared" si="56"/>
        <v>8.6</v>
      </c>
      <c r="L111" s="50">
        <f t="shared" si="57"/>
        <v>25.5</v>
      </c>
      <c r="M111" s="37">
        <f t="shared" si="58"/>
        <v>12.820785739668324</v>
      </c>
      <c r="N111" s="37">
        <f t="shared" si="59"/>
        <v>6.5142857142857142</v>
      </c>
      <c r="O111" s="50">
        <f t="shared" si="60"/>
        <v>96.670142907908073</v>
      </c>
      <c r="P111" s="50">
        <f t="shared" si="61"/>
        <v>6</v>
      </c>
      <c r="Q111" s="8">
        <f t="shared" si="62"/>
        <v>8</v>
      </c>
      <c r="R111" s="48">
        <f t="shared" si="63"/>
        <v>4752</v>
      </c>
      <c r="S111" s="48">
        <f t="shared" si="64"/>
        <v>4039.2</v>
      </c>
      <c r="T111" s="48">
        <f t="shared" si="65"/>
        <v>1723.8000000000002</v>
      </c>
      <c r="U111" s="48">
        <f t="shared" si="66"/>
        <v>17410.38</v>
      </c>
      <c r="V111" s="48">
        <f t="shared" si="67"/>
        <v>300000</v>
      </c>
      <c r="W111" s="48">
        <f t="shared" si="68"/>
        <v>400000</v>
      </c>
      <c r="X111" s="48">
        <f t="shared" si="69"/>
        <v>475200</v>
      </c>
      <c r="Y111" s="48">
        <f t="shared" si="70"/>
        <v>1211831.4000000001</v>
      </c>
      <c r="Z111" s="48">
        <f t="shared" si="71"/>
        <v>2387031.4000000004</v>
      </c>
      <c r="AA111" s="37">
        <f t="shared" si="72"/>
        <v>7.6470588235294124E-2</v>
      </c>
      <c r="AB111" s="49">
        <f t="shared" si="73"/>
        <v>0.32752425044091699</v>
      </c>
      <c r="AC111" s="49">
        <f t="shared" si="74"/>
        <v>0.65504850088183397</v>
      </c>
      <c r="AD111" s="50">
        <f t="shared" si="75"/>
        <v>8.124133333333333</v>
      </c>
      <c r="AE111" s="8">
        <f t="shared" si="76"/>
        <v>0</v>
      </c>
      <c r="AF111" s="51">
        <f t="shared" si="77"/>
        <v>2387031.4000000004</v>
      </c>
      <c r="AG111" s="8">
        <f t="shared" si="79"/>
        <v>9.9999999999999997E+98</v>
      </c>
      <c r="AH111" s="8" t="str">
        <f t="shared" si="78"/>
        <v>footprint duplicate</v>
      </c>
      <c r="AI111" s="52">
        <f t="shared" si="80"/>
        <v>700000002387031.38</v>
      </c>
    </row>
    <row r="112" spans="1:35" ht="15" customHeight="1" x14ac:dyDescent="0.25">
      <c r="A112" s="8">
        <v>105</v>
      </c>
      <c r="B112" s="8">
        <f t="shared" si="82"/>
        <v>6</v>
      </c>
      <c r="C112" s="8">
        <v>5</v>
      </c>
      <c r="D112" s="49">
        <f t="shared" si="49"/>
        <v>0.57894736842105265</v>
      </c>
      <c r="E112" s="50">
        <f t="shared" si="50"/>
        <v>43.502597402597381</v>
      </c>
      <c r="F112" s="37">
        <f t="shared" si="51"/>
        <v>0.69960317460317434</v>
      </c>
      <c r="G112" s="8">
        <f t="shared" si="52"/>
        <v>2</v>
      </c>
      <c r="H112" s="8">
        <f t="shared" si="53"/>
        <v>82</v>
      </c>
      <c r="I112" s="50">
        <f t="shared" si="54"/>
        <v>82</v>
      </c>
      <c r="J112" s="50">
        <f t="shared" si="55"/>
        <v>16.900000000000002</v>
      </c>
      <c r="K112" s="50">
        <f t="shared" si="56"/>
        <v>10.75</v>
      </c>
      <c r="L112" s="50">
        <f t="shared" si="57"/>
        <v>20.5</v>
      </c>
      <c r="M112" s="37">
        <f t="shared" si="58"/>
        <v>11.03143034516234</v>
      </c>
      <c r="N112" s="37">
        <f t="shared" si="59"/>
        <v>6.5142857142857142</v>
      </c>
      <c r="O112" s="50">
        <f t="shared" si="60"/>
        <v>93.091432118896108</v>
      </c>
      <c r="P112" s="50">
        <f t="shared" si="61"/>
        <v>7</v>
      </c>
      <c r="Q112" s="8">
        <f t="shared" si="62"/>
        <v>9</v>
      </c>
      <c r="R112" s="48">
        <f t="shared" si="63"/>
        <v>4740</v>
      </c>
      <c r="S112" s="48">
        <f t="shared" si="64"/>
        <v>4029</v>
      </c>
      <c r="T112" s="48">
        <f t="shared" si="65"/>
        <v>1385.8000000000002</v>
      </c>
      <c r="U112" s="48">
        <f t="shared" si="66"/>
        <v>16976.050000000003</v>
      </c>
      <c r="V112" s="48">
        <f t="shared" si="67"/>
        <v>300000</v>
      </c>
      <c r="W112" s="48">
        <f t="shared" si="68"/>
        <v>450000</v>
      </c>
      <c r="X112" s="48">
        <f t="shared" si="69"/>
        <v>474000</v>
      </c>
      <c r="Y112" s="48">
        <f t="shared" si="70"/>
        <v>1063601.5000000002</v>
      </c>
      <c r="Z112" s="48">
        <f t="shared" si="71"/>
        <v>2287601.5</v>
      </c>
      <c r="AA112" s="37">
        <f t="shared" si="72"/>
        <v>9.512195121951221E-2</v>
      </c>
      <c r="AB112" s="49">
        <f t="shared" si="73"/>
        <v>0.34980158730158717</v>
      </c>
      <c r="AC112" s="49">
        <f t="shared" si="74"/>
        <v>0.69960317460317434</v>
      </c>
      <c r="AD112" s="50">
        <f t="shared" si="75"/>
        <v>10.064715789473683</v>
      </c>
      <c r="AE112" s="8">
        <f t="shared" si="76"/>
        <v>0</v>
      </c>
      <c r="AF112" s="51">
        <f t="shared" si="77"/>
        <v>2287601.5</v>
      </c>
      <c r="AG112" s="8">
        <f t="shared" si="79"/>
        <v>9.9999999999999997E+98</v>
      </c>
      <c r="AH112" s="8" t="str">
        <f t="shared" si="78"/>
        <v>footprint duplicate</v>
      </c>
      <c r="AI112" s="52">
        <f t="shared" si="80"/>
        <v>366666668954268.19</v>
      </c>
    </row>
    <row r="113" spans="1:35" ht="15" customHeight="1" x14ac:dyDescent="0.25">
      <c r="A113" s="8">
        <v>106</v>
      </c>
      <c r="B113" s="8">
        <f t="shared" si="82"/>
        <v>6</v>
      </c>
      <c r="C113" s="8">
        <v>6</v>
      </c>
      <c r="D113" s="49">
        <f t="shared" si="49"/>
        <v>0.60000000000000009</v>
      </c>
      <c r="E113" s="50">
        <f t="shared" si="50"/>
        <v>44.740476190476173</v>
      </c>
      <c r="F113" s="37">
        <f t="shared" si="51"/>
        <v>0.74567460317460299</v>
      </c>
      <c r="G113" s="8">
        <f t="shared" si="52"/>
        <v>2</v>
      </c>
      <c r="H113" s="8">
        <f t="shared" si="53"/>
        <v>69</v>
      </c>
      <c r="I113" s="50">
        <f t="shared" si="54"/>
        <v>69</v>
      </c>
      <c r="J113" s="50">
        <f t="shared" si="55"/>
        <v>16.900000000000002</v>
      </c>
      <c r="K113" s="50">
        <f t="shared" si="56"/>
        <v>12.899999999999999</v>
      </c>
      <c r="L113" s="50">
        <f t="shared" si="57"/>
        <v>17.25</v>
      </c>
      <c r="M113" s="37">
        <f t="shared" si="58"/>
        <v>9.8672174288264642</v>
      </c>
      <c r="N113" s="37">
        <f t="shared" si="59"/>
        <v>6.5142857142857142</v>
      </c>
      <c r="O113" s="50">
        <f t="shared" si="60"/>
        <v>90.763006286224353</v>
      </c>
      <c r="P113" s="50">
        <f t="shared" si="61"/>
        <v>8</v>
      </c>
      <c r="Q113" s="8">
        <f t="shared" si="62"/>
        <v>10</v>
      </c>
      <c r="R113" s="48">
        <f t="shared" si="63"/>
        <v>4752</v>
      </c>
      <c r="S113" s="48">
        <f t="shared" si="64"/>
        <v>4039.2</v>
      </c>
      <c r="T113" s="48">
        <f t="shared" si="65"/>
        <v>1166.1000000000001</v>
      </c>
      <c r="U113" s="48">
        <f t="shared" si="66"/>
        <v>16791.84</v>
      </c>
      <c r="V113" s="48">
        <f t="shared" si="67"/>
        <v>300000</v>
      </c>
      <c r="W113" s="48">
        <f t="shared" si="68"/>
        <v>500000</v>
      </c>
      <c r="X113" s="48">
        <f t="shared" si="69"/>
        <v>475200</v>
      </c>
      <c r="Y113" s="48">
        <f t="shared" si="70"/>
        <v>970195.20000000007</v>
      </c>
      <c r="Z113" s="48">
        <f t="shared" si="71"/>
        <v>2245395.2000000002</v>
      </c>
      <c r="AA113" s="37">
        <f t="shared" si="72"/>
        <v>0.11304347826086958</v>
      </c>
      <c r="AB113" s="49">
        <f t="shared" si="73"/>
        <v>0.3728373015873015</v>
      </c>
      <c r="AC113" s="49">
        <f t="shared" si="74"/>
        <v>0.74567460317460299</v>
      </c>
      <c r="AD113" s="50">
        <f t="shared" si="75"/>
        <v>12.373679999999997</v>
      </c>
      <c r="AE113" s="8">
        <f t="shared" si="76"/>
        <v>0</v>
      </c>
      <c r="AF113" s="51">
        <f t="shared" si="77"/>
        <v>2245395.2000000002</v>
      </c>
      <c r="AG113" s="8">
        <f t="shared" si="79"/>
        <v>9.9999999999999997E+98</v>
      </c>
      <c r="AH113" s="8" t="str">
        <f t="shared" si="78"/>
        <v>footprint duplicate</v>
      </c>
      <c r="AI113" s="52">
        <f t="shared" si="80"/>
        <v>150000002245395.13</v>
      </c>
    </row>
    <row r="114" spans="1:35" ht="15" customHeight="1" x14ac:dyDescent="0.25">
      <c r="A114" s="8">
        <v>107</v>
      </c>
      <c r="B114" s="8">
        <f t="shared" si="82"/>
        <v>6</v>
      </c>
      <c r="C114" s="8">
        <v>7</v>
      </c>
      <c r="D114" s="49">
        <f t="shared" si="49"/>
        <v>0.60000000000000009</v>
      </c>
      <c r="E114" s="50">
        <f t="shared" si="50"/>
        <v>44.919642857142833</v>
      </c>
      <c r="F114" s="37">
        <f t="shared" si="51"/>
        <v>0.7486607142857139</v>
      </c>
      <c r="G114" s="8">
        <f t="shared" si="52"/>
        <v>2</v>
      </c>
      <c r="H114" s="8">
        <f t="shared" si="53"/>
        <v>60</v>
      </c>
      <c r="I114" s="50">
        <f t="shared" si="54"/>
        <v>60</v>
      </c>
      <c r="J114" s="50">
        <f t="shared" si="55"/>
        <v>16.900000000000002</v>
      </c>
      <c r="K114" s="50">
        <f t="shared" si="56"/>
        <v>15.049999999999999</v>
      </c>
      <c r="L114" s="50">
        <f t="shared" si="57"/>
        <v>15</v>
      </c>
      <c r="M114" s="37">
        <f t="shared" si="58"/>
        <v>9.0603357574361478</v>
      </c>
      <c r="N114" s="37">
        <f t="shared" si="59"/>
        <v>6.5142857142857142</v>
      </c>
      <c r="O114" s="50">
        <f t="shared" si="60"/>
        <v>89.149242943443724</v>
      </c>
      <c r="P114" s="50">
        <f t="shared" si="61"/>
        <v>9</v>
      </c>
      <c r="Q114" s="8">
        <f t="shared" si="62"/>
        <v>11</v>
      </c>
      <c r="R114" s="48">
        <f t="shared" si="63"/>
        <v>4788</v>
      </c>
      <c r="S114" s="48">
        <f t="shared" si="64"/>
        <v>4069.7999999999997</v>
      </c>
      <c r="T114" s="48">
        <f t="shared" si="65"/>
        <v>1014.0000000000001</v>
      </c>
      <c r="U114" s="48">
        <f t="shared" si="66"/>
        <v>16781.7</v>
      </c>
      <c r="V114" s="48">
        <f t="shared" si="67"/>
        <v>300000</v>
      </c>
      <c r="W114" s="48">
        <f t="shared" si="68"/>
        <v>550000</v>
      </c>
      <c r="X114" s="48">
        <f t="shared" si="69"/>
        <v>478800</v>
      </c>
      <c r="Y114" s="48">
        <f t="shared" si="70"/>
        <v>909051</v>
      </c>
      <c r="Z114" s="48">
        <f t="shared" si="71"/>
        <v>2237851</v>
      </c>
      <c r="AA114" s="37">
        <f t="shared" si="72"/>
        <v>0.13</v>
      </c>
      <c r="AB114" s="49">
        <f t="shared" si="73"/>
        <v>0.37433035714285695</v>
      </c>
      <c r="AC114" s="49">
        <f t="shared" si="74"/>
        <v>0.7486607142857139</v>
      </c>
      <c r="AD114" s="50">
        <f t="shared" si="75"/>
        <v>12.654899999999998</v>
      </c>
      <c r="AE114" s="8">
        <f t="shared" si="76"/>
        <v>0</v>
      </c>
      <c r="AF114" s="51">
        <f t="shared" si="77"/>
        <v>2237851</v>
      </c>
      <c r="AG114" s="8">
        <f t="shared" si="79"/>
        <v>9.9999999999999997E+98</v>
      </c>
      <c r="AH114" s="8" t="str">
        <f t="shared" si="78"/>
        <v>duplicate</v>
      </c>
      <c r="AI114" s="52">
        <f t="shared" si="80"/>
        <v>2237851.0239450056</v>
      </c>
    </row>
    <row r="115" spans="1:35" ht="15" customHeight="1" x14ac:dyDescent="0.25">
      <c r="A115" s="8">
        <v>108</v>
      </c>
      <c r="B115" s="8">
        <f t="shared" si="82"/>
        <v>6</v>
      </c>
      <c r="C115" s="8">
        <v>8</v>
      </c>
      <c r="D115" s="49">
        <f t="shared" si="49"/>
        <v>0.60000000000000009</v>
      </c>
      <c r="E115" s="50">
        <f t="shared" si="50"/>
        <v>45.0988095238095</v>
      </c>
      <c r="F115" s="37">
        <f t="shared" si="51"/>
        <v>0.75164682539682504</v>
      </c>
      <c r="G115" s="8">
        <f t="shared" si="52"/>
        <v>2</v>
      </c>
      <c r="H115" s="8">
        <f t="shared" si="53"/>
        <v>53</v>
      </c>
      <c r="I115" s="50">
        <f t="shared" si="54"/>
        <v>53</v>
      </c>
      <c r="J115" s="50">
        <f t="shared" si="55"/>
        <v>16.900000000000002</v>
      </c>
      <c r="K115" s="50">
        <f t="shared" si="56"/>
        <v>17.2</v>
      </c>
      <c r="L115" s="50">
        <f t="shared" si="57"/>
        <v>13.25</v>
      </c>
      <c r="M115" s="37">
        <f t="shared" si="58"/>
        <v>8.4319838763428088</v>
      </c>
      <c r="N115" s="37">
        <f t="shared" si="59"/>
        <v>6.5142857142857142</v>
      </c>
      <c r="O115" s="50">
        <f t="shared" si="60"/>
        <v>87.89253918125705</v>
      </c>
      <c r="P115" s="50">
        <f t="shared" si="61"/>
        <v>10</v>
      </c>
      <c r="Q115" s="8">
        <f t="shared" si="62"/>
        <v>12</v>
      </c>
      <c r="R115" s="48">
        <f t="shared" si="63"/>
        <v>4800</v>
      </c>
      <c r="S115" s="48">
        <f t="shared" si="64"/>
        <v>4080</v>
      </c>
      <c r="T115" s="48">
        <f t="shared" si="65"/>
        <v>895.70000000000016</v>
      </c>
      <c r="U115" s="48">
        <f t="shared" si="66"/>
        <v>16749.590000000004</v>
      </c>
      <c r="V115" s="48">
        <f t="shared" si="67"/>
        <v>300000</v>
      </c>
      <c r="W115" s="48">
        <f t="shared" si="68"/>
        <v>600000</v>
      </c>
      <c r="X115" s="48">
        <f t="shared" si="69"/>
        <v>480000</v>
      </c>
      <c r="Y115" s="48">
        <f t="shared" si="70"/>
        <v>860767.70000000019</v>
      </c>
      <c r="Z115" s="48">
        <f t="shared" si="71"/>
        <v>2240767.7000000002</v>
      </c>
      <c r="AA115" s="37">
        <f t="shared" si="72"/>
        <v>0.14716981132075474</v>
      </c>
      <c r="AB115" s="49">
        <f t="shared" si="73"/>
        <v>0.37582341269841252</v>
      </c>
      <c r="AC115" s="49">
        <f t="shared" si="74"/>
        <v>0.75164682539682504</v>
      </c>
      <c r="AD115" s="50">
        <f t="shared" si="75"/>
        <v>12.936119999999995</v>
      </c>
      <c r="AE115" s="8">
        <f t="shared" si="76"/>
        <v>0</v>
      </c>
      <c r="AF115" s="51">
        <f t="shared" si="77"/>
        <v>2240767.7000000002</v>
      </c>
      <c r="AG115" s="8">
        <f t="shared" si="79"/>
        <v>9.9999999999999997E+98</v>
      </c>
      <c r="AH115" s="8" t="str">
        <f t="shared" si="78"/>
        <v>duplicate</v>
      </c>
      <c r="AI115" s="52">
        <f t="shared" si="80"/>
        <v>2240767.7242002916</v>
      </c>
    </row>
    <row r="116" spans="1:35" ht="15" customHeight="1" x14ac:dyDescent="0.25">
      <c r="A116" s="8">
        <v>109</v>
      </c>
      <c r="B116" s="8">
        <f t="shared" si="82"/>
        <v>6</v>
      </c>
      <c r="C116" s="8">
        <v>9</v>
      </c>
      <c r="D116" s="49">
        <f t="shared" si="49"/>
        <v>0.6</v>
      </c>
      <c r="E116" s="50">
        <f t="shared" si="50"/>
        <v>45.277976190476181</v>
      </c>
      <c r="F116" s="37">
        <f t="shared" si="51"/>
        <v>0.75463293650793628</v>
      </c>
      <c r="G116" s="8">
        <f t="shared" si="52"/>
        <v>2</v>
      </c>
      <c r="H116" s="8">
        <f t="shared" si="53"/>
        <v>47</v>
      </c>
      <c r="I116" s="50">
        <f t="shared" si="54"/>
        <v>47</v>
      </c>
      <c r="J116" s="50">
        <f t="shared" si="55"/>
        <v>16.900000000000002</v>
      </c>
      <c r="K116" s="50">
        <f t="shared" si="56"/>
        <v>19.349999999999998</v>
      </c>
      <c r="L116" s="50">
        <f t="shared" si="57"/>
        <v>11.75</v>
      </c>
      <c r="M116" s="37">
        <f t="shared" si="58"/>
        <v>7.8926018787938661</v>
      </c>
      <c r="N116" s="37">
        <f t="shared" si="59"/>
        <v>6.5142857142857142</v>
      </c>
      <c r="O116" s="50">
        <f t="shared" si="60"/>
        <v>86.813775186159162</v>
      </c>
      <c r="P116" s="50">
        <f t="shared" si="61"/>
        <v>11</v>
      </c>
      <c r="Q116" s="8">
        <f t="shared" si="62"/>
        <v>13</v>
      </c>
      <c r="R116" s="48">
        <f t="shared" si="63"/>
        <v>4752</v>
      </c>
      <c r="S116" s="48">
        <f t="shared" si="64"/>
        <v>4039.2</v>
      </c>
      <c r="T116" s="48">
        <f t="shared" si="65"/>
        <v>794.30000000000007</v>
      </c>
      <c r="U116" s="48">
        <f t="shared" si="66"/>
        <v>16561.154999999999</v>
      </c>
      <c r="V116" s="48">
        <f t="shared" si="67"/>
        <v>300000</v>
      </c>
      <c r="W116" s="48">
        <f t="shared" si="68"/>
        <v>650000</v>
      </c>
      <c r="X116" s="48">
        <f t="shared" si="69"/>
        <v>475200</v>
      </c>
      <c r="Y116" s="48">
        <f t="shared" si="70"/>
        <v>814554.64999999991</v>
      </c>
      <c r="Z116" s="48">
        <f t="shared" si="71"/>
        <v>2239754.65</v>
      </c>
      <c r="AA116" s="37">
        <f t="shared" si="72"/>
        <v>0.16595744680851066</v>
      </c>
      <c r="AB116" s="49">
        <f t="shared" si="73"/>
        <v>0.37731646825396814</v>
      </c>
      <c r="AC116" s="49">
        <f t="shared" si="74"/>
        <v>0.75463293650793628</v>
      </c>
      <c r="AD116" s="50">
        <f t="shared" si="75"/>
        <v>13.217339999999998</v>
      </c>
      <c r="AE116" s="8">
        <f t="shared" si="76"/>
        <v>0</v>
      </c>
      <c r="AF116" s="51">
        <f t="shared" si="77"/>
        <v>2239754.65</v>
      </c>
      <c r="AG116" s="8">
        <f t="shared" si="79"/>
        <v>9.9999999999999997E+98</v>
      </c>
      <c r="AH116" s="8" t="str">
        <f t="shared" si="78"/>
        <v>duplicate</v>
      </c>
      <c r="AI116" s="52">
        <f t="shared" si="80"/>
        <v>2239754.6744133257</v>
      </c>
    </row>
    <row r="117" spans="1:35" ht="15" customHeight="1" x14ac:dyDescent="0.25">
      <c r="A117" s="8">
        <v>110</v>
      </c>
      <c r="B117" s="8">
        <f t="shared" si="82"/>
        <v>6</v>
      </c>
      <c r="C117" s="8">
        <v>10</v>
      </c>
      <c r="D117" s="49">
        <f t="shared" si="49"/>
        <v>0.60000000000000009</v>
      </c>
      <c r="E117" s="50">
        <f t="shared" si="50"/>
        <v>45.457142857142834</v>
      </c>
      <c r="F117" s="37">
        <f t="shared" si="51"/>
        <v>0.7576190476190473</v>
      </c>
      <c r="G117" s="8">
        <f t="shared" si="52"/>
        <v>2</v>
      </c>
      <c r="H117" s="8">
        <f t="shared" si="53"/>
        <v>43</v>
      </c>
      <c r="I117" s="50">
        <f t="shared" si="54"/>
        <v>43</v>
      </c>
      <c r="J117" s="50">
        <f t="shared" si="55"/>
        <v>16.900000000000002</v>
      </c>
      <c r="K117" s="50">
        <f t="shared" si="56"/>
        <v>21.5</v>
      </c>
      <c r="L117" s="50">
        <f t="shared" si="57"/>
        <v>10.75</v>
      </c>
      <c r="M117" s="37">
        <f t="shared" si="58"/>
        <v>7.5324452429341591</v>
      </c>
      <c r="N117" s="37">
        <f t="shared" si="59"/>
        <v>6.5142857142857142</v>
      </c>
      <c r="O117" s="50">
        <f t="shared" si="60"/>
        <v>86.093461914439743</v>
      </c>
      <c r="P117" s="50">
        <f t="shared" si="61"/>
        <v>12</v>
      </c>
      <c r="Q117" s="8">
        <f t="shared" si="62"/>
        <v>14</v>
      </c>
      <c r="R117" s="48">
        <f t="shared" si="63"/>
        <v>4800</v>
      </c>
      <c r="S117" s="48">
        <f t="shared" si="64"/>
        <v>4080</v>
      </c>
      <c r="T117" s="48">
        <f t="shared" si="65"/>
        <v>726.7</v>
      </c>
      <c r="U117" s="48">
        <f t="shared" si="66"/>
        <v>16714.100000000002</v>
      </c>
      <c r="V117" s="48">
        <f t="shared" si="67"/>
        <v>300000</v>
      </c>
      <c r="W117" s="48">
        <f t="shared" si="68"/>
        <v>700000</v>
      </c>
      <c r="X117" s="48">
        <f t="shared" si="69"/>
        <v>480000</v>
      </c>
      <c r="Y117" s="48">
        <f t="shared" si="70"/>
        <v>792103</v>
      </c>
      <c r="Z117" s="48">
        <f t="shared" si="71"/>
        <v>2272103</v>
      </c>
      <c r="AA117" s="37">
        <f t="shared" si="72"/>
        <v>0.18139534883720931</v>
      </c>
      <c r="AB117" s="49">
        <f t="shared" si="73"/>
        <v>0.37880952380952365</v>
      </c>
      <c r="AC117" s="49">
        <f t="shared" si="74"/>
        <v>0.7576190476190473</v>
      </c>
      <c r="AD117" s="50">
        <f t="shared" si="75"/>
        <v>13.498559999999996</v>
      </c>
      <c r="AE117" s="8">
        <f t="shared" si="76"/>
        <v>0</v>
      </c>
      <c r="AF117" s="51">
        <f t="shared" si="77"/>
        <v>2272103</v>
      </c>
      <c r="AG117" s="8">
        <f t="shared" si="79"/>
        <v>9.9999999999999997E+98</v>
      </c>
      <c r="AH117" s="8" t="str">
        <f t="shared" si="78"/>
        <v>height duplicate</v>
      </c>
      <c r="AI117" s="52">
        <f t="shared" si="80"/>
        <v>75000002272102.984</v>
      </c>
    </row>
    <row r="118" spans="1:35" ht="15" customHeight="1" x14ac:dyDescent="0.25">
      <c r="A118" s="8">
        <v>111</v>
      </c>
      <c r="B118" s="8">
        <f t="shared" si="82"/>
        <v>6</v>
      </c>
      <c r="C118" s="8">
        <v>11</v>
      </c>
      <c r="D118" s="49">
        <f t="shared" si="49"/>
        <v>0.6</v>
      </c>
      <c r="E118" s="50">
        <f t="shared" si="50"/>
        <v>45.636309523809516</v>
      </c>
      <c r="F118" s="37">
        <f t="shared" si="51"/>
        <v>0.76060515873015866</v>
      </c>
      <c r="G118" s="8">
        <f t="shared" si="52"/>
        <v>2</v>
      </c>
      <c r="H118" s="8">
        <f t="shared" si="53"/>
        <v>39</v>
      </c>
      <c r="I118" s="50">
        <f t="shared" si="54"/>
        <v>39</v>
      </c>
      <c r="J118" s="50">
        <f t="shared" si="55"/>
        <v>16.900000000000002</v>
      </c>
      <c r="K118" s="50">
        <f t="shared" si="56"/>
        <v>23.65</v>
      </c>
      <c r="L118" s="50">
        <f t="shared" si="57"/>
        <v>9.75</v>
      </c>
      <c r="M118" s="37">
        <f t="shared" si="58"/>
        <v>7.171670396055613</v>
      </c>
      <c r="N118" s="37">
        <f t="shared" si="59"/>
        <v>6.5142857142857142</v>
      </c>
      <c r="O118" s="50">
        <f t="shared" si="60"/>
        <v>85.371912220682646</v>
      </c>
      <c r="P118" s="50">
        <f t="shared" si="61"/>
        <v>13</v>
      </c>
      <c r="Q118" s="8">
        <f t="shared" si="62"/>
        <v>15</v>
      </c>
      <c r="R118" s="48">
        <f t="shared" si="63"/>
        <v>4752</v>
      </c>
      <c r="S118" s="48">
        <f t="shared" si="64"/>
        <v>4039.2</v>
      </c>
      <c r="T118" s="48">
        <f t="shared" si="65"/>
        <v>659.10000000000014</v>
      </c>
      <c r="U118" s="48">
        <f t="shared" si="66"/>
        <v>16576.365000000002</v>
      </c>
      <c r="V118" s="48">
        <f t="shared" si="67"/>
        <v>300000</v>
      </c>
      <c r="W118" s="48">
        <f t="shared" si="68"/>
        <v>750000</v>
      </c>
      <c r="X118" s="48">
        <f t="shared" si="69"/>
        <v>475200</v>
      </c>
      <c r="Y118" s="48">
        <f t="shared" si="70"/>
        <v>760930.95000000019</v>
      </c>
      <c r="Z118" s="48">
        <f t="shared" si="71"/>
        <v>2286130.9500000002</v>
      </c>
      <c r="AA118" s="37">
        <f t="shared" si="72"/>
        <v>0.2</v>
      </c>
      <c r="AB118" s="49">
        <f t="shared" si="73"/>
        <v>0.38030257936507933</v>
      </c>
      <c r="AC118" s="49">
        <f t="shared" si="74"/>
        <v>0.76060515873015866</v>
      </c>
      <c r="AD118" s="50">
        <f t="shared" si="75"/>
        <v>13.779779999999999</v>
      </c>
      <c r="AE118" s="8">
        <f t="shared" si="76"/>
        <v>0</v>
      </c>
      <c r="AF118" s="51">
        <f t="shared" si="77"/>
        <v>2286130.9500000002</v>
      </c>
      <c r="AG118" s="8">
        <f t="shared" si="79"/>
        <v>9.9999999999999997E+98</v>
      </c>
      <c r="AH118" s="8" t="str">
        <f t="shared" si="78"/>
        <v>height duplicate</v>
      </c>
      <c r="AI118" s="52">
        <f t="shared" si="80"/>
        <v>182500002286130.84</v>
      </c>
    </row>
    <row r="119" spans="1:35" ht="15" customHeight="1" x14ac:dyDescent="0.25">
      <c r="A119" s="8">
        <v>112</v>
      </c>
      <c r="B119" s="8">
        <f t="shared" si="82"/>
        <v>6</v>
      </c>
      <c r="C119" s="8">
        <v>12</v>
      </c>
      <c r="D119" s="49">
        <f t="shared" si="49"/>
        <v>0.6</v>
      </c>
      <c r="E119" s="50">
        <f t="shared" si="50"/>
        <v>45.815476190476183</v>
      </c>
      <c r="F119" s="37">
        <f t="shared" si="51"/>
        <v>0.76359126984126979</v>
      </c>
      <c r="G119" s="8">
        <f t="shared" si="52"/>
        <v>2</v>
      </c>
      <c r="H119" s="8">
        <f t="shared" si="53"/>
        <v>36</v>
      </c>
      <c r="I119" s="50">
        <f t="shared" si="54"/>
        <v>36</v>
      </c>
      <c r="J119" s="50">
        <f t="shared" si="55"/>
        <v>16.900000000000002</v>
      </c>
      <c r="K119" s="50">
        <f t="shared" si="56"/>
        <v>25.799999999999997</v>
      </c>
      <c r="L119" s="50">
        <f t="shared" si="57"/>
        <v>9</v>
      </c>
      <c r="M119" s="37">
        <f t="shared" si="58"/>
        <v>6.9005595957269135</v>
      </c>
      <c r="N119" s="37">
        <f t="shared" si="59"/>
        <v>6.5142857142857142</v>
      </c>
      <c r="O119" s="50">
        <f t="shared" si="60"/>
        <v>84.829690620025247</v>
      </c>
      <c r="P119" s="50">
        <f t="shared" si="61"/>
        <v>14</v>
      </c>
      <c r="Q119" s="8">
        <f t="shared" si="62"/>
        <v>16</v>
      </c>
      <c r="R119" s="48">
        <f t="shared" si="63"/>
        <v>4752</v>
      </c>
      <c r="S119" s="48">
        <f t="shared" si="64"/>
        <v>4039.2</v>
      </c>
      <c r="T119" s="48">
        <f t="shared" si="65"/>
        <v>608.40000000000009</v>
      </c>
      <c r="U119" s="48">
        <f t="shared" si="66"/>
        <v>16609.32</v>
      </c>
      <c r="V119" s="48">
        <f t="shared" si="67"/>
        <v>300000</v>
      </c>
      <c r="W119" s="48">
        <f t="shared" si="68"/>
        <v>800000</v>
      </c>
      <c r="X119" s="48">
        <f t="shared" si="69"/>
        <v>475200</v>
      </c>
      <c r="Y119" s="48">
        <f t="shared" si="70"/>
        <v>741639.6</v>
      </c>
      <c r="Z119" s="48">
        <f t="shared" si="71"/>
        <v>2316839.6</v>
      </c>
      <c r="AA119" s="37">
        <f t="shared" si="72"/>
        <v>0.21666666666666667</v>
      </c>
      <c r="AB119" s="49">
        <f t="shared" si="73"/>
        <v>0.3817956349206349</v>
      </c>
      <c r="AC119" s="49">
        <f t="shared" si="74"/>
        <v>0.76359126984126979</v>
      </c>
      <c r="AD119" s="50">
        <f t="shared" si="75"/>
        <v>14.060999999999998</v>
      </c>
      <c r="AE119" s="8">
        <f t="shared" si="76"/>
        <v>0</v>
      </c>
      <c r="AF119" s="51">
        <f t="shared" si="77"/>
        <v>2316839.6</v>
      </c>
      <c r="AG119" s="8">
        <f t="shared" si="79"/>
        <v>9.9999999999999997E+98</v>
      </c>
      <c r="AH119" s="8" t="str">
        <f t="shared" si="78"/>
        <v>height duplicate</v>
      </c>
      <c r="AI119" s="52">
        <f t="shared" si="80"/>
        <v>290000002316839.44</v>
      </c>
    </row>
    <row r="120" spans="1:35" ht="15" customHeight="1" x14ac:dyDescent="0.25">
      <c r="A120" s="8">
        <v>113</v>
      </c>
      <c r="B120" s="8">
        <f t="shared" si="82"/>
        <v>6</v>
      </c>
      <c r="C120" s="8">
        <v>13</v>
      </c>
      <c r="D120" s="49">
        <f t="shared" si="49"/>
        <v>0.6</v>
      </c>
      <c r="E120" s="50">
        <f t="shared" si="50"/>
        <v>45.99464285714285</v>
      </c>
      <c r="F120" s="37">
        <f t="shared" si="51"/>
        <v>0.76657738095238082</v>
      </c>
      <c r="G120" s="8">
        <f t="shared" si="52"/>
        <v>2</v>
      </c>
      <c r="H120" s="8">
        <f t="shared" si="53"/>
        <v>34</v>
      </c>
      <c r="I120" s="50">
        <f t="shared" si="54"/>
        <v>34</v>
      </c>
      <c r="J120" s="50">
        <f t="shared" si="55"/>
        <v>16.900000000000002</v>
      </c>
      <c r="K120" s="50">
        <f t="shared" si="56"/>
        <v>27.95</v>
      </c>
      <c r="L120" s="50">
        <f t="shared" si="57"/>
        <v>8.5</v>
      </c>
      <c r="M120" s="37">
        <f t="shared" si="58"/>
        <v>6.7195000761478241</v>
      </c>
      <c r="N120" s="37">
        <f t="shared" si="59"/>
        <v>6.5142857142857142</v>
      </c>
      <c r="O120" s="50">
        <f t="shared" si="60"/>
        <v>84.467571580867073</v>
      </c>
      <c r="P120" s="50">
        <f t="shared" si="61"/>
        <v>15</v>
      </c>
      <c r="Q120" s="8">
        <f t="shared" si="62"/>
        <v>17</v>
      </c>
      <c r="R120" s="48">
        <f t="shared" si="63"/>
        <v>4836</v>
      </c>
      <c r="S120" s="48">
        <f t="shared" si="64"/>
        <v>4110.5999999999995</v>
      </c>
      <c r="T120" s="48">
        <f t="shared" si="65"/>
        <v>574.6</v>
      </c>
      <c r="U120" s="48">
        <f t="shared" si="66"/>
        <v>16921.97</v>
      </c>
      <c r="V120" s="48">
        <f t="shared" si="67"/>
        <v>300000</v>
      </c>
      <c r="W120" s="48">
        <f t="shared" si="68"/>
        <v>850000</v>
      </c>
      <c r="X120" s="48">
        <f t="shared" si="69"/>
        <v>483600</v>
      </c>
      <c r="Y120" s="48">
        <f t="shared" si="70"/>
        <v>737499.10000000009</v>
      </c>
      <c r="Z120" s="48">
        <f t="shared" si="71"/>
        <v>2371099.1</v>
      </c>
      <c r="AA120" s="37">
        <f t="shared" si="72"/>
        <v>0.22941176470588237</v>
      </c>
      <c r="AB120" s="49">
        <f t="shared" si="73"/>
        <v>0.38328869047619041</v>
      </c>
      <c r="AC120" s="49">
        <f t="shared" si="74"/>
        <v>0.76657738095238082</v>
      </c>
      <c r="AD120" s="50">
        <f t="shared" si="75"/>
        <v>14.342219999999999</v>
      </c>
      <c r="AE120" s="8">
        <f t="shared" si="76"/>
        <v>0</v>
      </c>
      <c r="AF120" s="51">
        <f t="shared" si="77"/>
        <v>2371099.1</v>
      </c>
      <c r="AG120" s="8">
        <f t="shared" si="79"/>
        <v>9.9999999999999997E+98</v>
      </c>
      <c r="AH120" s="8" t="str">
        <f t="shared" si="78"/>
        <v>height duplicate</v>
      </c>
      <c r="AI120" s="52">
        <f t="shared" si="80"/>
        <v>397500002371099.06</v>
      </c>
    </row>
    <row r="121" spans="1:35" ht="15" customHeight="1" x14ac:dyDescent="0.25">
      <c r="A121" s="8">
        <v>114</v>
      </c>
      <c r="B121" s="8">
        <f t="shared" si="82"/>
        <v>6</v>
      </c>
      <c r="C121" s="8">
        <v>14</v>
      </c>
      <c r="D121" s="49">
        <f t="shared" si="49"/>
        <v>0.6</v>
      </c>
      <c r="E121" s="50">
        <f t="shared" si="50"/>
        <v>46.173809523809517</v>
      </c>
      <c r="F121" s="37">
        <f t="shared" si="51"/>
        <v>0.76956349206349195</v>
      </c>
      <c r="G121" s="8">
        <f t="shared" si="52"/>
        <v>2</v>
      </c>
      <c r="H121" s="8">
        <f t="shared" si="53"/>
        <v>32</v>
      </c>
      <c r="I121" s="50">
        <f t="shared" si="54"/>
        <v>32</v>
      </c>
      <c r="J121" s="50">
        <f t="shared" si="55"/>
        <v>16.900000000000002</v>
      </c>
      <c r="K121" s="50">
        <f t="shared" si="56"/>
        <v>30.099999999999998</v>
      </c>
      <c r="L121" s="50">
        <f t="shared" si="57"/>
        <v>8</v>
      </c>
      <c r="M121" s="37">
        <f t="shared" si="58"/>
        <v>6.5381295451927768</v>
      </c>
      <c r="N121" s="37">
        <f t="shared" si="59"/>
        <v>6.5142857142857142</v>
      </c>
      <c r="O121" s="50">
        <f t="shared" si="60"/>
        <v>84.104830518956973</v>
      </c>
      <c r="P121" s="50">
        <f t="shared" si="61"/>
        <v>16</v>
      </c>
      <c r="Q121" s="8">
        <f t="shared" si="62"/>
        <v>18</v>
      </c>
      <c r="R121" s="48">
        <f t="shared" si="63"/>
        <v>4872</v>
      </c>
      <c r="S121" s="48">
        <f t="shared" si="64"/>
        <v>4141.2</v>
      </c>
      <c r="T121" s="48">
        <f t="shared" si="65"/>
        <v>540.80000000000007</v>
      </c>
      <c r="U121" s="48">
        <f t="shared" si="66"/>
        <v>17089.280000000002</v>
      </c>
      <c r="V121" s="48">
        <f t="shared" si="67"/>
        <v>300000</v>
      </c>
      <c r="W121" s="48">
        <f t="shared" si="68"/>
        <v>900000</v>
      </c>
      <c r="X121" s="48">
        <f t="shared" si="69"/>
        <v>487200</v>
      </c>
      <c r="Y121" s="48">
        <f t="shared" si="70"/>
        <v>728998.40000000014</v>
      </c>
      <c r="Z121" s="48">
        <f t="shared" si="71"/>
        <v>2416198.4000000004</v>
      </c>
      <c r="AA121" s="37">
        <f t="shared" si="72"/>
        <v>0.24375000000000002</v>
      </c>
      <c r="AB121" s="49">
        <f t="shared" si="73"/>
        <v>0.38478174603174597</v>
      </c>
      <c r="AC121" s="49">
        <f t="shared" si="74"/>
        <v>0.76956349206349195</v>
      </c>
      <c r="AD121" s="50">
        <f t="shared" si="75"/>
        <v>14.623439999999999</v>
      </c>
      <c r="AE121" s="8">
        <f t="shared" si="76"/>
        <v>0</v>
      </c>
      <c r="AF121" s="51">
        <f t="shared" si="77"/>
        <v>2416198.4000000004</v>
      </c>
      <c r="AG121" s="8">
        <f t="shared" si="79"/>
        <v>9.9999999999999997E+98</v>
      </c>
      <c r="AH121" s="8" t="str">
        <f t="shared" si="78"/>
        <v>height duplicate</v>
      </c>
      <c r="AI121" s="52">
        <f t="shared" si="80"/>
        <v>505000002416198.31</v>
      </c>
    </row>
    <row r="122" spans="1:35" ht="15" customHeight="1" x14ac:dyDescent="0.25">
      <c r="A122" s="8">
        <v>115</v>
      </c>
      <c r="B122" s="8">
        <f t="shared" si="82"/>
        <v>6</v>
      </c>
      <c r="C122" s="8">
        <v>15</v>
      </c>
      <c r="D122" s="49">
        <f t="shared" si="49"/>
        <v>0.60000000000000009</v>
      </c>
      <c r="E122" s="50">
        <f t="shared" si="50"/>
        <v>46.352976190476163</v>
      </c>
      <c r="F122" s="37">
        <f t="shared" si="51"/>
        <v>0.77254960317460286</v>
      </c>
      <c r="G122" s="8">
        <f t="shared" si="52"/>
        <v>2</v>
      </c>
      <c r="H122" s="8">
        <f t="shared" si="53"/>
        <v>30</v>
      </c>
      <c r="I122" s="50">
        <f t="shared" si="54"/>
        <v>30</v>
      </c>
      <c r="J122" s="50">
        <f t="shared" si="55"/>
        <v>16.900000000000002</v>
      </c>
      <c r="K122" s="50">
        <f t="shared" si="56"/>
        <v>32.25</v>
      </c>
      <c r="L122" s="50">
        <f t="shared" si="57"/>
        <v>7.5</v>
      </c>
      <c r="M122" s="37">
        <f t="shared" si="58"/>
        <v>6.3563858005865805</v>
      </c>
      <c r="N122" s="37">
        <f t="shared" si="59"/>
        <v>6.5142857142857142</v>
      </c>
      <c r="O122" s="50">
        <f t="shared" si="60"/>
        <v>83.741343029744584</v>
      </c>
      <c r="P122" s="50">
        <f t="shared" si="61"/>
        <v>17</v>
      </c>
      <c r="Q122" s="8">
        <f t="shared" si="62"/>
        <v>19</v>
      </c>
      <c r="R122" s="48">
        <f t="shared" si="63"/>
        <v>4860</v>
      </c>
      <c r="S122" s="48">
        <f t="shared" si="64"/>
        <v>4131</v>
      </c>
      <c r="T122" s="48">
        <f t="shared" si="65"/>
        <v>507.00000000000006</v>
      </c>
      <c r="U122" s="48">
        <f t="shared" si="66"/>
        <v>17111.250000000004</v>
      </c>
      <c r="V122" s="48">
        <f t="shared" si="67"/>
        <v>300000</v>
      </c>
      <c r="W122" s="48">
        <f t="shared" si="68"/>
        <v>950000</v>
      </c>
      <c r="X122" s="48">
        <f t="shared" si="69"/>
        <v>486000</v>
      </c>
      <c r="Y122" s="48">
        <f t="shared" si="70"/>
        <v>716137.50000000012</v>
      </c>
      <c r="Z122" s="48">
        <f t="shared" si="71"/>
        <v>2452137.5</v>
      </c>
      <c r="AA122" s="37">
        <f t="shared" si="72"/>
        <v>0.26</v>
      </c>
      <c r="AB122" s="49">
        <f t="shared" si="73"/>
        <v>0.38627480158730143</v>
      </c>
      <c r="AC122" s="49">
        <f t="shared" si="74"/>
        <v>0.77254960317460286</v>
      </c>
      <c r="AD122" s="50">
        <f t="shared" si="75"/>
        <v>14.904659999999998</v>
      </c>
      <c r="AE122" s="8">
        <f t="shared" si="76"/>
        <v>0</v>
      </c>
      <c r="AF122" s="51">
        <f t="shared" si="77"/>
        <v>2452137.5</v>
      </c>
      <c r="AG122" s="8">
        <f t="shared" si="79"/>
        <v>9.9999999999999997E+98</v>
      </c>
      <c r="AH122" s="8" t="str">
        <f t="shared" si="78"/>
        <v>height duplicate</v>
      </c>
      <c r="AI122" s="52">
        <f t="shared" si="80"/>
        <v>612500002452137.5</v>
      </c>
    </row>
    <row r="123" spans="1:35" ht="15" customHeight="1" x14ac:dyDescent="0.25">
      <c r="A123" s="8">
        <v>116</v>
      </c>
      <c r="B123" s="8">
        <f t="shared" si="82"/>
        <v>6</v>
      </c>
      <c r="C123" s="8">
        <v>16</v>
      </c>
      <c r="D123" s="49">
        <f t="shared" si="49"/>
        <v>0.59999999999999987</v>
      </c>
      <c r="E123" s="50">
        <f t="shared" si="50"/>
        <v>46.532142857142851</v>
      </c>
      <c r="F123" s="37">
        <f t="shared" si="51"/>
        <v>0.775535714285714</v>
      </c>
      <c r="G123" s="8">
        <f t="shared" si="52"/>
        <v>2</v>
      </c>
      <c r="H123" s="8">
        <f t="shared" si="53"/>
        <v>28</v>
      </c>
      <c r="I123" s="50">
        <f t="shared" si="54"/>
        <v>28</v>
      </c>
      <c r="J123" s="50">
        <f t="shared" si="55"/>
        <v>16.900000000000002</v>
      </c>
      <c r="K123" s="50">
        <f t="shared" si="56"/>
        <v>34.4</v>
      </c>
      <c r="L123" s="50">
        <f t="shared" si="57"/>
        <v>7</v>
      </c>
      <c r="M123" s="37">
        <f t="shared" si="58"/>
        <v>6.1741888679754187</v>
      </c>
      <c r="N123" s="37">
        <f t="shared" si="59"/>
        <v>6.5142857142857142</v>
      </c>
      <c r="O123" s="50">
        <f t="shared" si="60"/>
        <v>83.376949164522259</v>
      </c>
      <c r="P123" s="50">
        <f t="shared" si="61"/>
        <v>18</v>
      </c>
      <c r="Q123" s="8">
        <f t="shared" si="62"/>
        <v>20</v>
      </c>
      <c r="R123" s="48">
        <f t="shared" si="63"/>
        <v>4800</v>
      </c>
      <c r="S123" s="48">
        <f t="shared" si="64"/>
        <v>4080</v>
      </c>
      <c r="T123" s="48">
        <f t="shared" si="65"/>
        <v>473.20000000000005</v>
      </c>
      <c r="U123" s="48">
        <f t="shared" si="66"/>
        <v>16987.88</v>
      </c>
      <c r="V123" s="48">
        <f t="shared" si="67"/>
        <v>300000</v>
      </c>
      <c r="W123" s="48">
        <f t="shared" si="68"/>
        <v>1000000</v>
      </c>
      <c r="X123" s="48">
        <f t="shared" si="69"/>
        <v>480000</v>
      </c>
      <c r="Y123" s="48">
        <f t="shared" si="70"/>
        <v>698916.4</v>
      </c>
      <c r="Z123" s="48">
        <f t="shared" si="71"/>
        <v>2478916.4</v>
      </c>
      <c r="AA123" s="37">
        <f t="shared" si="72"/>
        <v>0.27857142857142858</v>
      </c>
      <c r="AB123" s="49">
        <f t="shared" si="73"/>
        <v>0.387767857142857</v>
      </c>
      <c r="AC123" s="49">
        <f t="shared" si="74"/>
        <v>0.775535714285714</v>
      </c>
      <c r="AD123" s="50">
        <f t="shared" si="75"/>
        <v>15.185879999999999</v>
      </c>
      <c r="AE123" s="8">
        <f t="shared" si="76"/>
        <v>0</v>
      </c>
      <c r="AF123" s="51">
        <f t="shared" si="77"/>
        <v>2478916.4</v>
      </c>
      <c r="AG123" s="8">
        <f t="shared" si="79"/>
        <v>9.9999999999999997E+98</v>
      </c>
      <c r="AH123" s="8" t="str">
        <f t="shared" si="78"/>
        <v>height duplicate</v>
      </c>
      <c r="AI123" s="52">
        <f t="shared" si="80"/>
        <v>720000002478916.38</v>
      </c>
    </row>
    <row r="124" spans="1:35" ht="15" customHeight="1" x14ac:dyDescent="0.25">
      <c r="A124" s="8">
        <v>117</v>
      </c>
      <c r="B124" s="8">
        <f t="shared" si="82"/>
        <v>6</v>
      </c>
      <c r="C124" s="8">
        <v>17</v>
      </c>
      <c r="D124" s="49">
        <f t="shared" si="49"/>
        <v>0.6</v>
      </c>
      <c r="E124" s="50">
        <f t="shared" si="50"/>
        <v>46.711309523809518</v>
      </c>
      <c r="F124" s="37">
        <f t="shared" si="51"/>
        <v>0.77852182539682535</v>
      </c>
      <c r="G124" s="8">
        <f t="shared" si="52"/>
        <v>2</v>
      </c>
      <c r="H124" s="8">
        <f t="shared" si="53"/>
        <v>27</v>
      </c>
      <c r="I124" s="50">
        <f t="shared" si="54"/>
        <v>27</v>
      </c>
      <c r="J124" s="50">
        <f t="shared" si="55"/>
        <v>16.900000000000002</v>
      </c>
      <c r="K124" s="50">
        <f t="shared" si="56"/>
        <v>36.549999999999997</v>
      </c>
      <c r="L124" s="50">
        <f t="shared" si="57"/>
        <v>6.75</v>
      </c>
      <c r="M124" s="37">
        <f t="shared" si="58"/>
        <v>6.0828889847787408</v>
      </c>
      <c r="N124" s="37">
        <f t="shared" si="59"/>
        <v>6.5142857142857142</v>
      </c>
      <c r="O124" s="50">
        <f t="shared" si="60"/>
        <v>83.194349398128907</v>
      </c>
      <c r="P124" s="50">
        <f t="shared" si="61"/>
        <v>19</v>
      </c>
      <c r="Q124" s="8">
        <f t="shared" si="62"/>
        <v>21</v>
      </c>
      <c r="R124" s="48">
        <f t="shared" si="63"/>
        <v>4896</v>
      </c>
      <c r="S124" s="48">
        <f t="shared" si="64"/>
        <v>4161.5999999999995</v>
      </c>
      <c r="T124" s="48">
        <f t="shared" si="65"/>
        <v>456.30000000000007</v>
      </c>
      <c r="U124" s="48">
        <f t="shared" si="66"/>
        <v>17362.215</v>
      </c>
      <c r="V124" s="48">
        <f t="shared" si="67"/>
        <v>300000</v>
      </c>
      <c r="W124" s="48">
        <f t="shared" si="68"/>
        <v>1050000</v>
      </c>
      <c r="X124" s="48">
        <f t="shared" si="69"/>
        <v>489600</v>
      </c>
      <c r="Y124" s="48">
        <f t="shared" si="70"/>
        <v>703386.45000000007</v>
      </c>
      <c r="Z124" s="48">
        <f t="shared" si="71"/>
        <v>2542986.4500000002</v>
      </c>
      <c r="AA124" s="37">
        <f t="shared" si="72"/>
        <v>0.28888888888888892</v>
      </c>
      <c r="AB124" s="49">
        <f t="shared" si="73"/>
        <v>0.38926091269841268</v>
      </c>
      <c r="AC124" s="49">
        <f t="shared" si="74"/>
        <v>0.77852182539682535</v>
      </c>
      <c r="AD124" s="50">
        <f t="shared" si="75"/>
        <v>15.4671</v>
      </c>
      <c r="AE124" s="8">
        <f t="shared" si="76"/>
        <v>0</v>
      </c>
      <c r="AF124" s="51">
        <f t="shared" si="77"/>
        <v>2542986.4500000002</v>
      </c>
      <c r="AG124" s="8">
        <f t="shared" si="79"/>
        <v>9.9999999999999997E+98</v>
      </c>
      <c r="AH124" s="8" t="str">
        <f t="shared" si="78"/>
        <v>height duplicate</v>
      </c>
      <c r="AI124" s="52">
        <f t="shared" si="80"/>
        <v>827500002542986.38</v>
      </c>
    </row>
    <row r="125" spans="1:35" ht="15" customHeight="1" x14ac:dyDescent="0.25">
      <c r="A125" s="8">
        <v>118</v>
      </c>
      <c r="B125" s="8">
        <f t="shared" si="82"/>
        <v>6</v>
      </c>
      <c r="C125" s="8">
        <v>18</v>
      </c>
      <c r="D125" s="49">
        <f t="shared" si="49"/>
        <v>0.6</v>
      </c>
      <c r="E125" s="50">
        <f t="shared" si="50"/>
        <v>46.890476190476186</v>
      </c>
      <c r="F125" s="37">
        <f t="shared" si="51"/>
        <v>0.78150793650793637</v>
      </c>
      <c r="G125" s="8">
        <f t="shared" si="52"/>
        <v>2</v>
      </c>
      <c r="H125" s="8">
        <f t="shared" si="53"/>
        <v>25</v>
      </c>
      <c r="I125" s="50">
        <f t="shared" si="54"/>
        <v>25</v>
      </c>
      <c r="J125" s="50">
        <f t="shared" si="55"/>
        <v>16.900000000000002</v>
      </c>
      <c r="K125" s="50">
        <f t="shared" si="56"/>
        <v>38.699999999999996</v>
      </c>
      <c r="L125" s="50">
        <f t="shared" si="57"/>
        <v>6.25</v>
      </c>
      <c r="M125" s="37">
        <f t="shared" si="58"/>
        <v>5.8998058178467536</v>
      </c>
      <c r="N125" s="37">
        <f t="shared" si="59"/>
        <v>6.5142857142857142</v>
      </c>
      <c r="O125" s="50">
        <f t="shared" si="60"/>
        <v>82.828183064264934</v>
      </c>
      <c r="P125" s="50">
        <f t="shared" si="61"/>
        <v>20</v>
      </c>
      <c r="Q125" s="8">
        <f t="shared" si="62"/>
        <v>22</v>
      </c>
      <c r="R125" s="48">
        <f t="shared" si="63"/>
        <v>4752</v>
      </c>
      <c r="S125" s="48">
        <f t="shared" si="64"/>
        <v>4039.2</v>
      </c>
      <c r="T125" s="48">
        <f t="shared" si="65"/>
        <v>422.50000000000006</v>
      </c>
      <c r="U125" s="48">
        <f t="shared" si="66"/>
        <v>16984.5</v>
      </c>
      <c r="V125" s="48">
        <f t="shared" si="67"/>
        <v>300000</v>
      </c>
      <c r="W125" s="48">
        <f t="shared" si="68"/>
        <v>1100000</v>
      </c>
      <c r="X125" s="48">
        <f t="shared" si="69"/>
        <v>475200</v>
      </c>
      <c r="Y125" s="48">
        <f t="shared" si="70"/>
        <v>678535</v>
      </c>
      <c r="Z125" s="48">
        <f t="shared" si="71"/>
        <v>2553735</v>
      </c>
      <c r="AA125" s="37">
        <f t="shared" si="72"/>
        <v>0.31200000000000006</v>
      </c>
      <c r="AB125" s="49">
        <f t="shared" si="73"/>
        <v>0.39075396825396819</v>
      </c>
      <c r="AC125" s="49">
        <f t="shared" si="74"/>
        <v>0.78150793650793637</v>
      </c>
      <c r="AD125" s="50">
        <f t="shared" si="75"/>
        <v>15.748319999999998</v>
      </c>
      <c r="AE125" s="8">
        <f t="shared" si="76"/>
        <v>0</v>
      </c>
      <c r="AF125" s="51">
        <f t="shared" si="77"/>
        <v>2553735</v>
      </c>
      <c r="AG125" s="8">
        <f t="shared" si="79"/>
        <v>9.9999999999999997E+98</v>
      </c>
      <c r="AH125" s="8" t="str">
        <f t="shared" si="78"/>
        <v>height duplicate</v>
      </c>
      <c r="AI125" s="52">
        <f t="shared" si="80"/>
        <v>935000002553734.88</v>
      </c>
    </row>
    <row r="126" spans="1:35" ht="15" customHeight="1" x14ac:dyDescent="0.25">
      <c r="A126" s="8">
        <v>119</v>
      </c>
      <c r="B126" s="8">
        <f t="shared" si="82"/>
        <v>6</v>
      </c>
      <c r="C126" s="8">
        <v>19</v>
      </c>
      <c r="D126" s="49">
        <f t="shared" si="49"/>
        <v>0.6</v>
      </c>
      <c r="E126" s="50">
        <f t="shared" si="50"/>
        <v>47.069642857142867</v>
      </c>
      <c r="F126" s="37">
        <f t="shared" si="51"/>
        <v>0.78449404761904773</v>
      </c>
      <c r="G126" s="8">
        <f t="shared" si="52"/>
        <v>2</v>
      </c>
      <c r="H126" s="8">
        <f t="shared" si="53"/>
        <v>24</v>
      </c>
      <c r="I126" s="50">
        <f t="shared" si="54"/>
        <v>24</v>
      </c>
      <c r="J126" s="50">
        <f t="shared" si="55"/>
        <v>16.900000000000002</v>
      </c>
      <c r="K126" s="50">
        <f t="shared" si="56"/>
        <v>40.85</v>
      </c>
      <c r="L126" s="50">
        <f t="shared" si="57"/>
        <v>6</v>
      </c>
      <c r="M126" s="37">
        <f t="shared" si="58"/>
        <v>5.8079822507332253</v>
      </c>
      <c r="N126" s="37">
        <f t="shared" si="59"/>
        <v>6.5142857142857142</v>
      </c>
      <c r="O126" s="50">
        <f t="shared" si="60"/>
        <v>82.644535930037875</v>
      </c>
      <c r="P126" s="50">
        <f t="shared" si="61"/>
        <v>21</v>
      </c>
      <c r="Q126" s="8">
        <f t="shared" si="62"/>
        <v>23</v>
      </c>
      <c r="R126" s="48">
        <f t="shared" si="63"/>
        <v>4788</v>
      </c>
      <c r="S126" s="48">
        <f t="shared" si="64"/>
        <v>4069.7999999999997</v>
      </c>
      <c r="T126" s="48">
        <f t="shared" si="65"/>
        <v>405.6</v>
      </c>
      <c r="U126" s="48">
        <f t="shared" si="66"/>
        <v>17177.16</v>
      </c>
      <c r="V126" s="48">
        <f t="shared" si="67"/>
        <v>300000</v>
      </c>
      <c r="W126" s="48">
        <f t="shared" si="68"/>
        <v>1150000</v>
      </c>
      <c r="X126" s="48">
        <f t="shared" si="69"/>
        <v>478800</v>
      </c>
      <c r="Y126" s="48">
        <f t="shared" si="70"/>
        <v>677554.8</v>
      </c>
      <c r="Z126" s="48">
        <f t="shared" si="71"/>
        <v>2606354.7999999998</v>
      </c>
      <c r="AA126" s="37">
        <f t="shared" si="72"/>
        <v>0.32500000000000001</v>
      </c>
      <c r="AB126" s="49">
        <f t="shared" si="73"/>
        <v>0.39224702380952386</v>
      </c>
      <c r="AC126" s="49">
        <f t="shared" si="74"/>
        <v>0.78449404761904773</v>
      </c>
      <c r="AD126" s="50">
        <f t="shared" si="75"/>
        <v>16.029539999999997</v>
      </c>
      <c r="AE126" s="8">
        <f t="shared" si="76"/>
        <v>0</v>
      </c>
      <c r="AF126" s="51">
        <f t="shared" si="77"/>
        <v>2606354.7999999998</v>
      </c>
      <c r="AG126" s="8">
        <f t="shared" si="79"/>
        <v>9.9999999999999997E+98</v>
      </c>
      <c r="AH126" s="8" t="str">
        <f t="shared" si="78"/>
        <v>height duplicate</v>
      </c>
      <c r="AI126" s="52">
        <f t="shared" si="80"/>
        <v>1042500002606354.9</v>
      </c>
    </row>
    <row r="127" spans="1:35" ht="15" customHeight="1" x14ac:dyDescent="0.25">
      <c r="A127" s="8">
        <v>120</v>
      </c>
      <c r="B127" s="8">
        <f t="shared" si="82"/>
        <v>6</v>
      </c>
      <c r="C127" s="8">
        <v>20</v>
      </c>
      <c r="D127" s="49">
        <f t="shared" si="49"/>
        <v>0.59999999999999987</v>
      </c>
      <c r="E127" s="50">
        <f t="shared" si="50"/>
        <v>47.248809523809541</v>
      </c>
      <c r="F127" s="37">
        <f t="shared" si="51"/>
        <v>0.78748015873015886</v>
      </c>
      <c r="G127" s="8">
        <f t="shared" si="52"/>
        <v>2</v>
      </c>
      <c r="H127" s="8">
        <f t="shared" si="53"/>
        <v>23</v>
      </c>
      <c r="I127" s="50">
        <f t="shared" si="54"/>
        <v>23</v>
      </c>
      <c r="J127" s="50">
        <f t="shared" si="55"/>
        <v>16.900000000000002</v>
      </c>
      <c r="K127" s="50">
        <f t="shared" si="56"/>
        <v>43</v>
      </c>
      <c r="L127" s="50">
        <f t="shared" si="57"/>
        <v>5.75</v>
      </c>
      <c r="M127" s="37">
        <f t="shared" si="58"/>
        <v>5.7159380007651057</v>
      </c>
      <c r="N127" s="37">
        <f t="shared" si="59"/>
        <v>6.5142857142857142</v>
      </c>
      <c r="O127" s="50">
        <f t="shared" si="60"/>
        <v>82.460447430101638</v>
      </c>
      <c r="P127" s="50">
        <f t="shared" si="61"/>
        <v>22</v>
      </c>
      <c r="Q127" s="8">
        <f t="shared" si="62"/>
        <v>24</v>
      </c>
      <c r="R127" s="48">
        <f t="shared" si="63"/>
        <v>4800</v>
      </c>
      <c r="S127" s="48">
        <f t="shared" si="64"/>
        <v>4080</v>
      </c>
      <c r="T127" s="48">
        <f t="shared" si="65"/>
        <v>388.70000000000005</v>
      </c>
      <c r="U127" s="48">
        <f t="shared" si="66"/>
        <v>17297.150000000001</v>
      </c>
      <c r="V127" s="48">
        <f t="shared" si="67"/>
        <v>300000</v>
      </c>
      <c r="W127" s="48">
        <f t="shared" si="68"/>
        <v>1200000</v>
      </c>
      <c r="X127" s="48">
        <f t="shared" si="69"/>
        <v>480000</v>
      </c>
      <c r="Y127" s="48">
        <f t="shared" si="70"/>
        <v>674394.50000000012</v>
      </c>
      <c r="Z127" s="48">
        <f t="shared" si="71"/>
        <v>2654394.5</v>
      </c>
      <c r="AA127" s="37">
        <f t="shared" si="72"/>
        <v>0.33913043478260874</v>
      </c>
      <c r="AB127" s="49">
        <f t="shared" si="73"/>
        <v>0.39374007936507943</v>
      </c>
      <c r="AC127" s="49">
        <f t="shared" si="74"/>
        <v>0.78748015873015886</v>
      </c>
      <c r="AD127" s="50">
        <f t="shared" si="75"/>
        <v>16.310760000000005</v>
      </c>
      <c r="AE127" s="8">
        <f t="shared" si="76"/>
        <v>0</v>
      </c>
      <c r="AF127" s="51">
        <f t="shared" si="77"/>
        <v>2654394.5</v>
      </c>
      <c r="AG127" s="8">
        <f t="shared" si="79"/>
        <v>9.9999999999999997E+98</v>
      </c>
      <c r="AH127" s="8" t="str">
        <f t="shared" si="78"/>
        <v>height duplicate</v>
      </c>
      <c r="AI127" s="52">
        <f t="shared" si="80"/>
        <v>1150000002654394.5</v>
      </c>
    </row>
    <row r="128" spans="1:35" ht="15" customHeight="1" x14ac:dyDescent="0.25">
      <c r="A128" s="8">
        <v>121</v>
      </c>
      <c r="B128" s="8">
        <f t="shared" ref="B128:B147" si="83">$H$3</f>
        <v>6</v>
      </c>
      <c r="C128" s="8">
        <v>1</v>
      </c>
      <c r="D128" s="49">
        <f t="shared" si="49"/>
        <v>0</v>
      </c>
      <c r="E128" s="50">
        <f t="shared" si="50"/>
        <v>0</v>
      </c>
      <c r="F128" s="37">
        <f t="shared" si="51"/>
        <v>0</v>
      </c>
      <c r="G128" s="8">
        <f t="shared" si="52"/>
        <v>0</v>
      </c>
      <c r="H128" s="8">
        <f t="shared" si="53"/>
        <v>393</v>
      </c>
      <c r="I128" s="50">
        <f t="shared" si="54"/>
        <v>393</v>
      </c>
      <c r="J128" s="50">
        <f t="shared" si="55"/>
        <v>16.900000000000002</v>
      </c>
      <c r="K128" s="50">
        <f t="shared" si="56"/>
        <v>2.15</v>
      </c>
      <c r="L128" s="50">
        <f t="shared" si="57"/>
        <v>393</v>
      </c>
      <c r="M128" s="37">
        <f t="shared" si="58"/>
        <v>144.0847456395968</v>
      </c>
      <c r="N128" s="37">
        <f t="shared" si="59"/>
        <v>6.5142857142857142</v>
      </c>
      <c r="O128" s="50">
        <f t="shared" si="60"/>
        <v>359.19806270776502</v>
      </c>
      <c r="P128" s="50">
        <f t="shared" si="61"/>
        <v>14</v>
      </c>
      <c r="Q128" s="8">
        <f t="shared" si="62"/>
        <v>16</v>
      </c>
      <c r="R128" s="48">
        <f t="shared" si="63"/>
        <v>4716</v>
      </c>
      <c r="S128" s="48">
        <f t="shared" si="64"/>
        <v>4008.6</v>
      </c>
      <c r="T128" s="48">
        <f t="shared" si="65"/>
        <v>6641.7000000000007</v>
      </c>
      <c r="U128" s="48">
        <f t="shared" si="66"/>
        <v>24242.205000000002</v>
      </c>
      <c r="V128" s="48">
        <f t="shared" si="67"/>
        <v>0</v>
      </c>
      <c r="W128" s="48">
        <f t="shared" si="68"/>
        <v>800000</v>
      </c>
      <c r="X128" s="48">
        <f t="shared" si="69"/>
        <v>471600</v>
      </c>
      <c r="Y128" s="48">
        <f t="shared" si="70"/>
        <v>3383946.1500000004</v>
      </c>
      <c r="Z128" s="48">
        <f t="shared" si="71"/>
        <v>4655546.1500000004</v>
      </c>
      <c r="AA128" s="37">
        <f t="shared" si="72"/>
        <v>1.984732824427481E-2</v>
      </c>
      <c r="AB128" s="49">
        <f t="shared" si="73"/>
        <v>0</v>
      </c>
      <c r="AC128" s="49" t="str">
        <f t="shared" si="74"/>
        <v>n/a</v>
      </c>
      <c r="AD128" s="50">
        <f t="shared" si="75"/>
        <v>0</v>
      </c>
      <c r="AE128" s="8">
        <f t="shared" si="76"/>
        <v>0</v>
      </c>
      <c r="AF128" s="51">
        <f t="shared" si="77"/>
        <v>4655546.1500000004</v>
      </c>
      <c r="AG128" s="8">
        <f t="shared" si="79"/>
        <v>9.9999999999999997E+98</v>
      </c>
      <c r="AH128" s="8" t="str">
        <f t="shared" si="78"/>
        <v>footprint lanes&gt;300 duplicate</v>
      </c>
      <c r="AI128" s="52">
        <f t="shared" si="80"/>
        <v>5860000004655545</v>
      </c>
    </row>
    <row r="129" spans="1:35" ht="15" customHeight="1" x14ac:dyDescent="0.25">
      <c r="A129" s="8">
        <v>122</v>
      </c>
      <c r="B129" s="8">
        <f t="shared" si="83"/>
        <v>6</v>
      </c>
      <c r="C129" s="8">
        <v>2</v>
      </c>
      <c r="D129" s="49">
        <f t="shared" si="49"/>
        <v>0.5</v>
      </c>
      <c r="E129" s="50">
        <f t="shared" si="50"/>
        <v>41.157142857142851</v>
      </c>
      <c r="F129" s="37">
        <f t="shared" si="51"/>
        <v>0.57162698412698409</v>
      </c>
      <c r="G129" s="8">
        <f t="shared" si="52"/>
        <v>2</v>
      </c>
      <c r="H129" s="8">
        <f t="shared" si="53"/>
        <v>200</v>
      </c>
      <c r="I129" s="50">
        <f t="shared" si="54"/>
        <v>200</v>
      </c>
      <c r="J129" s="50">
        <f t="shared" si="55"/>
        <v>16.900000000000002</v>
      </c>
      <c r="K129" s="50">
        <f t="shared" si="56"/>
        <v>4.3</v>
      </c>
      <c r="L129" s="50">
        <f t="shared" si="57"/>
        <v>50</v>
      </c>
      <c r="M129" s="37">
        <f t="shared" si="58"/>
        <v>21.57810072723084</v>
      </c>
      <c r="N129" s="37">
        <f t="shared" si="59"/>
        <v>6.5142857142857142</v>
      </c>
      <c r="O129" s="50">
        <f t="shared" si="60"/>
        <v>114.18477288303311</v>
      </c>
      <c r="P129" s="50">
        <f t="shared" si="61"/>
        <v>6</v>
      </c>
      <c r="Q129" s="8">
        <f t="shared" si="62"/>
        <v>8</v>
      </c>
      <c r="R129" s="48">
        <f t="shared" si="63"/>
        <v>4728</v>
      </c>
      <c r="S129" s="48">
        <f t="shared" si="64"/>
        <v>4018.7999999999997</v>
      </c>
      <c r="T129" s="48">
        <f t="shared" si="65"/>
        <v>3380.0000000000005</v>
      </c>
      <c r="U129" s="48">
        <f t="shared" si="66"/>
        <v>19604.000000000004</v>
      </c>
      <c r="V129" s="48">
        <f t="shared" si="67"/>
        <v>300000</v>
      </c>
      <c r="W129" s="48">
        <f t="shared" si="68"/>
        <v>400000</v>
      </c>
      <c r="X129" s="48">
        <f t="shared" si="69"/>
        <v>472800</v>
      </c>
      <c r="Y129" s="48">
        <f t="shared" si="70"/>
        <v>1940120.0000000005</v>
      </c>
      <c r="Z129" s="48">
        <f t="shared" si="71"/>
        <v>3112920.0000000005</v>
      </c>
      <c r="AA129" s="37">
        <f t="shared" si="72"/>
        <v>3.9000000000000007E-2</v>
      </c>
      <c r="AB129" s="49">
        <f t="shared" si="73"/>
        <v>0.28581349206349205</v>
      </c>
      <c r="AC129" s="49">
        <f t="shared" si="74"/>
        <v>0.57162698412698409</v>
      </c>
      <c r="AD129" s="50">
        <f t="shared" si="75"/>
        <v>5.6243999999999996</v>
      </c>
      <c r="AE129" s="8">
        <f t="shared" si="76"/>
        <v>0</v>
      </c>
      <c r="AF129" s="51">
        <f t="shared" si="77"/>
        <v>3112920.0000000005</v>
      </c>
      <c r="AG129" s="8">
        <f t="shared" si="79"/>
        <v>9.9999999999999997E+98</v>
      </c>
      <c r="AH129" s="8" t="str">
        <f t="shared" si="78"/>
        <v>footprint duplicate</v>
      </c>
      <c r="AI129" s="52">
        <f t="shared" si="80"/>
        <v>2333333336446253.5</v>
      </c>
    </row>
    <row r="130" spans="1:35" ht="15" customHeight="1" x14ac:dyDescent="0.25">
      <c r="A130" s="8">
        <v>123</v>
      </c>
      <c r="B130" s="8">
        <f t="shared" si="83"/>
        <v>6</v>
      </c>
      <c r="C130" s="8">
        <v>3</v>
      </c>
      <c r="D130" s="49">
        <f t="shared" si="49"/>
        <v>0.52941176470588236</v>
      </c>
      <c r="E130" s="50">
        <f t="shared" si="50"/>
        <v>41.634920634920626</v>
      </c>
      <c r="F130" s="37">
        <f t="shared" si="51"/>
        <v>0.61227824463118574</v>
      </c>
      <c r="G130" s="8">
        <f t="shared" si="52"/>
        <v>2</v>
      </c>
      <c r="H130" s="8">
        <f t="shared" si="53"/>
        <v>134</v>
      </c>
      <c r="I130" s="50">
        <f t="shared" si="54"/>
        <v>134</v>
      </c>
      <c r="J130" s="50">
        <f t="shared" si="55"/>
        <v>16.900000000000002</v>
      </c>
      <c r="K130" s="50">
        <f t="shared" si="56"/>
        <v>6.4499999999999993</v>
      </c>
      <c r="L130" s="50">
        <f t="shared" si="57"/>
        <v>33.5</v>
      </c>
      <c r="M130" s="37">
        <f t="shared" si="58"/>
        <v>15.681493622732603</v>
      </c>
      <c r="N130" s="37">
        <f t="shared" si="59"/>
        <v>6.5142857142857142</v>
      </c>
      <c r="O130" s="50">
        <f t="shared" si="60"/>
        <v>102.39155867403663</v>
      </c>
      <c r="P130" s="50">
        <f t="shared" si="61"/>
        <v>5</v>
      </c>
      <c r="Q130" s="8">
        <f t="shared" si="62"/>
        <v>7</v>
      </c>
      <c r="R130" s="48">
        <f t="shared" si="63"/>
        <v>4716</v>
      </c>
      <c r="S130" s="48">
        <f t="shared" si="64"/>
        <v>4008.6</v>
      </c>
      <c r="T130" s="48">
        <f t="shared" si="65"/>
        <v>2264.6000000000004</v>
      </c>
      <c r="U130" s="48">
        <f t="shared" si="66"/>
        <v>18003.57</v>
      </c>
      <c r="V130" s="48">
        <f t="shared" si="67"/>
        <v>300000</v>
      </c>
      <c r="W130" s="48">
        <f t="shared" si="68"/>
        <v>350000</v>
      </c>
      <c r="X130" s="48">
        <f t="shared" si="69"/>
        <v>471600</v>
      </c>
      <c r="Y130" s="48">
        <f t="shared" si="70"/>
        <v>1445947.1</v>
      </c>
      <c r="Z130" s="48">
        <f t="shared" si="71"/>
        <v>2567547.1</v>
      </c>
      <c r="AA130" s="37">
        <f t="shared" si="72"/>
        <v>5.8208955223880601E-2</v>
      </c>
      <c r="AB130" s="49">
        <f t="shared" si="73"/>
        <v>0.30613912231559287</v>
      </c>
      <c r="AC130" s="49">
        <f t="shared" si="74"/>
        <v>0.61227824463118574</v>
      </c>
      <c r="AD130" s="50">
        <f t="shared" si="75"/>
        <v>6.6169411764705863</v>
      </c>
      <c r="AE130" s="8">
        <f t="shared" si="76"/>
        <v>0</v>
      </c>
      <c r="AF130" s="51">
        <f t="shared" si="77"/>
        <v>2567547.1</v>
      </c>
      <c r="AG130" s="8">
        <f t="shared" si="79"/>
        <v>9.9999999999999997E+98</v>
      </c>
      <c r="AH130" s="8" t="str">
        <f t="shared" si="78"/>
        <v>footprint duplicate</v>
      </c>
      <c r="AI130" s="52">
        <f t="shared" si="80"/>
        <v>1233333335900880.8</v>
      </c>
    </row>
    <row r="131" spans="1:35" ht="15" customHeight="1" x14ac:dyDescent="0.25">
      <c r="A131" s="8">
        <v>124</v>
      </c>
      <c r="B131" s="8">
        <f t="shared" si="83"/>
        <v>6</v>
      </c>
      <c r="C131" s="8">
        <v>4</v>
      </c>
      <c r="D131" s="49">
        <f t="shared" si="49"/>
        <v>0.55555555555555558</v>
      </c>
      <c r="E131" s="50">
        <f t="shared" si="50"/>
        <v>42.447142857142843</v>
      </c>
      <c r="F131" s="37">
        <f t="shared" si="51"/>
        <v>0.65504850088183397</v>
      </c>
      <c r="G131" s="8">
        <f t="shared" si="52"/>
        <v>2</v>
      </c>
      <c r="H131" s="8">
        <f t="shared" si="53"/>
        <v>102</v>
      </c>
      <c r="I131" s="50">
        <f t="shared" si="54"/>
        <v>102</v>
      </c>
      <c r="J131" s="50">
        <f t="shared" si="55"/>
        <v>16.900000000000002</v>
      </c>
      <c r="K131" s="50">
        <f t="shared" si="56"/>
        <v>8.6</v>
      </c>
      <c r="L131" s="50">
        <f t="shared" si="57"/>
        <v>25.5</v>
      </c>
      <c r="M131" s="37">
        <f t="shared" si="58"/>
        <v>12.820785739668324</v>
      </c>
      <c r="N131" s="37">
        <f t="shared" si="59"/>
        <v>6.5142857142857142</v>
      </c>
      <c r="O131" s="50">
        <f t="shared" si="60"/>
        <v>96.670142907908073</v>
      </c>
      <c r="P131" s="50">
        <f t="shared" si="61"/>
        <v>6</v>
      </c>
      <c r="Q131" s="8">
        <f t="shared" si="62"/>
        <v>8</v>
      </c>
      <c r="R131" s="48">
        <f t="shared" si="63"/>
        <v>4752</v>
      </c>
      <c r="S131" s="48">
        <f t="shared" si="64"/>
        <v>4039.2</v>
      </c>
      <c r="T131" s="48">
        <f t="shared" si="65"/>
        <v>1723.8000000000002</v>
      </c>
      <c r="U131" s="48">
        <f t="shared" si="66"/>
        <v>17410.38</v>
      </c>
      <c r="V131" s="48">
        <f t="shared" si="67"/>
        <v>300000</v>
      </c>
      <c r="W131" s="48">
        <f t="shared" si="68"/>
        <v>400000</v>
      </c>
      <c r="X131" s="48">
        <f t="shared" si="69"/>
        <v>475200</v>
      </c>
      <c r="Y131" s="48">
        <f t="shared" si="70"/>
        <v>1211831.4000000001</v>
      </c>
      <c r="Z131" s="48">
        <f t="shared" si="71"/>
        <v>2387031.4000000004</v>
      </c>
      <c r="AA131" s="37">
        <f t="shared" si="72"/>
        <v>7.6470588235294124E-2</v>
      </c>
      <c r="AB131" s="49">
        <f t="shared" si="73"/>
        <v>0.32752425044091699</v>
      </c>
      <c r="AC131" s="49">
        <f t="shared" si="74"/>
        <v>0.65504850088183397</v>
      </c>
      <c r="AD131" s="50">
        <f t="shared" si="75"/>
        <v>8.124133333333333</v>
      </c>
      <c r="AE131" s="8">
        <f t="shared" si="76"/>
        <v>0</v>
      </c>
      <c r="AF131" s="51">
        <f t="shared" si="77"/>
        <v>2387031.4000000004</v>
      </c>
      <c r="AG131" s="8">
        <f t="shared" si="79"/>
        <v>9.9999999999999997E+98</v>
      </c>
      <c r="AH131" s="8" t="str">
        <f t="shared" si="78"/>
        <v>footprint duplicate</v>
      </c>
      <c r="AI131" s="52">
        <f t="shared" si="80"/>
        <v>700000002387031.38</v>
      </c>
    </row>
    <row r="132" spans="1:35" ht="15" customHeight="1" x14ac:dyDescent="0.25">
      <c r="A132" s="8">
        <v>125</v>
      </c>
      <c r="B132" s="8">
        <f t="shared" si="83"/>
        <v>6</v>
      </c>
      <c r="C132" s="8">
        <v>5</v>
      </c>
      <c r="D132" s="49">
        <f t="shared" si="49"/>
        <v>0.57894736842105265</v>
      </c>
      <c r="E132" s="50">
        <f t="shared" si="50"/>
        <v>43.502597402597381</v>
      </c>
      <c r="F132" s="37">
        <f t="shared" si="51"/>
        <v>0.69960317460317434</v>
      </c>
      <c r="G132" s="8">
        <f t="shared" si="52"/>
        <v>2</v>
      </c>
      <c r="H132" s="8">
        <f t="shared" si="53"/>
        <v>82</v>
      </c>
      <c r="I132" s="50">
        <f t="shared" si="54"/>
        <v>82</v>
      </c>
      <c r="J132" s="50">
        <f t="shared" si="55"/>
        <v>16.900000000000002</v>
      </c>
      <c r="K132" s="50">
        <f t="shared" si="56"/>
        <v>10.75</v>
      </c>
      <c r="L132" s="50">
        <f t="shared" si="57"/>
        <v>20.5</v>
      </c>
      <c r="M132" s="37">
        <f t="shared" si="58"/>
        <v>11.03143034516234</v>
      </c>
      <c r="N132" s="37">
        <f t="shared" si="59"/>
        <v>6.5142857142857142</v>
      </c>
      <c r="O132" s="50">
        <f t="shared" si="60"/>
        <v>93.091432118896108</v>
      </c>
      <c r="P132" s="50">
        <f t="shared" si="61"/>
        <v>7</v>
      </c>
      <c r="Q132" s="8">
        <f t="shared" si="62"/>
        <v>9</v>
      </c>
      <c r="R132" s="48">
        <f t="shared" si="63"/>
        <v>4740</v>
      </c>
      <c r="S132" s="48">
        <f t="shared" si="64"/>
        <v>4029</v>
      </c>
      <c r="T132" s="48">
        <f t="shared" si="65"/>
        <v>1385.8000000000002</v>
      </c>
      <c r="U132" s="48">
        <f t="shared" si="66"/>
        <v>16976.050000000003</v>
      </c>
      <c r="V132" s="48">
        <f t="shared" si="67"/>
        <v>300000</v>
      </c>
      <c r="W132" s="48">
        <f t="shared" si="68"/>
        <v>450000</v>
      </c>
      <c r="X132" s="48">
        <f t="shared" si="69"/>
        <v>474000</v>
      </c>
      <c r="Y132" s="48">
        <f t="shared" si="70"/>
        <v>1063601.5000000002</v>
      </c>
      <c r="Z132" s="48">
        <f t="shared" si="71"/>
        <v>2287601.5</v>
      </c>
      <c r="AA132" s="37">
        <f t="shared" si="72"/>
        <v>9.512195121951221E-2</v>
      </c>
      <c r="AB132" s="49">
        <f t="shared" si="73"/>
        <v>0.34980158730158717</v>
      </c>
      <c r="AC132" s="49">
        <f t="shared" si="74"/>
        <v>0.69960317460317434</v>
      </c>
      <c r="AD132" s="50">
        <f t="shared" si="75"/>
        <v>10.064715789473683</v>
      </c>
      <c r="AE132" s="8">
        <f t="shared" si="76"/>
        <v>0</v>
      </c>
      <c r="AF132" s="51">
        <f t="shared" si="77"/>
        <v>2287601.5</v>
      </c>
      <c r="AG132" s="8">
        <f t="shared" si="79"/>
        <v>9.9999999999999997E+98</v>
      </c>
      <c r="AH132" s="8" t="str">
        <f t="shared" si="78"/>
        <v>footprint duplicate</v>
      </c>
      <c r="AI132" s="52">
        <f t="shared" si="80"/>
        <v>366666668954268.19</v>
      </c>
    </row>
    <row r="133" spans="1:35" ht="15" customHeight="1" x14ac:dyDescent="0.25">
      <c r="A133" s="8">
        <v>126</v>
      </c>
      <c r="B133" s="8">
        <f t="shared" si="83"/>
        <v>6</v>
      </c>
      <c r="C133" s="8">
        <v>6</v>
      </c>
      <c r="D133" s="49">
        <f t="shared" si="49"/>
        <v>0.60000000000000009</v>
      </c>
      <c r="E133" s="50">
        <f t="shared" si="50"/>
        <v>44.740476190476173</v>
      </c>
      <c r="F133" s="37">
        <f t="shared" si="51"/>
        <v>0.74567460317460299</v>
      </c>
      <c r="G133" s="8">
        <f t="shared" si="52"/>
        <v>2</v>
      </c>
      <c r="H133" s="8">
        <f t="shared" si="53"/>
        <v>69</v>
      </c>
      <c r="I133" s="50">
        <f t="shared" si="54"/>
        <v>69</v>
      </c>
      <c r="J133" s="50">
        <f t="shared" si="55"/>
        <v>16.900000000000002</v>
      </c>
      <c r="K133" s="50">
        <f t="shared" si="56"/>
        <v>12.899999999999999</v>
      </c>
      <c r="L133" s="50">
        <f t="shared" si="57"/>
        <v>17.25</v>
      </c>
      <c r="M133" s="37">
        <f t="shared" si="58"/>
        <v>9.8672174288264642</v>
      </c>
      <c r="N133" s="37">
        <f t="shared" si="59"/>
        <v>6.5142857142857142</v>
      </c>
      <c r="O133" s="50">
        <f t="shared" si="60"/>
        <v>90.763006286224353</v>
      </c>
      <c r="P133" s="50">
        <f t="shared" si="61"/>
        <v>8</v>
      </c>
      <c r="Q133" s="8">
        <f t="shared" si="62"/>
        <v>10</v>
      </c>
      <c r="R133" s="48">
        <f t="shared" si="63"/>
        <v>4752</v>
      </c>
      <c r="S133" s="48">
        <f t="shared" si="64"/>
        <v>4039.2</v>
      </c>
      <c r="T133" s="48">
        <f t="shared" si="65"/>
        <v>1166.1000000000001</v>
      </c>
      <c r="U133" s="48">
        <f t="shared" si="66"/>
        <v>16791.84</v>
      </c>
      <c r="V133" s="48">
        <f t="shared" si="67"/>
        <v>300000</v>
      </c>
      <c r="W133" s="48">
        <f t="shared" si="68"/>
        <v>500000</v>
      </c>
      <c r="X133" s="48">
        <f t="shared" si="69"/>
        <v>475200</v>
      </c>
      <c r="Y133" s="48">
        <f t="shared" si="70"/>
        <v>970195.20000000007</v>
      </c>
      <c r="Z133" s="48">
        <f t="shared" si="71"/>
        <v>2245395.2000000002</v>
      </c>
      <c r="AA133" s="37">
        <f t="shared" si="72"/>
        <v>0.11304347826086958</v>
      </c>
      <c r="AB133" s="49">
        <f t="shared" si="73"/>
        <v>0.3728373015873015</v>
      </c>
      <c r="AC133" s="49">
        <f t="shared" si="74"/>
        <v>0.74567460317460299</v>
      </c>
      <c r="AD133" s="50">
        <f t="shared" si="75"/>
        <v>12.373679999999997</v>
      </c>
      <c r="AE133" s="8">
        <f t="shared" si="76"/>
        <v>0</v>
      </c>
      <c r="AF133" s="51">
        <f t="shared" si="77"/>
        <v>2245395.2000000002</v>
      </c>
      <c r="AG133" s="8">
        <f t="shared" si="79"/>
        <v>9.9999999999999997E+98</v>
      </c>
      <c r="AH133" s="8" t="str">
        <f t="shared" si="78"/>
        <v>footprint duplicate</v>
      </c>
      <c r="AI133" s="52">
        <f t="shared" si="80"/>
        <v>150000002245395.13</v>
      </c>
    </row>
    <row r="134" spans="1:35" ht="15" customHeight="1" x14ac:dyDescent="0.25">
      <c r="A134" s="8">
        <v>127</v>
      </c>
      <c r="B134" s="8">
        <f t="shared" si="83"/>
        <v>6</v>
      </c>
      <c r="C134" s="8">
        <v>7</v>
      </c>
      <c r="D134" s="49">
        <f t="shared" si="49"/>
        <v>0.60000000000000009</v>
      </c>
      <c r="E134" s="50">
        <f t="shared" si="50"/>
        <v>44.919642857142833</v>
      </c>
      <c r="F134" s="37">
        <f t="shared" si="51"/>
        <v>0.7486607142857139</v>
      </c>
      <c r="G134" s="8">
        <f t="shared" si="52"/>
        <v>2</v>
      </c>
      <c r="H134" s="8">
        <f t="shared" si="53"/>
        <v>60</v>
      </c>
      <c r="I134" s="50">
        <f t="shared" si="54"/>
        <v>60</v>
      </c>
      <c r="J134" s="50">
        <f t="shared" si="55"/>
        <v>16.900000000000002</v>
      </c>
      <c r="K134" s="50">
        <f t="shared" si="56"/>
        <v>15.049999999999999</v>
      </c>
      <c r="L134" s="50">
        <f t="shared" si="57"/>
        <v>15</v>
      </c>
      <c r="M134" s="37">
        <f t="shared" si="58"/>
        <v>9.0603357574361478</v>
      </c>
      <c r="N134" s="37">
        <f t="shared" si="59"/>
        <v>6.5142857142857142</v>
      </c>
      <c r="O134" s="50">
        <f t="shared" si="60"/>
        <v>89.149242943443724</v>
      </c>
      <c r="P134" s="50">
        <f t="shared" si="61"/>
        <v>9</v>
      </c>
      <c r="Q134" s="8">
        <f t="shared" si="62"/>
        <v>11</v>
      </c>
      <c r="R134" s="48">
        <f t="shared" si="63"/>
        <v>4788</v>
      </c>
      <c r="S134" s="48">
        <f t="shared" si="64"/>
        <v>4069.7999999999997</v>
      </c>
      <c r="T134" s="48">
        <f t="shared" si="65"/>
        <v>1014.0000000000001</v>
      </c>
      <c r="U134" s="48">
        <f t="shared" si="66"/>
        <v>16781.7</v>
      </c>
      <c r="V134" s="48">
        <f t="shared" si="67"/>
        <v>300000</v>
      </c>
      <c r="W134" s="48">
        <f t="shared" si="68"/>
        <v>550000</v>
      </c>
      <c r="X134" s="48">
        <f t="shared" si="69"/>
        <v>478800</v>
      </c>
      <c r="Y134" s="48">
        <f t="shared" si="70"/>
        <v>909051</v>
      </c>
      <c r="Z134" s="48">
        <f t="shared" si="71"/>
        <v>2237851</v>
      </c>
      <c r="AA134" s="37">
        <f t="shared" si="72"/>
        <v>0.13</v>
      </c>
      <c r="AB134" s="49">
        <f t="shared" si="73"/>
        <v>0.37433035714285695</v>
      </c>
      <c r="AC134" s="49">
        <f t="shared" si="74"/>
        <v>0.7486607142857139</v>
      </c>
      <c r="AD134" s="50">
        <f t="shared" si="75"/>
        <v>12.654899999999998</v>
      </c>
      <c r="AE134" s="8">
        <f t="shared" si="76"/>
        <v>0</v>
      </c>
      <c r="AF134" s="51">
        <f t="shared" si="77"/>
        <v>2237851</v>
      </c>
      <c r="AG134" s="8">
        <f t="shared" si="79"/>
        <v>9.9999999999999997E+98</v>
      </c>
      <c r="AH134" s="8" t="str">
        <f t="shared" si="78"/>
        <v>duplicate</v>
      </c>
      <c r="AI134" s="52">
        <f t="shared" si="80"/>
        <v>2237851.0284207077</v>
      </c>
    </row>
    <row r="135" spans="1:35" ht="15" customHeight="1" x14ac:dyDescent="0.25">
      <c r="A135" s="8">
        <v>128</v>
      </c>
      <c r="B135" s="8">
        <f t="shared" si="83"/>
        <v>6</v>
      </c>
      <c r="C135" s="8">
        <v>8</v>
      </c>
      <c r="D135" s="49">
        <f t="shared" ref="D135:D198" si="84">INDEX(Tc_pl,C135)</f>
        <v>0.60000000000000009</v>
      </c>
      <c r="E135" s="50">
        <f t="shared" ref="E135:E198" si="85">INDEX(Tc_S,C135)</f>
        <v>45.0988095238095</v>
      </c>
      <c r="F135" s="37">
        <f t="shared" ref="F135:F198" si="86">lam_total*D135*E135/3600</f>
        <v>0.75164682539682504</v>
      </c>
      <c r="G135" s="8">
        <f t="shared" ref="G135:G198" si="87">IF(F135&lt;=0.000000000001,0,MAX(ROUNDUP(F135/rho_max-0.000000001,0),IF(redund="Yes",ROUNDUP(F135/rho_fail-0.000000001,0)+1,0)))</f>
        <v>2</v>
      </c>
      <c r="H135" s="8">
        <f t="shared" ref="H135:H198" si="88">MAX(1,ROUNDUP((P_req/(B135*C135)+G135*lpl)/2-0.000000001,0))</f>
        <v>53</v>
      </c>
      <c r="I135" s="50">
        <f t="shared" ref="I135:I198" si="89">H135*u_w</f>
        <v>53</v>
      </c>
      <c r="J135" s="50">
        <f t="shared" ref="J135:J198" si="90">2*B135*u_d+aisle_w</f>
        <v>16.900000000000002</v>
      </c>
      <c r="K135" s="50">
        <f t="shared" ref="K135:K198" si="91">C135*u_h</f>
        <v>17.2</v>
      </c>
      <c r="L135" s="50">
        <f t="shared" ref="L135:L198" si="92">IF(G135=0,I135,I135/(2*G135))</f>
        <v>13.25</v>
      </c>
      <c r="M135" s="37">
        <f t="shared" ref="M135:M198" si="93">((IF((lane_off+(L135))&lt;=(v_sh^2/a_sh),(4/3)*(lane_off+(L135))^1.5/SQRT(a_sh),(4/3)*(v_sh^2/a_sh)^1.5/SQRT(a_sh)+((lane_off+(L135))^2-(v_sh^2/a_sh)^2)/(2*v_sh)+(v_sh/a_sh)*((lane_off+(L135))-(v_sh^2/a_sh))))-(IF((lane_off)&lt;=(v_sh^2/a_sh),(4/3)*(lane_off)^1.5/SQRT(a_sh),(4/3)*(v_sh^2/a_sh)^1.5/SQRT(a_sh)+((lane_off)^2-(v_sh^2/a_sh)^2)/(2*v_sh)+(v_sh/a_sh)*((lane_off)-(v_sh^2/a_sh)))))/(L135)</f>
        <v>8.4319838763428088</v>
      </c>
      <c r="N135" s="37">
        <f t="shared" ref="N135:N198" si="94">IF(((B135-1)*u_d/2*(1+f_hc)+lane_off)&lt;=0,0,IF(((B135-1)*u_d/2*(1+f_hc)+lane_off)&gt;=v_sh^2/a_sh,((B135-1)*u_d/2*(1+f_hc)+lane_off)/v_sh+v_sh/a_sh,2*SQRT(((B135-1)*u_d/2*(1+f_hc)+lane_off)/a_sh)))</f>
        <v>6.5142857142857142</v>
      </c>
      <c r="O135" s="50">
        <f t="shared" ref="O135:O198" si="95">2*t_sh+2*t_turn+2*M135+2*N135</f>
        <v>87.89253918125705</v>
      </c>
      <c r="P135" s="50">
        <f t="shared" ref="P135:P198" si="96">SUMPRODUCT((Tc_idx&lt;=C135)*(ROUNDUP(lam_total*INDEX(Tc_P,C135,0)*O135/(3600*rho_max)-0.000000001,0)+(ROUNDUP(lam_total*INDEX(Tc_P,C135,0)*O135/(3600*rho_max)-0.000000001,0)&lt;min_sh)*(min_sh-ROUNDUP(lam_total*INDEX(Tc_P,C135,0)*O135/(3600*rho_max)-0.000000001,0))))</f>
        <v>10</v>
      </c>
      <c r="Q135" s="8">
        <f t="shared" ref="Q135:Q198" si="97">ROUNDUP(P135-0.000000001,0)+spares</f>
        <v>12</v>
      </c>
      <c r="R135" s="48">
        <f t="shared" ref="R135:R198" si="98">B135*C135*(2*H135-G135*lpl)</f>
        <v>4800</v>
      </c>
      <c r="S135" s="48">
        <f t="shared" ref="S135:S198" si="99">R135*fill</f>
        <v>4080</v>
      </c>
      <c r="T135" s="48">
        <f t="shared" ref="T135:T198" si="100">I135*J135</f>
        <v>895.70000000000016</v>
      </c>
      <c r="U135" s="48">
        <f t="shared" ref="U135:U198" si="101">T135*(K135+headroom)</f>
        <v>16749.590000000004</v>
      </c>
      <c r="V135" s="48">
        <f t="shared" ref="V135:V198" si="102">G135*c_lift</f>
        <v>300000</v>
      </c>
      <c r="W135" s="48">
        <f t="shared" ref="W135:W198" si="103">Q135*c_shut</f>
        <v>600000</v>
      </c>
      <c r="X135" s="48">
        <f t="shared" ref="X135:X198" si="104">R135*c_pos</f>
        <v>480000</v>
      </c>
      <c r="Y135" s="48">
        <f t="shared" ref="Y135:Y198" si="105">T135*c_m2+U135*c_m3</f>
        <v>860767.70000000019</v>
      </c>
      <c r="Z135" s="48">
        <f t="shared" ref="Z135:Z198" si="106">SUM(V135:Y135)</f>
        <v>2240767.7000000002</v>
      </c>
      <c r="AA135" s="37">
        <f t="shared" ref="AA135:AA198" si="107">B135*u_d/(H135*u_w)</f>
        <v>0.14716981132075474</v>
      </c>
      <c r="AB135" s="49">
        <f t="shared" ref="AB135:AB198" si="108">IF(G135=0,0,F135/G135)</f>
        <v>0.37582341269841252</v>
      </c>
      <c r="AC135" s="49">
        <f t="shared" ref="AC135:AC198" si="109">IF(G135&gt;1,F135/(G135-1),"n/a")</f>
        <v>0.75164682539682504</v>
      </c>
      <c r="AD135" s="50">
        <f t="shared" ref="AD135:AD198" si="110">moves_day*m_pallet*9.81*INDEX(Tc_mh,C135)/3600000</f>
        <v>12.936119999999995</v>
      </c>
      <c r="AE135" s="8">
        <f t="shared" ref="AE135:AE198" si="111">IF(AND(K135&lt;=H_max,H135&lt;=300,G135&lt;=6,NOT(AND(env_use="Yes",NOT(OR(AND(I135&lt;=L_bldg,J135&lt;=W_bldg),AND(I135&lt;=W_bldg,J135&lt;=L_bldg))))),OR(lane_policy="Free (optimize N_C)",AND(B135=sku_pal,A135&lt;=20))),1,0)</f>
        <v>0</v>
      </c>
      <c r="AF135" s="51">
        <f t="shared" ref="AF135:AF198" si="112">IF(obj_mode="Total cost",Z135,IF(obj_mode="Shuttle cycle",O135,T135))</f>
        <v>2240767.7000000002</v>
      </c>
      <c r="AG135" s="8">
        <f t="shared" si="79"/>
        <v>9.9999999999999997E+98</v>
      </c>
      <c r="AH135" s="8" t="str">
        <f t="shared" ref="AH135:AH198" si="113">IF(AE135=1,"",TRIM(IF(K135&gt;H_max,"height ","")&amp;IF(AND(env_use="Yes",NOT(OR(AND(I135&lt;=L_bldg,J135&lt;=W_bldg),AND(I135&lt;=W_bldg,J135&lt;=L_bldg)))),"footprint ","")&amp;IF(H135&gt;300,"lanes&gt;300 ","")&amp;IF(G135&gt;6,"lifts&gt;6 ","")&amp;IF(AND(lane_policy&lt;&gt;"Free (optimize N_C)",B135&lt;&gt;sku_pal),"lane policy ","")&amp;IF(AND(lane_policy&lt;&gt;"Free (optimize N_C)",B135=sku_pal,A135&gt;20),"duplicate","")))</f>
        <v>duplicate</v>
      </c>
      <c r="AI135" s="52">
        <f t="shared" si="80"/>
        <v>2240767.7286818265</v>
      </c>
    </row>
    <row r="136" spans="1:35" ht="15" customHeight="1" x14ac:dyDescent="0.25">
      <c r="A136" s="8">
        <v>129</v>
      </c>
      <c r="B136" s="8">
        <f t="shared" si="83"/>
        <v>6</v>
      </c>
      <c r="C136" s="8">
        <v>9</v>
      </c>
      <c r="D136" s="49">
        <f t="shared" si="84"/>
        <v>0.6</v>
      </c>
      <c r="E136" s="50">
        <f t="shared" si="85"/>
        <v>45.277976190476181</v>
      </c>
      <c r="F136" s="37">
        <f t="shared" si="86"/>
        <v>0.75463293650793628</v>
      </c>
      <c r="G136" s="8">
        <f t="shared" si="87"/>
        <v>2</v>
      </c>
      <c r="H136" s="8">
        <f t="shared" si="88"/>
        <v>47</v>
      </c>
      <c r="I136" s="50">
        <f t="shared" si="89"/>
        <v>47</v>
      </c>
      <c r="J136" s="50">
        <f t="shared" si="90"/>
        <v>16.900000000000002</v>
      </c>
      <c r="K136" s="50">
        <f t="shared" si="91"/>
        <v>19.349999999999998</v>
      </c>
      <c r="L136" s="50">
        <f t="shared" si="92"/>
        <v>11.75</v>
      </c>
      <c r="M136" s="37">
        <f t="shared" si="93"/>
        <v>7.8926018787938661</v>
      </c>
      <c r="N136" s="37">
        <f t="shared" si="94"/>
        <v>6.5142857142857142</v>
      </c>
      <c r="O136" s="50">
        <f t="shared" si="95"/>
        <v>86.813775186159162</v>
      </c>
      <c r="P136" s="50">
        <f t="shared" si="96"/>
        <v>11</v>
      </c>
      <c r="Q136" s="8">
        <f t="shared" si="97"/>
        <v>13</v>
      </c>
      <c r="R136" s="48">
        <f t="shared" si="98"/>
        <v>4752</v>
      </c>
      <c r="S136" s="48">
        <f t="shared" si="99"/>
        <v>4039.2</v>
      </c>
      <c r="T136" s="48">
        <f t="shared" si="100"/>
        <v>794.30000000000007</v>
      </c>
      <c r="U136" s="48">
        <f t="shared" si="101"/>
        <v>16561.154999999999</v>
      </c>
      <c r="V136" s="48">
        <f t="shared" si="102"/>
        <v>300000</v>
      </c>
      <c r="W136" s="48">
        <f t="shared" si="103"/>
        <v>650000</v>
      </c>
      <c r="X136" s="48">
        <f t="shared" si="104"/>
        <v>475200</v>
      </c>
      <c r="Y136" s="48">
        <f t="shared" si="105"/>
        <v>814554.64999999991</v>
      </c>
      <c r="Z136" s="48">
        <f t="shared" si="106"/>
        <v>2239754.65</v>
      </c>
      <c r="AA136" s="37">
        <f t="shared" si="107"/>
        <v>0.16595744680851066</v>
      </c>
      <c r="AB136" s="49">
        <f t="shared" si="108"/>
        <v>0.37731646825396814</v>
      </c>
      <c r="AC136" s="49">
        <f t="shared" si="109"/>
        <v>0.75463293650793628</v>
      </c>
      <c r="AD136" s="50">
        <f t="shared" si="110"/>
        <v>13.217339999999998</v>
      </c>
      <c r="AE136" s="8">
        <f t="shared" si="111"/>
        <v>0</v>
      </c>
      <c r="AF136" s="51">
        <f t="shared" si="112"/>
        <v>2239754.65</v>
      </c>
      <c r="AG136" s="8">
        <f t="shared" ref="AG136:AG199" si="114">IF(AE136=1,AF136*(1+A136*0.0000000001),1E+99)</f>
        <v>9.9999999999999997E+98</v>
      </c>
      <c r="AH136" s="8" t="str">
        <f t="shared" si="113"/>
        <v>duplicate</v>
      </c>
      <c r="AI136" s="52">
        <f t="shared" ref="AI136:AI199" si="115">(MAX(0,K136/H_max-1)+IF(env_use="Yes",MIN(MAX(0,I136/L_bldg-1)+MAX(0,J136/W_bldg-1),MAX(0,I136/W_bldg-1)+MAX(0,J136/L_bldg-1)),0)+MAX(0,H136/300-1)+MAX(0,G136/6-1)+IF(AND(lane_policy&lt;&gt;"Free (optimize N_C)",B136&lt;&gt;sku_pal),1000,0))*1000000000000000+AF136*(1+A136*0.0000000001)</f>
        <v>2239754.6788928346</v>
      </c>
    </row>
    <row r="137" spans="1:35" ht="15" customHeight="1" x14ac:dyDescent="0.25">
      <c r="A137" s="8">
        <v>130</v>
      </c>
      <c r="B137" s="8">
        <f t="shared" si="83"/>
        <v>6</v>
      </c>
      <c r="C137" s="8">
        <v>10</v>
      </c>
      <c r="D137" s="49">
        <f t="shared" si="84"/>
        <v>0.60000000000000009</v>
      </c>
      <c r="E137" s="50">
        <f t="shared" si="85"/>
        <v>45.457142857142834</v>
      </c>
      <c r="F137" s="37">
        <f t="shared" si="86"/>
        <v>0.7576190476190473</v>
      </c>
      <c r="G137" s="8">
        <f t="shared" si="87"/>
        <v>2</v>
      </c>
      <c r="H137" s="8">
        <f t="shared" si="88"/>
        <v>43</v>
      </c>
      <c r="I137" s="50">
        <f t="shared" si="89"/>
        <v>43</v>
      </c>
      <c r="J137" s="50">
        <f t="shared" si="90"/>
        <v>16.900000000000002</v>
      </c>
      <c r="K137" s="50">
        <f t="shared" si="91"/>
        <v>21.5</v>
      </c>
      <c r="L137" s="50">
        <f t="shared" si="92"/>
        <v>10.75</v>
      </c>
      <c r="M137" s="37">
        <f t="shared" si="93"/>
        <v>7.5324452429341591</v>
      </c>
      <c r="N137" s="37">
        <f t="shared" si="94"/>
        <v>6.5142857142857142</v>
      </c>
      <c r="O137" s="50">
        <f t="shared" si="95"/>
        <v>86.093461914439743</v>
      </c>
      <c r="P137" s="50">
        <f t="shared" si="96"/>
        <v>12</v>
      </c>
      <c r="Q137" s="8">
        <f t="shared" si="97"/>
        <v>14</v>
      </c>
      <c r="R137" s="48">
        <f t="shared" si="98"/>
        <v>4800</v>
      </c>
      <c r="S137" s="48">
        <f t="shared" si="99"/>
        <v>4080</v>
      </c>
      <c r="T137" s="48">
        <f t="shared" si="100"/>
        <v>726.7</v>
      </c>
      <c r="U137" s="48">
        <f t="shared" si="101"/>
        <v>16714.100000000002</v>
      </c>
      <c r="V137" s="48">
        <f t="shared" si="102"/>
        <v>300000</v>
      </c>
      <c r="W137" s="48">
        <f t="shared" si="103"/>
        <v>700000</v>
      </c>
      <c r="X137" s="48">
        <f t="shared" si="104"/>
        <v>480000</v>
      </c>
      <c r="Y137" s="48">
        <f t="shared" si="105"/>
        <v>792103</v>
      </c>
      <c r="Z137" s="48">
        <f t="shared" si="106"/>
        <v>2272103</v>
      </c>
      <c r="AA137" s="37">
        <f t="shared" si="107"/>
        <v>0.18139534883720931</v>
      </c>
      <c r="AB137" s="49">
        <f t="shared" si="108"/>
        <v>0.37880952380952365</v>
      </c>
      <c r="AC137" s="49">
        <f t="shared" si="109"/>
        <v>0.7576190476190473</v>
      </c>
      <c r="AD137" s="50">
        <f t="shared" si="110"/>
        <v>13.498559999999996</v>
      </c>
      <c r="AE137" s="8">
        <f t="shared" si="111"/>
        <v>0</v>
      </c>
      <c r="AF137" s="51">
        <f t="shared" si="112"/>
        <v>2272103</v>
      </c>
      <c r="AG137" s="8">
        <f t="shared" si="114"/>
        <v>9.9999999999999997E+98</v>
      </c>
      <c r="AH137" s="8" t="str">
        <f t="shared" si="113"/>
        <v>height duplicate</v>
      </c>
      <c r="AI137" s="52">
        <f t="shared" si="115"/>
        <v>75000002272102.984</v>
      </c>
    </row>
    <row r="138" spans="1:35" ht="15" customHeight="1" x14ac:dyDescent="0.25">
      <c r="A138" s="8">
        <v>131</v>
      </c>
      <c r="B138" s="8">
        <f t="shared" si="83"/>
        <v>6</v>
      </c>
      <c r="C138" s="8">
        <v>11</v>
      </c>
      <c r="D138" s="49">
        <f t="shared" si="84"/>
        <v>0.6</v>
      </c>
      <c r="E138" s="50">
        <f t="shared" si="85"/>
        <v>45.636309523809516</v>
      </c>
      <c r="F138" s="37">
        <f t="shared" si="86"/>
        <v>0.76060515873015866</v>
      </c>
      <c r="G138" s="8">
        <f t="shared" si="87"/>
        <v>2</v>
      </c>
      <c r="H138" s="8">
        <f t="shared" si="88"/>
        <v>39</v>
      </c>
      <c r="I138" s="50">
        <f t="shared" si="89"/>
        <v>39</v>
      </c>
      <c r="J138" s="50">
        <f t="shared" si="90"/>
        <v>16.900000000000002</v>
      </c>
      <c r="K138" s="50">
        <f t="shared" si="91"/>
        <v>23.65</v>
      </c>
      <c r="L138" s="50">
        <f t="shared" si="92"/>
        <v>9.75</v>
      </c>
      <c r="M138" s="37">
        <f t="shared" si="93"/>
        <v>7.171670396055613</v>
      </c>
      <c r="N138" s="37">
        <f t="shared" si="94"/>
        <v>6.5142857142857142</v>
      </c>
      <c r="O138" s="50">
        <f t="shared" si="95"/>
        <v>85.371912220682646</v>
      </c>
      <c r="P138" s="50">
        <f t="shared" si="96"/>
        <v>13</v>
      </c>
      <c r="Q138" s="8">
        <f t="shared" si="97"/>
        <v>15</v>
      </c>
      <c r="R138" s="48">
        <f t="shared" si="98"/>
        <v>4752</v>
      </c>
      <c r="S138" s="48">
        <f t="shared" si="99"/>
        <v>4039.2</v>
      </c>
      <c r="T138" s="48">
        <f t="shared" si="100"/>
        <v>659.10000000000014</v>
      </c>
      <c r="U138" s="48">
        <f t="shared" si="101"/>
        <v>16576.365000000002</v>
      </c>
      <c r="V138" s="48">
        <f t="shared" si="102"/>
        <v>300000</v>
      </c>
      <c r="W138" s="48">
        <f t="shared" si="103"/>
        <v>750000</v>
      </c>
      <c r="X138" s="48">
        <f t="shared" si="104"/>
        <v>475200</v>
      </c>
      <c r="Y138" s="48">
        <f t="shared" si="105"/>
        <v>760930.95000000019</v>
      </c>
      <c r="Z138" s="48">
        <f t="shared" si="106"/>
        <v>2286130.9500000002</v>
      </c>
      <c r="AA138" s="37">
        <f t="shared" si="107"/>
        <v>0.2</v>
      </c>
      <c r="AB138" s="49">
        <f t="shared" si="108"/>
        <v>0.38030257936507933</v>
      </c>
      <c r="AC138" s="49">
        <f t="shared" si="109"/>
        <v>0.76060515873015866</v>
      </c>
      <c r="AD138" s="50">
        <f t="shared" si="110"/>
        <v>13.779779999999999</v>
      </c>
      <c r="AE138" s="8">
        <f t="shared" si="111"/>
        <v>0</v>
      </c>
      <c r="AF138" s="51">
        <f t="shared" si="112"/>
        <v>2286130.9500000002</v>
      </c>
      <c r="AG138" s="8">
        <f t="shared" si="114"/>
        <v>9.9999999999999997E+98</v>
      </c>
      <c r="AH138" s="8" t="str">
        <f t="shared" si="113"/>
        <v>height duplicate</v>
      </c>
      <c r="AI138" s="52">
        <f t="shared" si="115"/>
        <v>182500002286130.84</v>
      </c>
    </row>
    <row r="139" spans="1:35" ht="15" customHeight="1" x14ac:dyDescent="0.25">
      <c r="A139" s="8">
        <v>132</v>
      </c>
      <c r="B139" s="8">
        <f t="shared" si="83"/>
        <v>6</v>
      </c>
      <c r="C139" s="8">
        <v>12</v>
      </c>
      <c r="D139" s="49">
        <f t="shared" si="84"/>
        <v>0.6</v>
      </c>
      <c r="E139" s="50">
        <f t="shared" si="85"/>
        <v>45.815476190476183</v>
      </c>
      <c r="F139" s="37">
        <f t="shared" si="86"/>
        <v>0.76359126984126979</v>
      </c>
      <c r="G139" s="8">
        <f t="shared" si="87"/>
        <v>2</v>
      </c>
      <c r="H139" s="8">
        <f t="shared" si="88"/>
        <v>36</v>
      </c>
      <c r="I139" s="50">
        <f t="shared" si="89"/>
        <v>36</v>
      </c>
      <c r="J139" s="50">
        <f t="shared" si="90"/>
        <v>16.900000000000002</v>
      </c>
      <c r="K139" s="50">
        <f t="shared" si="91"/>
        <v>25.799999999999997</v>
      </c>
      <c r="L139" s="50">
        <f t="shared" si="92"/>
        <v>9</v>
      </c>
      <c r="M139" s="37">
        <f t="shared" si="93"/>
        <v>6.9005595957269135</v>
      </c>
      <c r="N139" s="37">
        <f t="shared" si="94"/>
        <v>6.5142857142857142</v>
      </c>
      <c r="O139" s="50">
        <f t="shared" si="95"/>
        <v>84.829690620025247</v>
      </c>
      <c r="P139" s="50">
        <f t="shared" si="96"/>
        <v>14</v>
      </c>
      <c r="Q139" s="8">
        <f t="shared" si="97"/>
        <v>16</v>
      </c>
      <c r="R139" s="48">
        <f t="shared" si="98"/>
        <v>4752</v>
      </c>
      <c r="S139" s="48">
        <f t="shared" si="99"/>
        <v>4039.2</v>
      </c>
      <c r="T139" s="48">
        <f t="shared" si="100"/>
        <v>608.40000000000009</v>
      </c>
      <c r="U139" s="48">
        <f t="shared" si="101"/>
        <v>16609.32</v>
      </c>
      <c r="V139" s="48">
        <f t="shared" si="102"/>
        <v>300000</v>
      </c>
      <c r="W139" s="48">
        <f t="shared" si="103"/>
        <v>800000</v>
      </c>
      <c r="X139" s="48">
        <f t="shared" si="104"/>
        <v>475200</v>
      </c>
      <c r="Y139" s="48">
        <f t="shared" si="105"/>
        <v>741639.6</v>
      </c>
      <c r="Z139" s="48">
        <f t="shared" si="106"/>
        <v>2316839.6</v>
      </c>
      <c r="AA139" s="37">
        <f t="shared" si="107"/>
        <v>0.21666666666666667</v>
      </c>
      <c r="AB139" s="49">
        <f t="shared" si="108"/>
        <v>0.3817956349206349</v>
      </c>
      <c r="AC139" s="49">
        <f t="shared" si="109"/>
        <v>0.76359126984126979</v>
      </c>
      <c r="AD139" s="50">
        <f t="shared" si="110"/>
        <v>14.060999999999998</v>
      </c>
      <c r="AE139" s="8">
        <f t="shared" si="111"/>
        <v>0</v>
      </c>
      <c r="AF139" s="51">
        <f t="shared" si="112"/>
        <v>2316839.6</v>
      </c>
      <c r="AG139" s="8">
        <f t="shared" si="114"/>
        <v>9.9999999999999997E+98</v>
      </c>
      <c r="AH139" s="8" t="str">
        <f t="shared" si="113"/>
        <v>height duplicate</v>
      </c>
      <c r="AI139" s="52">
        <f t="shared" si="115"/>
        <v>290000002316839.44</v>
      </c>
    </row>
    <row r="140" spans="1:35" ht="15" customHeight="1" x14ac:dyDescent="0.25">
      <c r="A140" s="8">
        <v>133</v>
      </c>
      <c r="B140" s="8">
        <f t="shared" si="83"/>
        <v>6</v>
      </c>
      <c r="C140" s="8">
        <v>13</v>
      </c>
      <c r="D140" s="49">
        <f t="shared" si="84"/>
        <v>0.6</v>
      </c>
      <c r="E140" s="50">
        <f t="shared" si="85"/>
        <v>45.99464285714285</v>
      </c>
      <c r="F140" s="37">
        <f t="shared" si="86"/>
        <v>0.76657738095238082</v>
      </c>
      <c r="G140" s="8">
        <f t="shared" si="87"/>
        <v>2</v>
      </c>
      <c r="H140" s="8">
        <f t="shared" si="88"/>
        <v>34</v>
      </c>
      <c r="I140" s="50">
        <f t="shared" si="89"/>
        <v>34</v>
      </c>
      <c r="J140" s="50">
        <f t="shared" si="90"/>
        <v>16.900000000000002</v>
      </c>
      <c r="K140" s="50">
        <f t="shared" si="91"/>
        <v>27.95</v>
      </c>
      <c r="L140" s="50">
        <f t="shared" si="92"/>
        <v>8.5</v>
      </c>
      <c r="M140" s="37">
        <f t="shared" si="93"/>
        <v>6.7195000761478241</v>
      </c>
      <c r="N140" s="37">
        <f t="shared" si="94"/>
        <v>6.5142857142857142</v>
      </c>
      <c r="O140" s="50">
        <f t="shared" si="95"/>
        <v>84.467571580867073</v>
      </c>
      <c r="P140" s="50">
        <f t="shared" si="96"/>
        <v>15</v>
      </c>
      <c r="Q140" s="8">
        <f t="shared" si="97"/>
        <v>17</v>
      </c>
      <c r="R140" s="48">
        <f t="shared" si="98"/>
        <v>4836</v>
      </c>
      <c r="S140" s="48">
        <f t="shared" si="99"/>
        <v>4110.5999999999995</v>
      </c>
      <c r="T140" s="48">
        <f t="shared" si="100"/>
        <v>574.6</v>
      </c>
      <c r="U140" s="48">
        <f t="shared" si="101"/>
        <v>16921.97</v>
      </c>
      <c r="V140" s="48">
        <f t="shared" si="102"/>
        <v>300000</v>
      </c>
      <c r="W140" s="48">
        <f t="shared" si="103"/>
        <v>850000</v>
      </c>
      <c r="X140" s="48">
        <f t="shared" si="104"/>
        <v>483600</v>
      </c>
      <c r="Y140" s="48">
        <f t="shared" si="105"/>
        <v>737499.10000000009</v>
      </c>
      <c r="Z140" s="48">
        <f t="shared" si="106"/>
        <v>2371099.1</v>
      </c>
      <c r="AA140" s="37">
        <f t="shared" si="107"/>
        <v>0.22941176470588237</v>
      </c>
      <c r="AB140" s="49">
        <f t="shared" si="108"/>
        <v>0.38328869047619041</v>
      </c>
      <c r="AC140" s="49">
        <f t="shared" si="109"/>
        <v>0.76657738095238082</v>
      </c>
      <c r="AD140" s="50">
        <f t="shared" si="110"/>
        <v>14.342219999999999</v>
      </c>
      <c r="AE140" s="8">
        <f t="shared" si="111"/>
        <v>0</v>
      </c>
      <c r="AF140" s="51">
        <f t="shared" si="112"/>
        <v>2371099.1</v>
      </c>
      <c r="AG140" s="8">
        <f t="shared" si="114"/>
        <v>9.9999999999999997E+98</v>
      </c>
      <c r="AH140" s="8" t="str">
        <f t="shared" si="113"/>
        <v>height duplicate</v>
      </c>
      <c r="AI140" s="52">
        <f t="shared" si="115"/>
        <v>397500002371099.06</v>
      </c>
    </row>
    <row r="141" spans="1:35" ht="15" customHeight="1" x14ac:dyDescent="0.25">
      <c r="A141" s="8">
        <v>134</v>
      </c>
      <c r="B141" s="8">
        <f t="shared" si="83"/>
        <v>6</v>
      </c>
      <c r="C141" s="8">
        <v>14</v>
      </c>
      <c r="D141" s="49">
        <f t="shared" si="84"/>
        <v>0.6</v>
      </c>
      <c r="E141" s="50">
        <f t="shared" si="85"/>
        <v>46.173809523809517</v>
      </c>
      <c r="F141" s="37">
        <f t="shared" si="86"/>
        <v>0.76956349206349195</v>
      </c>
      <c r="G141" s="8">
        <f t="shared" si="87"/>
        <v>2</v>
      </c>
      <c r="H141" s="8">
        <f t="shared" si="88"/>
        <v>32</v>
      </c>
      <c r="I141" s="50">
        <f t="shared" si="89"/>
        <v>32</v>
      </c>
      <c r="J141" s="50">
        <f t="shared" si="90"/>
        <v>16.900000000000002</v>
      </c>
      <c r="K141" s="50">
        <f t="shared" si="91"/>
        <v>30.099999999999998</v>
      </c>
      <c r="L141" s="50">
        <f t="shared" si="92"/>
        <v>8</v>
      </c>
      <c r="M141" s="37">
        <f t="shared" si="93"/>
        <v>6.5381295451927768</v>
      </c>
      <c r="N141" s="37">
        <f t="shared" si="94"/>
        <v>6.5142857142857142</v>
      </c>
      <c r="O141" s="50">
        <f t="shared" si="95"/>
        <v>84.104830518956973</v>
      </c>
      <c r="P141" s="50">
        <f t="shared" si="96"/>
        <v>16</v>
      </c>
      <c r="Q141" s="8">
        <f t="shared" si="97"/>
        <v>18</v>
      </c>
      <c r="R141" s="48">
        <f t="shared" si="98"/>
        <v>4872</v>
      </c>
      <c r="S141" s="48">
        <f t="shared" si="99"/>
        <v>4141.2</v>
      </c>
      <c r="T141" s="48">
        <f t="shared" si="100"/>
        <v>540.80000000000007</v>
      </c>
      <c r="U141" s="48">
        <f t="shared" si="101"/>
        <v>17089.280000000002</v>
      </c>
      <c r="V141" s="48">
        <f t="shared" si="102"/>
        <v>300000</v>
      </c>
      <c r="W141" s="48">
        <f t="shared" si="103"/>
        <v>900000</v>
      </c>
      <c r="X141" s="48">
        <f t="shared" si="104"/>
        <v>487200</v>
      </c>
      <c r="Y141" s="48">
        <f t="shared" si="105"/>
        <v>728998.40000000014</v>
      </c>
      <c r="Z141" s="48">
        <f t="shared" si="106"/>
        <v>2416198.4000000004</v>
      </c>
      <c r="AA141" s="37">
        <f t="shared" si="107"/>
        <v>0.24375000000000002</v>
      </c>
      <c r="AB141" s="49">
        <f t="shared" si="108"/>
        <v>0.38478174603174597</v>
      </c>
      <c r="AC141" s="49">
        <f t="shared" si="109"/>
        <v>0.76956349206349195</v>
      </c>
      <c r="AD141" s="50">
        <f t="shared" si="110"/>
        <v>14.623439999999999</v>
      </c>
      <c r="AE141" s="8">
        <f t="shared" si="111"/>
        <v>0</v>
      </c>
      <c r="AF141" s="51">
        <f t="shared" si="112"/>
        <v>2416198.4000000004</v>
      </c>
      <c r="AG141" s="8">
        <f t="shared" si="114"/>
        <v>9.9999999999999997E+98</v>
      </c>
      <c r="AH141" s="8" t="str">
        <f t="shared" si="113"/>
        <v>height duplicate</v>
      </c>
      <c r="AI141" s="52">
        <f t="shared" si="115"/>
        <v>505000002416198.31</v>
      </c>
    </row>
    <row r="142" spans="1:35" ht="15" customHeight="1" x14ac:dyDescent="0.25">
      <c r="A142" s="8">
        <v>135</v>
      </c>
      <c r="B142" s="8">
        <f t="shared" si="83"/>
        <v>6</v>
      </c>
      <c r="C142" s="8">
        <v>15</v>
      </c>
      <c r="D142" s="49">
        <f t="shared" si="84"/>
        <v>0.60000000000000009</v>
      </c>
      <c r="E142" s="50">
        <f t="shared" si="85"/>
        <v>46.352976190476163</v>
      </c>
      <c r="F142" s="37">
        <f t="shared" si="86"/>
        <v>0.77254960317460286</v>
      </c>
      <c r="G142" s="8">
        <f t="shared" si="87"/>
        <v>2</v>
      </c>
      <c r="H142" s="8">
        <f t="shared" si="88"/>
        <v>30</v>
      </c>
      <c r="I142" s="50">
        <f t="shared" si="89"/>
        <v>30</v>
      </c>
      <c r="J142" s="50">
        <f t="shared" si="90"/>
        <v>16.900000000000002</v>
      </c>
      <c r="K142" s="50">
        <f t="shared" si="91"/>
        <v>32.25</v>
      </c>
      <c r="L142" s="50">
        <f t="shared" si="92"/>
        <v>7.5</v>
      </c>
      <c r="M142" s="37">
        <f t="shared" si="93"/>
        <v>6.3563858005865805</v>
      </c>
      <c r="N142" s="37">
        <f t="shared" si="94"/>
        <v>6.5142857142857142</v>
      </c>
      <c r="O142" s="50">
        <f t="shared" si="95"/>
        <v>83.741343029744584</v>
      </c>
      <c r="P142" s="50">
        <f t="shared" si="96"/>
        <v>17</v>
      </c>
      <c r="Q142" s="8">
        <f t="shared" si="97"/>
        <v>19</v>
      </c>
      <c r="R142" s="48">
        <f t="shared" si="98"/>
        <v>4860</v>
      </c>
      <c r="S142" s="48">
        <f t="shared" si="99"/>
        <v>4131</v>
      </c>
      <c r="T142" s="48">
        <f t="shared" si="100"/>
        <v>507.00000000000006</v>
      </c>
      <c r="U142" s="48">
        <f t="shared" si="101"/>
        <v>17111.250000000004</v>
      </c>
      <c r="V142" s="48">
        <f t="shared" si="102"/>
        <v>300000</v>
      </c>
      <c r="W142" s="48">
        <f t="shared" si="103"/>
        <v>950000</v>
      </c>
      <c r="X142" s="48">
        <f t="shared" si="104"/>
        <v>486000</v>
      </c>
      <c r="Y142" s="48">
        <f t="shared" si="105"/>
        <v>716137.50000000012</v>
      </c>
      <c r="Z142" s="48">
        <f t="shared" si="106"/>
        <v>2452137.5</v>
      </c>
      <c r="AA142" s="37">
        <f t="shared" si="107"/>
        <v>0.26</v>
      </c>
      <c r="AB142" s="49">
        <f t="shared" si="108"/>
        <v>0.38627480158730143</v>
      </c>
      <c r="AC142" s="49">
        <f t="shared" si="109"/>
        <v>0.77254960317460286</v>
      </c>
      <c r="AD142" s="50">
        <f t="shared" si="110"/>
        <v>14.904659999999998</v>
      </c>
      <c r="AE142" s="8">
        <f t="shared" si="111"/>
        <v>0</v>
      </c>
      <c r="AF142" s="51">
        <f t="shared" si="112"/>
        <v>2452137.5</v>
      </c>
      <c r="AG142" s="8">
        <f t="shared" si="114"/>
        <v>9.9999999999999997E+98</v>
      </c>
      <c r="AH142" s="8" t="str">
        <f t="shared" si="113"/>
        <v>height duplicate</v>
      </c>
      <c r="AI142" s="52">
        <f t="shared" si="115"/>
        <v>612500002452137.5</v>
      </c>
    </row>
    <row r="143" spans="1:35" ht="15" customHeight="1" x14ac:dyDescent="0.25">
      <c r="A143" s="8">
        <v>136</v>
      </c>
      <c r="B143" s="8">
        <f t="shared" si="83"/>
        <v>6</v>
      </c>
      <c r="C143" s="8">
        <v>16</v>
      </c>
      <c r="D143" s="49">
        <f t="shared" si="84"/>
        <v>0.59999999999999987</v>
      </c>
      <c r="E143" s="50">
        <f t="shared" si="85"/>
        <v>46.532142857142851</v>
      </c>
      <c r="F143" s="37">
        <f t="shared" si="86"/>
        <v>0.775535714285714</v>
      </c>
      <c r="G143" s="8">
        <f t="shared" si="87"/>
        <v>2</v>
      </c>
      <c r="H143" s="8">
        <f t="shared" si="88"/>
        <v>28</v>
      </c>
      <c r="I143" s="50">
        <f t="shared" si="89"/>
        <v>28</v>
      </c>
      <c r="J143" s="50">
        <f t="shared" si="90"/>
        <v>16.900000000000002</v>
      </c>
      <c r="K143" s="50">
        <f t="shared" si="91"/>
        <v>34.4</v>
      </c>
      <c r="L143" s="50">
        <f t="shared" si="92"/>
        <v>7</v>
      </c>
      <c r="M143" s="37">
        <f t="shared" si="93"/>
        <v>6.1741888679754187</v>
      </c>
      <c r="N143" s="37">
        <f t="shared" si="94"/>
        <v>6.5142857142857142</v>
      </c>
      <c r="O143" s="50">
        <f t="shared" si="95"/>
        <v>83.376949164522259</v>
      </c>
      <c r="P143" s="50">
        <f t="shared" si="96"/>
        <v>18</v>
      </c>
      <c r="Q143" s="8">
        <f t="shared" si="97"/>
        <v>20</v>
      </c>
      <c r="R143" s="48">
        <f t="shared" si="98"/>
        <v>4800</v>
      </c>
      <c r="S143" s="48">
        <f t="shared" si="99"/>
        <v>4080</v>
      </c>
      <c r="T143" s="48">
        <f t="shared" si="100"/>
        <v>473.20000000000005</v>
      </c>
      <c r="U143" s="48">
        <f t="shared" si="101"/>
        <v>16987.88</v>
      </c>
      <c r="V143" s="48">
        <f t="shared" si="102"/>
        <v>300000</v>
      </c>
      <c r="W143" s="48">
        <f t="shared" si="103"/>
        <v>1000000</v>
      </c>
      <c r="X143" s="48">
        <f t="shared" si="104"/>
        <v>480000</v>
      </c>
      <c r="Y143" s="48">
        <f t="shared" si="105"/>
        <v>698916.4</v>
      </c>
      <c r="Z143" s="48">
        <f t="shared" si="106"/>
        <v>2478916.4</v>
      </c>
      <c r="AA143" s="37">
        <f t="shared" si="107"/>
        <v>0.27857142857142858</v>
      </c>
      <c r="AB143" s="49">
        <f t="shared" si="108"/>
        <v>0.387767857142857</v>
      </c>
      <c r="AC143" s="49">
        <f t="shared" si="109"/>
        <v>0.775535714285714</v>
      </c>
      <c r="AD143" s="50">
        <f t="shared" si="110"/>
        <v>15.185879999999999</v>
      </c>
      <c r="AE143" s="8">
        <f t="shared" si="111"/>
        <v>0</v>
      </c>
      <c r="AF143" s="51">
        <f t="shared" si="112"/>
        <v>2478916.4</v>
      </c>
      <c r="AG143" s="8">
        <f t="shared" si="114"/>
        <v>9.9999999999999997E+98</v>
      </c>
      <c r="AH143" s="8" t="str">
        <f t="shared" si="113"/>
        <v>height duplicate</v>
      </c>
      <c r="AI143" s="52">
        <f t="shared" si="115"/>
        <v>720000002478916.38</v>
      </c>
    </row>
    <row r="144" spans="1:35" ht="15" customHeight="1" x14ac:dyDescent="0.25">
      <c r="A144" s="8">
        <v>137</v>
      </c>
      <c r="B144" s="8">
        <f t="shared" si="83"/>
        <v>6</v>
      </c>
      <c r="C144" s="8">
        <v>17</v>
      </c>
      <c r="D144" s="49">
        <f t="shared" si="84"/>
        <v>0.6</v>
      </c>
      <c r="E144" s="50">
        <f t="shared" si="85"/>
        <v>46.711309523809518</v>
      </c>
      <c r="F144" s="37">
        <f t="shared" si="86"/>
        <v>0.77852182539682535</v>
      </c>
      <c r="G144" s="8">
        <f t="shared" si="87"/>
        <v>2</v>
      </c>
      <c r="H144" s="8">
        <f t="shared" si="88"/>
        <v>27</v>
      </c>
      <c r="I144" s="50">
        <f t="shared" si="89"/>
        <v>27</v>
      </c>
      <c r="J144" s="50">
        <f t="shared" si="90"/>
        <v>16.900000000000002</v>
      </c>
      <c r="K144" s="50">
        <f t="shared" si="91"/>
        <v>36.549999999999997</v>
      </c>
      <c r="L144" s="50">
        <f t="shared" si="92"/>
        <v>6.75</v>
      </c>
      <c r="M144" s="37">
        <f t="shared" si="93"/>
        <v>6.0828889847787408</v>
      </c>
      <c r="N144" s="37">
        <f t="shared" si="94"/>
        <v>6.5142857142857142</v>
      </c>
      <c r="O144" s="50">
        <f t="shared" si="95"/>
        <v>83.194349398128907</v>
      </c>
      <c r="P144" s="50">
        <f t="shared" si="96"/>
        <v>19</v>
      </c>
      <c r="Q144" s="8">
        <f t="shared" si="97"/>
        <v>21</v>
      </c>
      <c r="R144" s="48">
        <f t="shared" si="98"/>
        <v>4896</v>
      </c>
      <c r="S144" s="48">
        <f t="shared" si="99"/>
        <v>4161.5999999999995</v>
      </c>
      <c r="T144" s="48">
        <f t="shared" si="100"/>
        <v>456.30000000000007</v>
      </c>
      <c r="U144" s="48">
        <f t="shared" si="101"/>
        <v>17362.215</v>
      </c>
      <c r="V144" s="48">
        <f t="shared" si="102"/>
        <v>300000</v>
      </c>
      <c r="W144" s="48">
        <f t="shared" si="103"/>
        <v>1050000</v>
      </c>
      <c r="X144" s="48">
        <f t="shared" si="104"/>
        <v>489600</v>
      </c>
      <c r="Y144" s="48">
        <f t="shared" si="105"/>
        <v>703386.45000000007</v>
      </c>
      <c r="Z144" s="48">
        <f t="shared" si="106"/>
        <v>2542986.4500000002</v>
      </c>
      <c r="AA144" s="37">
        <f t="shared" si="107"/>
        <v>0.28888888888888892</v>
      </c>
      <c r="AB144" s="49">
        <f t="shared" si="108"/>
        <v>0.38926091269841268</v>
      </c>
      <c r="AC144" s="49">
        <f t="shared" si="109"/>
        <v>0.77852182539682535</v>
      </c>
      <c r="AD144" s="50">
        <f t="shared" si="110"/>
        <v>15.4671</v>
      </c>
      <c r="AE144" s="8">
        <f t="shared" si="111"/>
        <v>0</v>
      </c>
      <c r="AF144" s="51">
        <f t="shared" si="112"/>
        <v>2542986.4500000002</v>
      </c>
      <c r="AG144" s="8">
        <f t="shared" si="114"/>
        <v>9.9999999999999997E+98</v>
      </c>
      <c r="AH144" s="8" t="str">
        <f t="shared" si="113"/>
        <v>height duplicate</v>
      </c>
      <c r="AI144" s="52">
        <f t="shared" si="115"/>
        <v>827500002542986.38</v>
      </c>
    </row>
    <row r="145" spans="1:35" ht="15" customHeight="1" x14ac:dyDescent="0.25">
      <c r="A145" s="8">
        <v>138</v>
      </c>
      <c r="B145" s="8">
        <f t="shared" si="83"/>
        <v>6</v>
      </c>
      <c r="C145" s="8">
        <v>18</v>
      </c>
      <c r="D145" s="49">
        <f t="shared" si="84"/>
        <v>0.6</v>
      </c>
      <c r="E145" s="50">
        <f t="shared" si="85"/>
        <v>46.890476190476186</v>
      </c>
      <c r="F145" s="37">
        <f t="shared" si="86"/>
        <v>0.78150793650793637</v>
      </c>
      <c r="G145" s="8">
        <f t="shared" si="87"/>
        <v>2</v>
      </c>
      <c r="H145" s="8">
        <f t="shared" si="88"/>
        <v>25</v>
      </c>
      <c r="I145" s="50">
        <f t="shared" si="89"/>
        <v>25</v>
      </c>
      <c r="J145" s="50">
        <f t="shared" si="90"/>
        <v>16.900000000000002</v>
      </c>
      <c r="K145" s="50">
        <f t="shared" si="91"/>
        <v>38.699999999999996</v>
      </c>
      <c r="L145" s="50">
        <f t="shared" si="92"/>
        <v>6.25</v>
      </c>
      <c r="M145" s="37">
        <f t="shared" si="93"/>
        <v>5.8998058178467536</v>
      </c>
      <c r="N145" s="37">
        <f t="shared" si="94"/>
        <v>6.5142857142857142</v>
      </c>
      <c r="O145" s="50">
        <f t="shared" si="95"/>
        <v>82.828183064264934</v>
      </c>
      <c r="P145" s="50">
        <f t="shared" si="96"/>
        <v>20</v>
      </c>
      <c r="Q145" s="8">
        <f t="shared" si="97"/>
        <v>22</v>
      </c>
      <c r="R145" s="48">
        <f t="shared" si="98"/>
        <v>4752</v>
      </c>
      <c r="S145" s="48">
        <f t="shared" si="99"/>
        <v>4039.2</v>
      </c>
      <c r="T145" s="48">
        <f t="shared" si="100"/>
        <v>422.50000000000006</v>
      </c>
      <c r="U145" s="48">
        <f t="shared" si="101"/>
        <v>16984.5</v>
      </c>
      <c r="V145" s="48">
        <f t="shared" si="102"/>
        <v>300000</v>
      </c>
      <c r="W145" s="48">
        <f t="shared" si="103"/>
        <v>1100000</v>
      </c>
      <c r="X145" s="48">
        <f t="shared" si="104"/>
        <v>475200</v>
      </c>
      <c r="Y145" s="48">
        <f t="shared" si="105"/>
        <v>678535</v>
      </c>
      <c r="Z145" s="48">
        <f t="shared" si="106"/>
        <v>2553735</v>
      </c>
      <c r="AA145" s="37">
        <f t="shared" si="107"/>
        <v>0.31200000000000006</v>
      </c>
      <c r="AB145" s="49">
        <f t="shared" si="108"/>
        <v>0.39075396825396819</v>
      </c>
      <c r="AC145" s="49">
        <f t="shared" si="109"/>
        <v>0.78150793650793637</v>
      </c>
      <c r="AD145" s="50">
        <f t="shared" si="110"/>
        <v>15.748319999999998</v>
      </c>
      <c r="AE145" s="8">
        <f t="shared" si="111"/>
        <v>0</v>
      </c>
      <c r="AF145" s="51">
        <f t="shared" si="112"/>
        <v>2553735</v>
      </c>
      <c r="AG145" s="8">
        <f t="shared" si="114"/>
        <v>9.9999999999999997E+98</v>
      </c>
      <c r="AH145" s="8" t="str">
        <f t="shared" si="113"/>
        <v>height duplicate</v>
      </c>
      <c r="AI145" s="52">
        <f t="shared" si="115"/>
        <v>935000002553734.88</v>
      </c>
    </row>
    <row r="146" spans="1:35" ht="15" customHeight="1" x14ac:dyDescent="0.25">
      <c r="A146" s="8">
        <v>139</v>
      </c>
      <c r="B146" s="8">
        <f t="shared" si="83"/>
        <v>6</v>
      </c>
      <c r="C146" s="8">
        <v>19</v>
      </c>
      <c r="D146" s="49">
        <f t="shared" si="84"/>
        <v>0.6</v>
      </c>
      <c r="E146" s="50">
        <f t="shared" si="85"/>
        <v>47.069642857142867</v>
      </c>
      <c r="F146" s="37">
        <f t="shared" si="86"/>
        <v>0.78449404761904773</v>
      </c>
      <c r="G146" s="8">
        <f t="shared" si="87"/>
        <v>2</v>
      </c>
      <c r="H146" s="8">
        <f t="shared" si="88"/>
        <v>24</v>
      </c>
      <c r="I146" s="50">
        <f t="shared" si="89"/>
        <v>24</v>
      </c>
      <c r="J146" s="50">
        <f t="shared" si="90"/>
        <v>16.900000000000002</v>
      </c>
      <c r="K146" s="50">
        <f t="shared" si="91"/>
        <v>40.85</v>
      </c>
      <c r="L146" s="50">
        <f t="shared" si="92"/>
        <v>6</v>
      </c>
      <c r="M146" s="37">
        <f t="shared" si="93"/>
        <v>5.8079822507332253</v>
      </c>
      <c r="N146" s="37">
        <f t="shared" si="94"/>
        <v>6.5142857142857142</v>
      </c>
      <c r="O146" s="50">
        <f t="shared" si="95"/>
        <v>82.644535930037875</v>
      </c>
      <c r="P146" s="50">
        <f t="shared" si="96"/>
        <v>21</v>
      </c>
      <c r="Q146" s="8">
        <f t="shared" si="97"/>
        <v>23</v>
      </c>
      <c r="R146" s="48">
        <f t="shared" si="98"/>
        <v>4788</v>
      </c>
      <c r="S146" s="48">
        <f t="shared" si="99"/>
        <v>4069.7999999999997</v>
      </c>
      <c r="T146" s="48">
        <f t="shared" si="100"/>
        <v>405.6</v>
      </c>
      <c r="U146" s="48">
        <f t="shared" si="101"/>
        <v>17177.16</v>
      </c>
      <c r="V146" s="48">
        <f t="shared" si="102"/>
        <v>300000</v>
      </c>
      <c r="W146" s="48">
        <f t="shared" si="103"/>
        <v>1150000</v>
      </c>
      <c r="X146" s="48">
        <f t="shared" si="104"/>
        <v>478800</v>
      </c>
      <c r="Y146" s="48">
        <f t="shared" si="105"/>
        <v>677554.8</v>
      </c>
      <c r="Z146" s="48">
        <f t="shared" si="106"/>
        <v>2606354.7999999998</v>
      </c>
      <c r="AA146" s="37">
        <f t="shared" si="107"/>
        <v>0.32500000000000001</v>
      </c>
      <c r="AB146" s="49">
        <f t="shared" si="108"/>
        <v>0.39224702380952386</v>
      </c>
      <c r="AC146" s="49">
        <f t="shared" si="109"/>
        <v>0.78449404761904773</v>
      </c>
      <c r="AD146" s="50">
        <f t="shared" si="110"/>
        <v>16.029539999999997</v>
      </c>
      <c r="AE146" s="8">
        <f t="shared" si="111"/>
        <v>0</v>
      </c>
      <c r="AF146" s="51">
        <f t="shared" si="112"/>
        <v>2606354.7999999998</v>
      </c>
      <c r="AG146" s="8">
        <f t="shared" si="114"/>
        <v>9.9999999999999997E+98</v>
      </c>
      <c r="AH146" s="8" t="str">
        <f t="shared" si="113"/>
        <v>height duplicate</v>
      </c>
      <c r="AI146" s="52">
        <f t="shared" si="115"/>
        <v>1042500002606354.9</v>
      </c>
    </row>
    <row r="147" spans="1:35" ht="15" customHeight="1" x14ac:dyDescent="0.25">
      <c r="A147" s="8">
        <v>140</v>
      </c>
      <c r="B147" s="8">
        <f t="shared" si="83"/>
        <v>6</v>
      </c>
      <c r="C147" s="8">
        <v>20</v>
      </c>
      <c r="D147" s="49">
        <f t="shared" si="84"/>
        <v>0.59999999999999987</v>
      </c>
      <c r="E147" s="50">
        <f t="shared" si="85"/>
        <v>47.248809523809541</v>
      </c>
      <c r="F147" s="37">
        <f t="shared" si="86"/>
        <v>0.78748015873015886</v>
      </c>
      <c r="G147" s="8">
        <f t="shared" si="87"/>
        <v>2</v>
      </c>
      <c r="H147" s="8">
        <f t="shared" si="88"/>
        <v>23</v>
      </c>
      <c r="I147" s="50">
        <f t="shared" si="89"/>
        <v>23</v>
      </c>
      <c r="J147" s="50">
        <f t="shared" si="90"/>
        <v>16.900000000000002</v>
      </c>
      <c r="K147" s="50">
        <f t="shared" si="91"/>
        <v>43</v>
      </c>
      <c r="L147" s="50">
        <f t="shared" si="92"/>
        <v>5.75</v>
      </c>
      <c r="M147" s="37">
        <f t="shared" si="93"/>
        <v>5.7159380007651057</v>
      </c>
      <c r="N147" s="37">
        <f t="shared" si="94"/>
        <v>6.5142857142857142</v>
      </c>
      <c r="O147" s="50">
        <f t="shared" si="95"/>
        <v>82.460447430101638</v>
      </c>
      <c r="P147" s="50">
        <f t="shared" si="96"/>
        <v>22</v>
      </c>
      <c r="Q147" s="8">
        <f t="shared" si="97"/>
        <v>24</v>
      </c>
      <c r="R147" s="48">
        <f t="shared" si="98"/>
        <v>4800</v>
      </c>
      <c r="S147" s="48">
        <f t="shared" si="99"/>
        <v>4080</v>
      </c>
      <c r="T147" s="48">
        <f t="shared" si="100"/>
        <v>388.70000000000005</v>
      </c>
      <c r="U147" s="48">
        <f t="shared" si="101"/>
        <v>17297.150000000001</v>
      </c>
      <c r="V147" s="48">
        <f t="shared" si="102"/>
        <v>300000</v>
      </c>
      <c r="W147" s="48">
        <f t="shared" si="103"/>
        <v>1200000</v>
      </c>
      <c r="X147" s="48">
        <f t="shared" si="104"/>
        <v>480000</v>
      </c>
      <c r="Y147" s="48">
        <f t="shared" si="105"/>
        <v>674394.50000000012</v>
      </c>
      <c r="Z147" s="48">
        <f t="shared" si="106"/>
        <v>2654394.5</v>
      </c>
      <c r="AA147" s="37">
        <f t="shared" si="107"/>
        <v>0.33913043478260874</v>
      </c>
      <c r="AB147" s="49">
        <f t="shared" si="108"/>
        <v>0.39374007936507943</v>
      </c>
      <c r="AC147" s="49">
        <f t="shared" si="109"/>
        <v>0.78748015873015886</v>
      </c>
      <c r="AD147" s="50">
        <f t="shared" si="110"/>
        <v>16.310760000000005</v>
      </c>
      <c r="AE147" s="8">
        <f t="shared" si="111"/>
        <v>0</v>
      </c>
      <c r="AF147" s="51">
        <f t="shared" si="112"/>
        <v>2654394.5</v>
      </c>
      <c r="AG147" s="8">
        <f t="shared" si="114"/>
        <v>9.9999999999999997E+98</v>
      </c>
      <c r="AH147" s="8" t="str">
        <f t="shared" si="113"/>
        <v>height duplicate</v>
      </c>
      <c r="AI147" s="52">
        <f t="shared" si="115"/>
        <v>1150000002654394.5</v>
      </c>
    </row>
    <row r="148" spans="1:35" ht="15" customHeight="1" x14ac:dyDescent="0.25">
      <c r="A148" s="8">
        <v>141</v>
      </c>
      <c r="B148" s="8">
        <f t="shared" ref="B148:B167" si="116">$I$3</f>
        <v>6</v>
      </c>
      <c r="C148" s="8">
        <v>1</v>
      </c>
      <c r="D148" s="49">
        <f t="shared" si="84"/>
        <v>0</v>
      </c>
      <c r="E148" s="50">
        <f t="shared" si="85"/>
        <v>0</v>
      </c>
      <c r="F148" s="37">
        <f t="shared" si="86"/>
        <v>0</v>
      </c>
      <c r="G148" s="8">
        <f t="shared" si="87"/>
        <v>0</v>
      </c>
      <c r="H148" s="8">
        <f t="shared" si="88"/>
        <v>393</v>
      </c>
      <c r="I148" s="50">
        <f t="shared" si="89"/>
        <v>393</v>
      </c>
      <c r="J148" s="50">
        <f t="shared" si="90"/>
        <v>16.900000000000002</v>
      </c>
      <c r="K148" s="50">
        <f t="shared" si="91"/>
        <v>2.15</v>
      </c>
      <c r="L148" s="50">
        <f t="shared" si="92"/>
        <v>393</v>
      </c>
      <c r="M148" s="37">
        <f t="shared" si="93"/>
        <v>144.0847456395968</v>
      </c>
      <c r="N148" s="37">
        <f t="shared" si="94"/>
        <v>6.5142857142857142</v>
      </c>
      <c r="O148" s="50">
        <f t="shared" si="95"/>
        <v>359.19806270776502</v>
      </c>
      <c r="P148" s="50">
        <f t="shared" si="96"/>
        <v>14</v>
      </c>
      <c r="Q148" s="8">
        <f t="shared" si="97"/>
        <v>16</v>
      </c>
      <c r="R148" s="48">
        <f t="shared" si="98"/>
        <v>4716</v>
      </c>
      <c r="S148" s="48">
        <f t="shared" si="99"/>
        <v>4008.6</v>
      </c>
      <c r="T148" s="48">
        <f t="shared" si="100"/>
        <v>6641.7000000000007</v>
      </c>
      <c r="U148" s="48">
        <f t="shared" si="101"/>
        <v>24242.205000000002</v>
      </c>
      <c r="V148" s="48">
        <f t="shared" si="102"/>
        <v>0</v>
      </c>
      <c r="W148" s="48">
        <f t="shared" si="103"/>
        <v>800000</v>
      </c>
      <c r="X148" s="48">
        <f t="shared" si="104"/>
        <v>471600</v>
      </c>
      <c r="Y148" s="48">
        <f t="shared" si="105"/>
        <v>3383946.1500000004</v>
      </c>
      <c r="Z148" s="48">
        <f t="shared" si="106"/>
        <v>4655546.1500000004</v>
      </c>
      <c r="AA148" s="37">
        <f t="shared" si="107"/>
        <v>1.984732824427481E-2</v>
      </c>
      <c r="AB148" s="49">
        <f t="shared" si="108"/>
        <v>0</v>
      </c>
      <c r="AC148" s="49" t="str">
        <f t="shared" si="109"/>
        <v>n/a</v>
      </c>
      <c r="AD148" s="50">
        <f t="shared" si="110"/>
        <v>0</v>
      </c>
      <c r="AE148" s="8">
        <f t="shared" si="111"/>
        <v>0</v>
      </c>
      <c r="AF148" s="51">
        <f t="shared" si="112"/>
        <v>4655546.1500000004</v>
      </c>
      <c r="AG148" s="8">
        <f t="shared" si="114"/>
        <v>9.9999999999999997E+98</v>
      </c>
      <c r="AH148" s="8" t="str">
        <f t="shared" si="113"/>
        <v>footprint lanes&gt;300 duplicate</v>
      </c>
      <c r="AI148" s="52">
        <f t="shared" si="115"/>
        <v>5860000004655545</v>
      </c>
    </row>
    <row r="149" spans="1:35" ht="15" customHeight="1" x14ac:dyDescent="0.25">
      <c r="A149" s="8">
        <v>142</v>
      </c>
      <c r="B149" s="8">
        <f t="shared" si="116"/>
        <v>6</v>
      </c>
      <c r="C149" s="8">
        <v>2</v>
      </c>
      <c r="D149" s="49">
        <f t="shared" si="84"/>
        <v>0.5</v>
      </c>
      <c r="E149" s="50">
        <f t="shared" si="85"/>
        <v>41.157142857142851</v>
      </c>
      <c r="F149" s="37">
        <f t="shared" si="86"/>
        <v>0.57162698412698409</v>
      </c>
      <c r="G149" s="8">
        <f t="shared" si="87"/>
        <v>2</v>
      </c>
      <c r="H149" s="8">
        <f t="shared" si="88"/>
        <v>200</v>
      </c>
      <c r="I149" s="50">
        <f t="shared" si="89"/>
        <v>200</v>
      </c>
      <c r="J149" s="50">
        <f t="shared" si="90"/>
        <v>16.900000000000002</v>
      </c>
      <c r="K149" s="50">
        <f t="shared" si="91"/>
        <v>4.3</v>
      </c>
      <c r="L149" s="50">
        <f t="shared" si="92"/>
        <v>50</v>
      </c>
      <c r="M149" s="37">
        <f t="shared" si="93"/>
        <v>21.57810072723084</v>
      </c>
      <c r="N149" s="37">
        <f t="shared" si="94"/>
        <v>6.5142857142857142</v>
      </c>
      <c r="O149" s="50">
        <f t="shared" si="95"/>
        <v>114.18477288303311</v>
      </c>
      <c r="P149" s="50">
        <f t="shared" si="96"/>
        <v>6</v>
      </c>
      <c r="Q149" s="8">
        <f t="shared" si="97"/>
        <v>8</v>
      </c>
      <c r="R149" s="48">
        <f t="shared" si="98"/>
        <v>4728</v>
      </c>
      <c r="S149" s="48">
        <f t="shared" si="99"/>
        <v>4018.7999999999997</v>
      </c>
      <c r="T149" s="48">
        <f t="shared" si="100"/>
        <v>3380.0000000000005</v>
      </c>
      <c r="U149" s="48">
        <f t="shared" si="101"/>
        <v>19604.000000000004</v>
      </c>
      <c r="V149" s="48">
        <f t="shared" si="102"/>
        <v>300000</v>
      </c>
      <c r="W149" s="48">
        <f t="shared" si="103"/>
        <v>400000</v>
      </c>
      <c r="X149" s="48">
        <f t="shared" si="104"/>
        <v>472800</v>
      </c>
      <c r="Y149" s="48">
        <f t="shared" si="105"/>
        <v>1940120.0000000005</v>
      </c>
      <c r="Z149" s="48">
        <f t="shared" si="106"/>
        <v>3112920.0000000005</v>
      </c>
      <c r="AA149" s="37">
        <f t="shared" si="107"/>
        <v>3.9000000000000007E-2</v>
      </c>
      <c r="AB149" s="49">
        <f t="shared" si="108"/>
        <v>0.28581349206349205</v>
      </c>
      <c r="AC149" s="49">
        <f t="shared" si="109"/>
        <v>0.57162698412698409</v>
      </c>
      <c r="AD149" s="50">
        <f t="shared" si="110"/>
        <v>5.6243999999999996</v>
      </c>
      <c r="AE149" s="8">
        <f t="shared" si="111"/>
        <v>0</v>
      </c>
      <c r="AF149" s="51">
        <f t="shared" si="112"/>
        <v>3112920.0000000005</v>
      </c>
      <c r="AG149" s="8">
        <f t="shared" si="114"/>
        <v>9.9999999999999997E+98</v>
      </c>
      <c r="AH149" s="8" t="str">
        <f t="shared" si="113"/>
        <v>footprint duplicate</v>
      </c>
      <c r="AI149" s="52">
        <f t="shared" si="115"/>
        <v>2333333336446253.5</v>
      </c>
    </row>
    <row r="150" spans="1:35" ht="15" customHeight="1" x14ac:dyDescent="0.25">
      <c r="A150" s="8">
        <v>143</v>
      </c>
      <c r="B150" s="8">
        <f t="shared" si="116"/>
        <v>6</v>
      </c>
      <c r="C150" s="8">
        <v>3</v>
      </c>
      <c r="D150" s="49">
        <f t="shared" si="84"/>
        <v>0.52941176470588236</v>
      </c>
      <c r="E150" s="50">
        <f t="shared" si="85"/>
        <v>41.634920634920626</v>
      </c>
      <c r="F150" s="37">
        <f t="shared" si="86"/>
        <v>0.61227824463118574</v>
      </c>
      <c r="G150" s="8">
        <f t="shared" si="87"/>
        <v>2</v>
      </c>
      <c r="H150" s="8">
        <f t="shared" si="88"/>
        <v>134</v>
      </c>
      <c r="I150" s="50">
        <f t="shared" si="89"/>
        <v>134</v>
      </c>
      <c r="J150" s="50">
        <f t="shared" si="90"/>
        <v>16.900000000000002</v>
      </c>
      <c r="K150" s="50">
        <f t="shared" si="91"/>
        <v>6.4499999999999993</v>
      </c>
      <c r="L150" s="50">
        <f t="shared" si="92"/>
        <v>33.5</v>
      </c>
      <c r="M150" s="37">
        <f t="shared" si="93"/>
        <v>15.681493622732603</v>
      </c>
      <c r="N150" s="37">
        <f t="shared" si="94"/>
        <v>6.5142857142857142</v>
      </c>
      <c r="O150" s="50">
        <f t="shared" si="95"/>
        <v>102.39155867403663</v>
      </c>
      <c r="P150" s="50">
        <f t="shared" si="96"/>
        <v>5</v>
      </c>
      <c r="Q150" s="8">
        <f t="shared" si="97"/>
        <v>7</v>
      </c>
      <c r="R150" s="48">
        <f t="shared" si="98"/>
        <v>4716</v>
      </c>
      <c r="S150" s="48">
        <f t="shared" si="99"/>
        <v>4008.6</v>
      </c>
      <c r="T150" s="48">
        <f t="shared" si="100"/>
        <v>2264.6000000000004</v>
      </c>
      <c r="U150" s="48">
        <f t="shared" si="101"/>
        <v>18003.57</v>
      </c>
      <c r="V150" s="48">
        <f t="shared" si="102"/>
        <v>300000</v>
      </c>
      <c r="W150" s="48">
        <f t="shared" si="103"/>
        <v>350000</v>
      </c>
      <c r="X150" s="48">
        <f t="shared" si="104"/>
        <v>471600</v>
      </c>
      <c r="Y150" s="48">
        <f t="shared" si="105"/>
        <v>1445947.1</v>
      </c>
      <c r="Z150" s="48">
        <f t="shared" si="106"/>
        <v>2567547.1</v>
      </c>
      <c r="AA150" s="37">
        <f t="shared" si="107"/>
        <v>5.8208955223880601E-2</v>
      </c>
      <c r="AB150" s="49">
        <f t="shared" si="108"/>
        <v>0.30613912231559287</v>
      </c>
      <c r="AC150" s="49">
        <f t="shared" si="109"/>
        <v>0.61227824463118574</v>
      </c>
      <c r="AD150" s="50">
        <f t="shared" si="110"/>
        <v>6.6169411764705863</v>
      </c>
      <c r="AE150" s="8">
        <f t="shared" si="111"/>
        <v>0</v>
      </c>
      <c r="AF150" s="51">
        <f t="shared" si="112"/>
        <v>2567547.1</v>
      </c>
      <c r="AG150" s="8">
        <f t="shared" si="114"/>
        <v>9.9999999999999997E+98</v>
      </c>
      <c r="AH150" s="8" t="str">
        <f t="shared" si="113"/>
        <v>footprint duplicate</v>
      </c>
      <c r="AI150" s="52">
        <f t="shared" si="115"/>
        <v>1233333335900880.8</v>
      </c>
    </row>
    <row r="151" spans="1:35" ht="15" customHeight="1" x14ac:dyDescent="0.25">
      <c r="A151" s="8">
        <v>144</v>
      </c>
      <c r="B151" s="8">
        <f t="shared" si="116"/>
        <v>6</v>
      </c>
      <c r="C151" s="8">
        <v>4</v>
      </c>
      <c r="D151" s="49">
        <f t="shared" si="84"/>
        <v>0.55555555555555558</v>
      </c>
      <c r="E151" s="50">
        <f t="shared" si="85"/>
        <v>42.447142857142843</v>
      </c>
      <c r="F151" s="37">
        <f t="shared" si="86"/>
        <v>0.65504850088183397</v>
      </c>
      <c r="G151" s="8">
        <f t="shared" si="87"/>
        <v>2</v>
      </c>
      <c r="H151" s="8">
        <f t="shared" si="88"/>
        <v>102</v>
      </c>
      <c r="I151" s="50">
        <f t="shared" si="89"/>
        <v>102</v>
      </c>
      <c r="J151" s="50">
        <f t="shared" si="90"/>
        <v>16.900000000000002</v>
      </c>
      <c r="K151" s="50">
        <f t="shared" si="91"/>
        <v>8.6</v>
      </c>
      <c r="L151" s="50">
        <f t="shared" si="92"/>
        <v>25.5</v>
      </c>
      <c r="M151" s="37">
        <f t="shared" si="93"/>
        <v>12.820785739668324</v>
      </c>
      <c r="N151" s="37">
        <f t="shared" si="94"/>
        <v>6.5142857142857142</v>
      </c>
      <c r="O151" s="50">
        <f t="shared" si="95"/>
        <v>96.670142907908073</v>
      </c>
      <c r="P151" s="50">
        <f t="shared" si="96"/>
        <v>6</v>
      </c>
      <c r="Q151" s="8">
        <f t="shared" si="97"/>
        <v>8</v>
      </c>
      <c r="R151" s="48">
        <f t="shared" si="98"/>
        <v>4752</v>
      </c>
      <c r="S151" s="48">
        <f t="shared" si="99"/>
        <v>4039.2</v>
      </c>
      <c r="T151" s="48">
        <f t="shared" si="100"/>
        <v>1723.8000000000002</v>
      </c>
      <c r="U151" s="48">
        <f t="shared" si="101"/>
        <v>17410.38</v>
      </c>
      <c r="V151" s="48">
        <f t="shared" si="102"/>
        <v>300000</v>
      </c>
      <c r="W151" s="48">
        <f t="shared" si="103"/>
        <v>400000</v>
      </c>
      <c r="X151" s="48">
        <f t="shared" si="104"/>
        <v>475200</v>
      </c>
      <c r="Y151" s="48">
        <f t="shared" si="105"/>
        <v>1211831.4000000001</v>
      </c>
      <c r="Z151" s="48">
        <f t="shared" si="106"/>
        <v>2387031.4000000004</v>
      </c>
      <c r="AA151" s="37">
        <f t="shared" si="107"/>
        <v>7.6470588235294124E-2</v>
      </c>
      <c r="AB151" s="49">
        <f t="shared" si="108"/>
        <v>0.32752425044091699</v>
      </c>
      <c r="AC151" s="49">
        <f t="shared" si="109"/>
        <v>0.65504850088183397</v>
      </c>
      <c r="AD151" s="50">
        <f t="shared" si="110"/>
        <v>8.124133333333333</v>
      </c>
      <c r="AE151" s="8">
        <f t="shared" si="111"/>
        <v>0</v>
      </c>
      <c r="AF151" s="51">
        <f t="shared" si="112"/>
        <v>2387031.4000000004</v>
      </c>
      <c r="AG151" s="8">
        <f t="shared" si="114"/>
        <v>9.9999999999999997E+98</v>
      </c>
      <c r="AH151" s="8" t="str">
        <f t="shared" si="113"/>
        <v>footprint duplicate</v>
      </c>
      <c r="AI151" s="52">
        <f t="shared" si="115"/>
        <v>700000002387031.38</v>
      </c>
    </row>
    <row r="152" spans="1:35" ht="15" customHeight="1" x14ac:dyDescent="0.25">
      <c r="A152" s="8">
        <v>145</v>
      </c>
      <c r="B152" s="8">
        <f t="shared" si="116"/>
        <v>6</v>
      </c>
      <c r="C152" s="8">
        <v>5</v>
      </c>
      <c r="D152" s="49">
        <f t="shared" si="84"/>
        <v>0.57894736842105265</v>
      </c>
      <c r="E152" s="50">
        <f t="shared" si="85"/>
        <v>43.502597402597381</v>
      </c>
      <c r="F152" s="37">
        <f t="shared" si="86"/>
        <v>0.69960317460317434</v>
      </c>
      <c r="G152" s="8">
        <f t="shared" si="87"/>
        <v>2</v>
      </c>
      <c r="H152" s="8">
        <f t="shared" si="88"/>
        <v>82</v>
      </c>
      <c r="I152" s="50">
        <f t="shared" si="89"/>
        <v>82</v>
      </c>
      <c r="J152" s="50">
        <f t="shared" si="90"/>
        <v>16.900000000000002</v>
      </c>
      <c r="K152" s="50">
        <f t="shared" si="91"/>
        <v>10.75</v>
      </c>
      <c r="L152" s="50">
        <f t="shared" si="92"/>
        <v>20.5</v>
      </c>
      <c r="M152" s="37">
        <f t="shared" si="93"/>
        <v>11.03143034516234</v>
      </c>
      <c r="N152" s="37">
        <f t="shared" si="94"/>
        <v>6.5142857142857142</v>
      </c>
      <c r="O152" s="50">
        <f t="shared" si="95"/>
        <v>93.091432118896108</v>
      </c>
      <c r="P152" s="50">
        <f t="shared" si="96"/>
        <v>7</v>
      </c>
      <c r="Q152" s="8">
        <f t="shared" si="97"/>
        <v>9</v>
      </c>
      <c r="R152" s="48">
        <f t="shared" si="98"/>
        <v>4740</v>
      </c>
      <c r="S152" s="48">
        <f t="shared" si="99"/>
        <v>4029</v>
      </c>
      <c r="T152" s="48">
        <f t="shared" si="100"/>
        <v>1385.8000000000002</v>
      </c>
      <c r="U152" s="48">
        <f t="shared" si="101"/>
        <v>16976.050000000003</v>
      </c>
      <c r="V152" s="48">
        <f t="shared" si="102"/>
        <v>300000</v>
      </c>
      <c r="W152" s="48">
        <f t="shared" si="103"/>
        <v>450000</v>
      </c>
      <c r="X152" s="48">
        <f t="shared" si="104"/>
        <v>474000</v>
      </c>
      <c r="Y152" s="48">
        <f t="shared" si="105"/>
        <v>1063601.5000000002</v>
      </c>
      <c r="Z152" s="48">
        <f t="shared" si="106"/>
        <v>2287601.5</v>
      </c>
      <c r="AA152" s="37">
        <f t="shared" si="107"/>
        <v>9.512195121951221E-2</v>
      </c>
      <c r="AB152" s="49">
        <f t="shared" si="108"/>
        <v>0.34980158730158717</v>
      </c>
      <c r="AC152" s="49">
        <f t="shared" si="109"/>
        <v>0.69960317460317434</v>
      </c>
      <c r="AD152" s="50">
        <f t="shared" si="110"/>
        <v>10.064715789473683</v>
      </c>
      <c r="AE152" s="8">
        <f t="shared" si="111"/>
        <v>0</v>
      </c>
      <c r="AF152" s="51">
        <f t="shared" si="112"/>
        <v>2287601.5</v>
      </c>
      <c r="AG152" s="8">
        <f t="shared" si="114"/>
        <v>9.9999999999999997E+98</v>
      </c>
      <c r="AH152" s="8" t="str">
        <f t="shared" si="113"/>
        <v>footprint duplicate</v>
      </c>
      <c r="AI152" s="52">
        <f t="shared" si="115"/>
        <v>366666668954268.25</v>
      </c>
    </row>
    <row r="153" spans="1:35" ht="15" customHeight="1" x14ac:dyDescent="0.25">
      <c r="A153" s="8">
        <v>146</v>
      </c>
      <c r="B153" s="8">
        <f t="shared" si="116"/>
        <v>6</v>
      </c>
      <c r="C153" s="8">
        <v>6</v>
      </c>
      <c r="D153" s="49">
        <f t="shared" si="84"/>
        <v>0.60000000000000009</v>
      </c>
      <c r="E153" s="50">
        <f t="shared" si="85"/>
        <v>44.740476190476173</v>
      </c>
      <c r="F153" s="37">
        <f t="shared" si="86"/>
        <v>0.74567460317460299</v>
      </c>
      <c r="G153" s="8">
        <f t="shared" si="87"/>
        <v>2</v>
      </c>
      <c r="H153" s="8">
        <f t="shared" si="88"/>
        <v>69</v>
      </c>
      <c r="I153" s="50">
        <f t="shared" si="89"/>
        <v>69</v>
      </c>
      <c r="J153" s="50">
        <f t="shared" si="90"/>
        <v>16.900000000000002</v>
      </c>
      <c r="K153" s="50">
        <f t="shared" si="91"/>
        <v>12.899999999999999</v>
      </c>
      <c r="L153" s="50">
        <f t="shared" si="92"/>
        <v>17.25</v>
      </c>
      <c r="M153" s="37">
        <f t="shared" si="93"/>
        <v>9.8672174288264642</v>
      </c>
      <c r="N153" s="37">
        <f t="shared" si="94"/>
        <v>6.5142857142857142</v>
      </c>
      <c r="O153" s="50">
        <f t="shared" si="95"/>
        <v>90.763006286224353</v>
      </c>
      <c r="P153" s="50">
        <f t="shared" si="96"/>
        <v>8</v>
      </c>
      <c r="Q153" s="8">
        <f t="shared" si="97"/>
        <v>10</v>
      </c>
      <c r="R153" s="48">
        <f t="shared" si="98"/>
        <v>4752</v>
      </c>
      <c r="S153" s="48">
        <f t="shared" si="99"/>
        <v>4039.2</v>
      </c>
      <c r="T153" s="48">
        <f t="shared" si="100"/>
        <v>1166.1000000000001</v>
      </c>
      <c r="U153" s="48">
        <f t="shared" si="101"/>
        <v>16791.84</v>
      </c>
      <c r="V153" s="48">
        <f t="shared" si="102"/>
        <v>300000</v>
      </c>
      <c r="W153" s="48">
        <f t="shared" si="103"/>
        <v>500000</v>
      </c>
      <c r="X153" s="48">
        <f t="shared" si="104"/>
        <v>475200</v>
      </c>
      <c r="Y153" s="48">
        <f t="shared" si="105"/>
        <v>970195.20000000007</v>
      </c>
      <c r="Z153" s="48">
        <f t="shared" si="106"/>
        <v>2245395.2000000002</v>
      </c>
      <c r="AA153" s="37">
        <f t="shared" si="107"/>
        <v>0.11304347826086958</v>
      </c>
      <c r="AB153" s="49">
        <f t="shared" si="108"/>
        <v>0.3728373015873015</v>
      </c>
      <c r="AC153" s="49">
        <f t="shared" si="109"/>
        <v>0.74567460317460299</v>
      </c>
      <c r="AD153" s="50">
        <f t="shared" si="110"/>
        <v>12.373679999999997</v>
      </c>
      <c r="AE153" s="8">
        <f t="shared" si="111"/>
        <v>0</v>
      </c>
      <c r="AF153" s="51">
        <f t="shared" si="112"/>
        <v>2245395.2000000002</v>
      </c>
      <c r="AG153" s="8">
        <f t="shared" si="114"/>
        <v>9.9999999999999997E+98</v>
      </c>
      <c r="AH153" s="8" t="str">
        <f t="shared" si="113"/>
        <v>footprint duplicate</v>
      </c>
      <c r="AI153" s="52">
        <f t="shared" si="115"/>
        <v>150000002245395.13</v>
      </c>
    </row>
    <row r="154" spans="1:35" ht="15" customHeight="1" x14ac:dyDescent="0.25">
      <c r="A154" s="8">
        <v>147</v>
      </c>
      <c r="B154" s="8">
        <f t="shared" si="116"/>
        <v>6</v>
      </c>
      <c r="C154" s="8">
        <v>7</v>
      </c>
      <c r="D154" s="49">
        <f t="shared" si="84"/>
        <v>0.60000000000000009</v>
      </c>
      <c r="E154" s="50">
        <f t="shared" si="85"/>
        <v>44.919642857142833</v>
      </c>
      <c r="F154" s="37">
        <f t="shared" si="86"/>
        <v>0.7486607142857139</v>
      </c>
      <c r="G154" s="8">
        <f t="shared" si="87"/>
        <v>2</v>
      </c>
      <c r="H154" s="8">
        <f t="shared" si="88"/>
        <v>60</v>
      </c>
      <c r="I154" s="50">
        <f t="shared" si="89"/>
        <v>60</v>
      </c>
      <c r="J154" s="50">
        <f t="shared" si="90"/>
        <v>16.900000000000002</v>
      </c>
      <c r="K154" s="50">
        <f t="shared" si="91"/>
        <v>15.049999999999999</v>
      </c>
      <c r="L154" s="50">
        <f t="shared" si="92"/>
        <v>15</v>
      </c>
      <c r="M154" s="37">
        <f t="shared" si="93"/>
        <v>9.0603357574361478</v>
      </c>
      <c r="N154" s="37">
        <f t="shared" si="94"/>
        <v>6.5142857142857142</v>
      </c>
      <c r="O154" s="50">
        <f t="shared" si="95"/>
        <v>89.149242943443724</v>
      </c>
      <c r="P154" s="50">
        <f t="shared" si="96"/>
        <v>9</v>
      </c>
      <c r="Q154" s="8">
        <f t="shared" si="97"/>
        <v>11</v>
      </c>
      <c r="R154" s="48">
        <f t="shared" si="98"/>
        <v>4788</v>
      </c>
      <c r="S154" s="48">
        <f t="shared" si="99"/>
        <v>4069.7999999999997</v>
      </c>
      <c r="T154" s="48">
        <f t="shared" si="100"/>
        <v>1014.0000000000001</v>
      </c>
      <c r="U154" s="48">
        <f t="shared" si="101"/>
        <v>16781.7</v>
      </c>
      <c r="V154" s="48">
        <f t="shared" si="102"/>
        <v>300000</v>
      </c>
      <c r="W154" s="48">
        <f t="shared" si="103"/>
        <v>550000</v>
      </c>
      <c r="X154" s="48">
        <f t="shared" si="104"/>
        <v>478800</v>
      </c>
      <c r="Y154" s="48">
        <f t="shared" si="105"/>
        <v>909051</v>
      </c>
      <c r="Z154" s="48">
        <f t="shared" si="106"/>
        <v>2237851</v>
      </c>
      <c r="AA154" s="37">
        <f t="shared" si="107"/>
        <v>0.13</v>
      </c>
      <c r="AB154" s="49">
        <f t="shared" si="108"/>
        <v>0.37433035714285695</v>
      </c>
      <c r="AC154" s="49">
        <f t="shared" si="109"/>
        <v>0.7486607142857139</v>
      </c>
      <c r="AD154" s="50">
        <f t="shared" si="110"/>
        <v>12.654899999999998</v>
      </c>
      <c r="AE154" s="8">
        <f t="shared" si="111"/>
        <v>0</v>
      </c>
      <c r="AF154" s="51">
        <f t="shared" si="112"/>
        <v>2237851</v>
      </c>
      <c r="AG154" s="8">
        <f t="shared" si="114"/>
        <v>9.9999999999999997E+98</v>
      </c>
      <c r="AH154" s="8" t="str">
        <f t="shared" si="113"/>
        <v>duplicate</v>
      </c>
      <c r="AI154" s="52">
        <f t="shared" si="115"/>
        <v>2237851.0328964097</v>
      </c>
    </row>
    <row r="155" spans="1:35" ht="15" customHeight="1" x14ac:dyDescent="0.25">
      <c r="A155" s="8">
        <v>148</v>
      </c>
      <c r="B155" s="8">
        <f t="shared" si="116"/>
        <v>6</v>
      </c>
      <c r="C155" s="8">
        <v>8</v>
      </c>
      <c r="D155" s="49">
        <f t="shared" si="84"/>
        <v>0.60000000000000009</v>
      </c>
      <c r="E155" s="50">
        <f t="shared" si="85"/>
        <v>45.0988095238095</v>
      </c>
      <c r="F155" s="37">
        <f t="shared" si="86"/>
        <v>0.75164682539682504</v>
      </c>
      <c r="G155" s="8">
        <f t="shared" si="87"/>
        <v>2</v>
      </c>
      <c r="H155" s="8">
        <f t="shared" si="88"/>
        <v>53</v>
      </c>
      <c r="I155" s="50">
        <f t="shared" si="89"/>
        <v>53</v>
      </c>
      <c r="J155" s="50">
        <f t="shared" si="90"/>
        <v>16.900000000000002</v>
      </c>
      <c r="K155" s="50">
        <f t="shared" si="91"/>
        <v>17.2</v>
      </c>
      <c r="L155" s="50">
        <f t="shared" si="92"/>
        <v>13.25</v>
      </c>
      <c r="M155" s="37">
        <f t="shared" si="93"/>
        <v>8.4319838763428088</v>
      </c>
      <c r="N155" s="37">
        <f t="shared" si="94"/>
        <v>6.5142857142857142</v>
      </c>
      <c r="O155" s="50">
        <f t="shared" si="95"/>
        <v>87.89253918125705</v>
      </c>
      <c r="P155" s="50">
        <f t="shared" si="96"/>
        <v>10</v>
      </c>
      <c r="Q155" s="8">
        <f t="shared" si="97"/>
        <v>12</v>
      </c>
      <c r="R155" s="48">
        <f t="shared" si="98"/>
        <v>4800</v>
      </c>
      <c r="S155" s="48">
        <f t="shared" si="99"/>
        <v>4080</v>
      </c>
      <c r="T155" s="48">
        <f t="shared" si="100"/>
        <v>895.70000000000016</v>
      </c>
      <c r="U155" s="48">
        <f t="shared" si="101"/>
        <v>16749.590000000004</v>
      </c>
      <c r="V155" s="48">
        <f t="shared" si="102"/>
        <v>300000</v>
      </c>
      <c r="W155" s="48">
        <f t="shared" si="103"/>
        <v>600000</v>
      </c>
      <c r="X155" s="48">
        <f t="shared" si="104"/>
        <v>480000</v>
      </c>
      <c r="Y155" s="48">
        <f t="shared" si="105"/>
        <v>860767.70000000019</v>
      </c>
      <c r="Z155" s="48">
        <f t="shared" si="106"/>
        <v>2240767.7000000002</v>
      </c>
      <c r="AA155" s="37">
        <f t="shared" si="107"/>
        <v>0.14716981132075474</v>
      </c>
      <c r="AB155" s="49">
        <f t="shared" si="108"/>
        <v>0.37582341269841252</v>
      </c>
      <c r="AC155" s="49">
        <f t="shared" si="109"/>
        <v>0.75164682539682504</v>
      </c>
      <c r="AD155" s="50">
        <f t="shared" si="110"/>
        <v>12.936119999999995</v>
      </c>
      <c r="AE155" s="8">
        <f t="shared" si="111"/>
        <v>0</v>
      </c>
      <c r="AF155" s="51">
        <f t="shared" si="112"/>
        <v>2240767.7000000002</v>
      </c>
      <c r="AG155" s="8">
        <f t="shared" si="114"/>
        <v>9.9999999999999997E+98</v>
      </c>
      <c r="AH155" s="8" t="str">
        <f t="shared" si="113"/>
        <v>duplicate</v>
      </c>
      <c r="AI155" s="52">
        <f t="shared" si="115"/>
        <v>2240767.7331633619</v>
      </c>
    </row>
    <row r="156" spans="1:35" ht="15" customHeight="1" x14ac:dyDescent="0.25">
      <c r="A156" s="8">
        <v>149</v>
      </c>
      <c r="B156" s="8">
        <f t="shared" si="116"/>
        <v>6</v>
      </c>
      <c r="C156" s="8">
        <v>9</v>
      </c>
      <c r="D156" s="49">
        <f t="shared" si="84"/>
        <v>0.6</v>
      </c>
      <c r="E156" s="50">
        <f t="shared" si="85"/>
        <v>45.277976190476181</v>
      </c>
      <c r="F156" s="37">
        <f t="shared" si="86"/>
        <v>0.75463293650793628</v>
      </c>
      <c r="G156" s="8">
        <f t="shared" si="87"/>
        <v>2</v>
      </c>
      <c r="H156" s="8">
        <f t="shared" si="88"/>
        <v>47</v>
      </c>
      <c r="I156" s="50">
        <f t="shared" si="89"/>
        <v>47</v>
      </c>
      <c r="J156" s="50">
        <f t="shared" si="90"/>
        <v>16.900000000000002</v>
      </c>
      <c r="K156" s="50">
        <f t="shared" si="91"/>
        <v>19.349999999999998</v>
      </c>
      <c r="L156" s="50">
        <f t="shared" si="92"/>
        <v>11.75</v>
      </c>
      <c r="M156" s="37">
        <f t="shared" si="93"/>
        <v>7.8926018787938661</v>
      </c>
      <c r="N156" s="37">
        <f t="shared" si="94"/>
        <v>6.5142857142857142</v>
      </c>
      <c r="O156" s="50">
        <f t="shared" si="95"/>
        <v>86.813775186159162</v>
      </c>
      <c r="P156" s="50">
        <f t="shared" si="96"/>
        <v>11</v>
      </c>
      <c r="Q156" s="8">
        <f t="shared" si="97"/>
        <v>13</v>
      </c>
      <c r="R156" s="48">
        <f t="shared" si="98"/>
        <v>4752</v>
      </c>
      <c r="S156" s="48">
        <f t="shared" si="99"/>
        <v>4039.2</v>
      </c>
      <c r="T156" s="48">
        <f t="shared" si="100"/>
        <v>794.30000000000007</v>
      </c>
      <c r="U156" s="48">
        <f t="shared" si="101"/>
        <v>16561.154999999999</v>
      </c>
      <c r="V156" s="48">
        <f t="shared" si="102"/>
        <v>300000</v>
      </c>
      <c r="W156" s="48">
        <f t="shared" si="103"/>
        <v>650000</v>
      </c>
      <c r="X156" s="48">
        <f t="shared" si="104"/>
        <v>475200</v>
      </c>
      <c r="Y156" s="48">
        <f t="shared" si="105"/>
        <v>814554.64999999991</v>
      </c>
      <c r="Z156" s="48">
        <f t="shared" si="106"/>
        <v>2239754.65</v>
      </c>
      <c r="AA156" s="37">
        <f t="shared" si="107"/>
        <v>0.16595744680851066</v>
      </c>
      <c r="AB156" s="49">
        <f t="shared" si="108"/>
        <v>0.37731646825396814</v>
      </c>
      <c r="AC156" s="49">
        <f t="shared" si="109"/>
        <v>0.75463293650793628</v>
      </c>
      <c r="AD156" s="50">
        <f t="shared" si="110"/>
        <v>13.217339999999998</v>
      </c>
      <c r="AE156" s="8">
        <f t="shared" si="111"/>
        <v>0</v>
      </c>
      <c r="AF156" s="51">
        <f t="shared" si="112"/>
        <v>2239754.65</v>
      </c>
      <c r="AG156" s="8">
        <f t="shared" si="114"/>
        <v>9.9999999999999997E+98</v>
      </c>
      <c r="AH156" s="8" t="str">
        <f t="shared" si="113"/>
        <v>duplicate</v>
      </c>
      <c r="AI156" s="52">
        <f t="shared" si="115"/>
        <v>2239754.6833723439</v>
      </c>
    </row>
    <row r="157" spans="1:35" ht="15" customHeight="1" x14ac:dyDescent="0.25">
      <c r="A157" s="8">
        <v>150</v>
      </c>
      <c r="B157" s="8">
        <f t="shared" si="116"/>
        <v>6</v>
      </c>
      <c r="C157" s="8">
        <v>10</v>
      </c>
      <c r="D157" s="49">
        <f t="shared" si="84"/>
        <v>0.60000000000000009</v>
      </c>
      <c r="E157" s="50">
        <f t="shared" si="85"/>
        <v>45.457142857142834</v>
      </c>
      <c r="F157" s="37">
        <f t="shared" si="86"/>
        <v>0.7576190476190473</v>
      </c>
      <c r="G157" s="8">
        <f t="shared" si="87"/>
        <v>2</v>
      </c>
      <c r="H157" s="8">
        <f t="shared" si="88"/>
        <v>43</v>
      </c>
      <c r="I157" s="50">
        <f t="shared" si="89"/>
        <v>43</v>
      </c>
      <c r="J157" s="50">
        <f t="shared" si="90"/>
        <v>16.900000000000002</v>
      </c>
      <c r="K157" s="50">
        <f t="shared" si="91"/>
        <v>21.5</v>
      </c>
      <c r="L157" s="50">
        <f t="shared" si="92"/>
        <v>10.75</v>
      </c>
      <c r="M157" s="37">
        <f t="shared" si="93"/>
        <v>7.5324452429341591</v>
      </c>
      <c r="N157" s="37">
        <f t="shared" si="94"/>
        <v>6.5142857142857142</v>
      </c>
      <c r="O157" s="50">
        <f t="shared" si="95"/>
        <v>86.093461914439743</v>
      </c>
      <c r="P157" s="50">
        <f t="shared" si="96"/>
        <v>12</v>
      </c>
      <c r="Q157" s="8">
        <f t="shared" si="97"/>
        <v>14</v>
      </c>
      <c r="R157" s="48">
        <f t="shared" si="98"/>
        <v>4800</v>
      </c>
      <c r="S157" s="48">
        <f t="shared" si="99"/>
        <v>4080</v>
      </c>
      <c r="T157" s="48">
        <f t="shared" si="100"/>
        <v>726.7</v>
      </c>
      <c r="U157" s="48">
        <f t="shared" si="101"/>
        <v>16714.100000000002</v>
      </c>
      <c r="V157" s="48">
        <f t="shared" si="102"/>
        <v>300000</v>
      </c>
      <c r="W157" s="48">
        <f t="shared" si="103"/>
        <v>700000</v>
      </c>
      <c r="X157" s="48">
        <f t="shared" si="104"/>
        <v>480000</v>
      </c>
      <c r="Y157" s="48">
        <f t="shared" si="105"/>
        <v>792103</v>
      </c>
      <c r="Z157" s="48">
        <f t="shared" si="106"/>
        <v>2272103</v>
      </c>
      <c r="AA157" s="37">
        <f t="shared" si="107"/>
        <v>0.18139534883720931</v>
      </c>
      <c r="AB157" s="49">
        <f t="shared" si="108"/>
        <v>0.37880952380952365</v>
      </c>
      <c r="AC157" s="49">
        <f t="shared" si="109"/>
        <v>0.7576190476190473</v>
      </c>
      <c r="AD157" s="50">
        <f t="shared" si="110"/>
        <v>13.498559999999996</v>
      </c>
      <c r="AE157" s="8">
        <f t="shared" si="111"/>
        <v>0</v>
      </c>
      <c r="AF157" s="51">
        <f t="shared" si="112"/>
        <v>2272103</v>
      </c>
      <c r="AG157" s="8">
        <f t="shared" si="114"/>
        <v>9.9999999999999997E+98</v>
      </c>
      <c r="AH157" s="8" t="str">
        <f t="shared" si="113"/>
        <v>height duplicate</v>
      </c>
      <c r="AI157" s="52">
        <f t="shared" si="115"/>
        <v>75000002272102.984</v>
      </c>
    </row>
    <row r="158" spans="1:35" ht="15" customHeight="1" x14ac:dyDescent="0.25">
      <c r="A158" s="8">
        <v>151</v>
      </c>
      <c r="B158" s="8">
        <f t="shared" si="116"/>
        <v>6</v>
      </c>
      <c r="C158" s="8">
        <v>11</v>
      </c>
      <c r="D158" s="49">
        <f t="shared" si="84"/>
        <v>0.6</v>
      </c>
      <c r="E158" s="50">
        <f t="shared" si="85"/>
        <v>45.636309523809516</v>
      </c>
      <c r="F158" s="37">
        <f t="shared" si="86"/>
        <v>0.76060515873015866</v>
      </c>
      <c r="G158" s="8">
        <f t="shared" si="87"/>
        <v>2</v>
      </c>
      <c r="H158" s="8">
        <f t="shared" si="88"/>
        <v>39</v>
      </c>
      <c r="I158" s="50">
        <f t="shared" si="89"/>
        <v>39</v>
      </c>
      <c r="J158" s="50">
        <f t="shared" si="90"/>
        <v>16.900000000000002</v>
      </c>
      <c r="K158" s="50">
        <f t="shared" si="91"/>
        <v>23.65</v>
      </c>
      <c r="L158" s="50">
        <f t="shared" si="92"/>
        <v>9.75</v>
      </c>
      <c r="M158" s="37">
        <f t="shared" si="93"/>
        <v>7.171670396055613</v>
      </c>
      <c r="N158" s="37">
        <f t="shared" si="94"/>
        <v>6.5142857142857142</v>
      </c>
      <c r="O158" s="50">
        <f t="shared" si="95"/>
        <v>85.371912220682646</v>
      </c>
      <c r="P158" s="50">
        <f t="shared" si="96"/>
        <v>13</v>
      </c>
      <c r="Q158" s="8">
        <f t="shared" si="97"/>
        <v>15</v>
      </c>
      <c r="R158" s="48">
        <f t="shared" si="98"/>
        <v>4752</v>
      </c>
      <c r="S158" s="48">
        <f t="shared" si="99"/>
        <v>4039.2</v>
      </c>
      <c r="T158" s="48">
        <f t="shared" si="100"/>
        <v>659.10000000000014</v>
      </c>
      <c r="U158" s="48">
        <f t="shared" si="101"/>
        <v>16576.365000000002</v>
      </c>
      <c r="V158" s="48">
        <f t="shared" si="102"/>
        <v>300000</v>
      </c>
      <c r="W158" s="48">
        <f t="shared" si="103"/>
        <v>750000</v>
      </c>
      <c r="X158" s="48">
        <f t="shared" si="104"/>
        <v>475200</v>
      </c>
      <c r="Y158" s="48">
        <f t="shared" si="105"/>
        <v>760930.95000000019</v>
      </c>
      <c r="Z158" s="48">
        <f t="shared" si="106"/>
        <v>2286130.9500000002</v>
      </c>
      <c r="AA158" s="37">
        <f t="shared" si="107"/>
        <v>0.2</v>
      </c>
      <c r="AB158" s="49">
        <f t="shared" si="108"/>
        <v>0.38030257936507933</v>
      </c>
      <c r="AC158" s="49">
        <f t="shared" si="109"/>
        <v>0.76060515873015866</v>
      </c>
      <c r="AD158" s="50">
        <f t="shared" si="110"/>
        <v>13.779779999999999</v>
      </c>
      <c r="AE158" s="8">
        <f t="shared" si="111"/>
        <v>0</v>
      </c>
      <c r="AF158" s="51">
        <f t="shared" si="112"/>
        <v>2286130.9500000002</v>
      </c>
      <c r="AG158" s="8">
        <f t="shared" si="114"/>
        <v>9.9999999999999997E+98</v>
      </c>
      <c r="AH158" s="8" t="str">
        <f t="shared" si="113"/>
        <v>height duplicate</v>
      </c>
      <c r="AI158" s="52">
        <f t="shared" si="115"/>
        <v>182500002286130.88</v>
      </c>
    </row>
    <row r="159" spans="1:35" ht="15" customHeight="1" x14ac:dyDescent="0.25">
      <c r="A159" s="8">
        <v>152</v>
      </c>
      <c r="B159" s="8">
        <f t="shared" si="116"/>
        <v>6</v>
      </c>
      <c r="C159" s="8">
        <v>12</v>
      </c>
      <c r="D159" s="49">
        <f t="shared" si="84"/>
        <v>0.6</v>
      </c>
      <c r="E159" s="50">
        <f t="shared" si="85"/>
        <v>45.815476190476183</v>
      </c>
      <c r="F159" s="37">
        <f t="shared" si="86"/>
        <v>0.76359126984126979</v>
      </c>
      <c r="G159" s="8">
        <f t="shared" si="87"/>
        <v>2</v>
      </c>
      <c r="H159" s="8">
        <f t="shared" si="88"/>
        <v>36</v>
      </c>
      <c r="I159" s="50">
        <f t="shared" si="89"/>
        <v>36</v>
      </c>
      <c r="J159" s="50">
        <f t="shared" si="90"/>
        <v>16.900000000000002</v>
      </c>
      <c r="K159" s="50">
        <f t="shared" si="91"/>
        <v>25.799999999999997</v>
      </c>
      <c r="L159" s="50">
        <f t="shared" si="92"/>
        <v>9</v>
      </c>
      <c r="M159" s="37">
        <f t="shared" si="93"/>
        <v>6.9005595957269135</v>
      </c>
      <c r="N159" s="37">
        <f t="shared" si="94"/>
        <v>6.5142857142857142</v>
      </c>
      <c r="O159" s="50">
        <f t="shared" si="95"/>
        <v>84.829690620025247</v>
      </c>
      <c r="P159" s="50">
        <f t="shared" si="96"/>
        <v>14</v>
      </c>
      <c r="Q159" s="8">
        <f t="shared" si="97"/>
        <v>16</v>
      </c>
      <c r="R159" s="48">
        <f t="shared" si="98"/>
        <v>4752</v>
      </c>
      <c r="S159" s="48">
        <f t="shared" si="99"/>
        <v>4039.2</v>
      </c>
      <c r="T159" s="48">
        <f t="shared" si="100"/>
        <v>608.40000000000009</v>
      </c>
      <c r="U159" s="48">
        <f t="shared" si="101"/>
        <v>16609.32</v>
      </c>
      <c r="V159" s="48">
        <f t="shared" si="102"/>
        <v>300000</v>
      </c>
      <c r="W159" s="48">
        <f t="shared" si="103"/>
        <v>800000</v>
      </c>
      <c r="X159" s="48">
        <f t="shared" si="104"/>
        <v>475200</v>
      </c>
      <c r="Y159" s="48">
        <f t="shared" si="105"/>
        <v>741639.6</v>
      </c>
      <c r="Z159" s="48">
        <f t="shared" si="106"/>
        <v>2316839.6</v>
      </c>
      <c r="AA159" s="37">
        <f t="shared" si="107"/>
        <v>0.21666666666666667</v>
      </c>
      <c r="AB159" s="49">
        <f t="shared" si="108"/>
        <v>0.3817956349206349</v>
      </c>
      <c r="AC159" s="49">
        <f t="shared" si="109"/>
        <v>0.76359126984126979</v>
      </c>
      <c r="AD159" s="50">
        <f t="shared" si="110"/>
        <v>14.060999999999998</v>
      </c>
      <c r="AE159" s="8">
        <f t="shared" si="111"/>
        <v>0</v>
      </c>
      <c r="AF159" s="51">
        <f t="shared" si="112"/>
        <v>2316839.6</v>
      </c>
      <c r="AG159" s="8">
        <f t="shared" si="114"/>
        <v>9.9999999999999997E+98</v>
      </c>
      <c r="AH159" s="8" t="str">
        <f t="shared" si="113"/>
        <v>height duplicate</v>
      </c>
      <c r="AI159" s="52">
        <f t="shared" si="115"/>
        <v>290000002316839.44</v>
      </c>
    </row>
    <row r="160" spans="1:35" ht="15" customHeight="1" x14ac:dyDescent="0.25">
      <c r="A160" s="8">
        <v>153</v>
      </c>
      <c r="B160" s="8">
        <f t="shared" si="116"/>
        <v>6</v>
      </c>
      <c r="C160" s="8">
        <v>13</v>
      </c>
      <c r="D160" s="49">
        <f t="shared" si="84"/>
        <v>0.6</v>
      </c>
      <c r="E160" s="50">
        <f t="shared" si="85"/>
        <v>45.99464285714285</v>
      </c>
      <c r="F160" s="37">
        <f t="shared" si="86"/>
        <v>0.76657738095238082</v>
      </c>
      <c r="G160" s="8">
        <f t="shared" si="87"/>
        <v>2</v>
      </c>
      <c r="H160" s="8">
        <f t="shared" si="88"/>
        <v>34</v>
      </c>
      <c r="I160" s="50">
        <f t="shared" si="89"/>
        <v>34</v>
      </c>
      <c r="J160" s="50">
        <f t="shared" si="90"/>
        <v>16.900000000000002</v>
      </c>
      <c r="K160" s="50">
        <f t="shared" si="91"/>
        <v>27.95</v>
      </c>
      <c r="L160" s="50">
        <f t="shared" si="92"/>
        <v>8.5</v>
      </c>
      <c r="M160" s="37">
        <f t="shared" si="93"/>
        <v>6.7195000761478241</v>
      </c>
      <c r="N160" s="37">
        <f t="shared" si="94"/>
        <v>6.5142857142857142</v>
      </c>
      <c r="O160" s="50">
        <f t="shared" si="95"/>
        <v>84.467571580867073</v>
      </c>
      <c r="P160" s="50">
        <f t="shared" si="96"/>
        <v>15</v>
      </c>
      <c r="Q160" s="8">
        <f t="shared" si="97"/>
        <v>17</v>
      </c>
      <c r="R160" s="48">
        <f t="shared" si="98"/>
        <v>4836</v>
      </c>
      <c r="S160" s="48">
        <f t="shared" si="99"/>
        <v>4110.5999999999995</v>
      </c>
      <c r="T160" s="48">
        <f t="shared" si="100"/>
        <v>574.6</v>
      </c>
      <c r="U160" s="48">
        <f t="shared" si="101"/>
        <v>16921.97</v>
      </c>
      <c r="V160" s="48">
        <f t="shared" si="102"/>
        <v>300000</v>
      </c>
      <c r="W160" s="48">
        <f t="shared" si="103"/>
        <v>850000</v>
      </c>
      <c r="X160" s="48">
        <f t="shared" si="104"/>
        <v>483600</v>
      </c>
      <c r="Y160" s="48">
        <f t="shared" si="105"/>
        <v>737499.10000000009</v>
      </c>
      <c r="Z160" s="48">
        <f t="shared" si="106"/>
        <v>2371099.1</v>
      </c>
      <c r="AA160" s="37">
        <f t="shared" si="107"/>
        <v>0.22941176470588237</v>
      </c>
      <c r="AB160" s="49">
        <f t="shared" si="108"/>
        <v>0.38328869047619041</v>
      </c>
      <c r="AC160" s="49">
        <f t="shared" si="109"/>
        <v>0.76657738095238082</v>
      </c>
      <c r="AD160" s="50">
        <f t="shared" si="110"/>
        <v>14.342219999999999</v>
      </c>
      <c r="AE160" s="8">
        <f t="shared" si="111"/>
        <v>0</v>
      </c>
      <c r="AF160" s="51">
        <f t="shared" si="112"/>
        <v>2371099.1</v>
      </c>
      <c r="AG160" s="8">
        <f t="shared" si="114"/>
        <v>9.9999999999999997E+98</v>
      </c>
      <c r="AH160" s="8" t="str">
        <f t="shared" si="113"/>
        <v>height duplicate</v>
      </c>
      <c r="AI160" s="52">
        <f t="shared" si="115"/>
        <v>397500002371099.06</v>
      </c>
    </row>
    <row r="161" spans="1:35" ht="15" customHeight="1" x14ac:dyDescent="0.25">
      <c r="A161" s="8">
        <v>154</v>
      </c>
      <c r="B161" s="8">
        <f t="shared" si="116"/>
        <v>6</v>
      </c>
      <c r="C161" s="8">
        <v>14</v>
      </c>
      <c r="D161" s="49">
        <f t="shared" si="84"/>
        <v>0.6</v>
      </c>
      <c r="E161" s="50">
        <f t="shared" si="85"/>
        <v>46.173809523809517</v>
      </c>
      <c r="F161" s="37">
        <f t="shared" si="86"/>
        <v>0.76956349206349195</v>
      </c>
      <c r="G161" s="8">
        <f t="shared" si="87"/>
        <v>2</v>
      </c>
      <c r="H161" s="8">
        <f t="shared" si="88"/>
        <v>32</v>
      </c>
      <c r="I161" s="50">
        <f t="shared" si="89"/>
        <v>32</v>
      </c>
      <c r="J161" s="50">
        <f t="shared" si="90"/>
        <v>16.900000000000002</v>
      </c>
      <c r="K161" s="50">
        <f t="shared" si="91"/>
        <v>30.099999999999998</v>
      </c>
      <c r="L161" s="50">
        <f t="shared" si="92"/>
        <v>8</v>
      </c>
      <c r="M161" s="37">
        <f t="shared" si="93"/>
        <v>6.5381295451927768</v>
      </c>
      <c r="N161" s="37">
        <f t="shared" si="94"/>
        <v>6.5142857142857142</v>
      </c>
      <c r="O161" s="50">
        <f t="shared" si="95"/>
        <v>84.104830518956973</v>
      </c>
      <c r="P161" s="50">
        <f t="shared" si="96"/>
        <v>16</v>
      </c>
      <c r="Q161" s="8">
        <f t="shared" si="97"/>
        <v>18</v>
      </c>
      <c r="R161" s="48">
        <f t="shared" si="98"/>
        <v>4872</v>
      </c>
      <c r="S161" s="48">
        <f t="shared" si="99"/>
        <v>4141.2</v>
      </c>
      <c r="T161" s="48">
        <f t="shared" si="100"/>
        <v>540.80000000000007</v>
      </c>
      <c r="U161" s="48">
        <f t="shared" si="101"/>
        <v>17089.280000000002</v>
      </c>
      <c r="V161" s="48">
        <f t="shared" si="102"/>
        <v>300000</v>
      </c>
      <c r="W161" s="48">
        <f t="shared" si="103"/>
        <v>900000</v>
      </c>
      <c r="X161" s="48">
        <f t="shared" si="104"/>
        <v>487200</v>
      </c>
      <c r="Y161" s="48">
        <f t="shared" si="105"/>
        <v>728998.40000000014</v>
      </c>
      <c r="Z161" s="48">
        <f t="shared" si="106"/>
        <v>2416198.4000000004</v>
      </c>
      <c r="AA161" s="37">
        <f t="shared" si="107"/>
        <v>0.24375000000000002</v>
      </c>
      <c r="AB161" s="49">
        <f t="shared" si="108"/>
        <v>0.38478174603174597</v>
      </c>
      <c r="AC161" s="49">
        <f t="shared" si="109"/>
        <v>0.76956349206349195</v>
      </c>
      <c r="AD161" s="50">
        <f t="shared" si="110"/>
        <v>14.623439999999999</v>
      </c>
      <c r="AE161" s="8">
        <f t="shared" si="111"/>
        <v>0</v>
      </c>
      <c r="AF161" s="51">
        <f t="shared" si="112"/>
        <v>2416198.4000000004</v>
      </c>
      <c r="AG161" s="8">
        <f t="shared" si="114"/>
        <v>9.9999999999999997E+98</v>
      </c>
      <c r="AH161" s="8" t="str">
        <f t="shared" si="113"/>
        <v>height duplicate</v>
      </c>
      <c r="AI161" s="52">
        <f t="shared" si="115"/>
        <v>505000002416198.31</v>
      </c>
    </row>
    <row r="162" spans="1:35" ht="15" customHeight="1" x14ac:dyDescent="0.25">
      <c r="A162" s="8">
        <v>155</v>
      </c>
      <c r="B162" s="8">
        <f t="shared" si="116"/>
        <v>6</v>
      </c>
      <c r="C162" s="8">
        <v>15</v>
      </c>
      <c r="D162" s="49">
        <f t="shared" si="84"/>
        <v>0.60000000000000009</v>
      </c>
      <c r="E162" s="50">
        <f t="shared" si="85"/>
        <v>46.352976190476163</v>
      </c>
      <c r="F162" s="37">
        <f t="shared" si="86"/>
        <v>0.77254960317460286</v>
      </c>
      <c r="G162" s="8">
        <f t="shared" si="87"/>
        <v>2</v>
      </c>
      <c r="H162" s="8">
        <f t="shared" si="88"/>
        <v>30</v>
      </c>
      <c r="I162" s="50">
        <f t="shared" si="89"/>
        <v>30</v>
      </c>
      <c r="J162" s="50">
        <f t="shared" si="90"/>
        <v>16.900000000000002</v>
      </c>
      <c r="K162" s="50">
        <f t="shared" si="91"/>
        <v>32.25</v>
      </c>
      <c r="L162" s="50">
        <f t="shared" si="92"/>
        <v>7.5</v>
      </c>
      <c r="M162" s="37">
        <f t="shared" si="93"/>
        <v>6.3563858005865805</v>
      </c>
      <c r="N162" s="37">
        <f t="shared" si="94"/>
        <v>6.5142857142857142</v>
      </c>
      <c r="O162" s="50">
        <f t="shared" si="95"/>
        <v>83.741343029744584</v>
      </c>
      <c r="P162" s="50">
        <f t="shared" si="96"/>
        <v>17</v>
      </c>
      <c r="Q162" s="8">
        <f t="shared" si="97"/>
        <v>19</v>
      </c>
      <c r="R162" s="48">
        <f t="shared" si="98"/>
        <v>4860</v>
      </c>
      <c r="S162" s="48">
        <f t="shared" si="99"/>
        <v>4131</v>
      </c>
      <c r="T162" s="48">
        <f t="shared" si="100"/>
        <v>507.00000000000006</v>
      </c>
      <c r="U162" s="48">
        <f t="shared" si="101"/>
        <v>17111.250000000004</v>
      </c>
      <c r="V162" s="48">
        <f t="shared" si="102"/>
        <v>300000</v>
      </c>
      <c r="W162" s="48">
        <f t="shared" si="103"/>
        <v>950000</v>
      </c>
      <c r="X162" s="48">
        <f t="shared" si="104"/>
        <v>486000</v>
      </c>
      <c r="Y162" s="48">
        <f t="shared" si="105"/>
        <v>716137.50000000012</v>
      </c>
      <c r="Z162" s="48">
        <f t="shared" si="106"/>
        <v>2452137.5</v>
      </c>
      <c r="AA162" s="37">
        <f t="shared" si="107"/>
        <v>0.26</v>
      </c>
      <c r="AB162" s="49">
        <f t="shared" si="108"/>
        <v>0.38627480158730143</v>
      </c>
      <c r="AC162" s="49">
        <f t="shared" si="109"/>
        <v>0.77254960317460286</v>
      </c>
      <c r="AD162" s="50">
        <f t="shared" si="110"/>
        <v>14.904659999999998</v>
      </c>
      <c r="AE162" s="8">
        <f t="shared" si="111"/>
        <v>0</v>
      </c>
      <c r="AF162" s="51">
        <f t="shared" si="112"/>
        <v>2452137.5</v>
      </c>
      <c r="AG162" s="8">
        <f t="shared" si="114"/>
        <v>9.9999999999999997E+98</v>
      </c>
      <c r="AH162" s="8" t="str">
        <f t="shared" si="113"/>
        <v>height duplicate</v>
      </c>
      <c r="AI162" s="52">
        <f t="shared" si="115"/>
        <v>612500002452137.5</v>
      </c>
    </row>
    <row r="163" spans="1:35" ht="15" customHeight="1" x14ac:dyDescent="0.25">
      <c r="A163" s="8">
        <v>156</v>
      </c>
      <c r="B163" s="8">
        <f t="shared" si="116"/>
        <v>6</v>
      </c>
      <c r="C163" s="8">
        <v>16</v>
      </c>
      <c r="D163" s="49">
        <f t="shared" si="84"/>
        <v>0.59999999999999987</v>
      </c>
      <c r="E163" s="50">
        <f t="shared" si="85"/>
        <v>46.532142857142851</v>
      </c>
      <c r="F163" s="37">
        <f t="shared" si="86"/>
        <v>0.775535714285714</v>
      </c>
      <c r="G163" s="8">
        <f t="shared" si="87"/>
        <v>2</v>
      </c>
      <c r="H163" s="8">
        <f t="shared" si="88"/>
        <v>28</v>
      </c>
      <c r="I163" s="50">
        <f t="shared" si="89"/>
        <v>28</v>
      </c>
      <c r="J163" s="50">
        <f t="shared" si="90"/>
        <v>16.900000000000002</v>
      </c>
      <c r="K163" s="50">
        <f t="shared" si="91"/>
        <v>34.4</v>
      </c>
      <c r="L163" s="50">
        <f t="shared" si="92"/>
        <v>7</v>
      </c>
      <c r="M163" s="37">
        <f t="shared" si="93"/>
        <v>6.1741888679754187</v>
      </c>
      <c r="N163" s="37">
        <f t="shared" si="94"/>
        <v>6.5142857142857142</v>
      </c>
      <c r="O163" s="50">
        <f t="shared" si="95"/>
        <v>83.376949164522259</v>
      </c>
      <c r="P163" s="50">
        <f t="shared" si="96"/>
        <v>18</v>
      </c>
      <c r="Q163" s="8">
        <f t="shared" si="97"/>
        <v>20</v>
      </c>
      <c r="R163" s="48">
        <f t="shared" si="98"/>
        <v>4800</v>
      </c>
      <c r="S163" s="48">
        <f t="shared" si="99"/>
        <v>4080</v>
      </c>
      <c r="T163" s="48">
        <f t="shared" si="100"/>
        <v>473.20000000000005</v>
      </c>
      <c r="U163" s="48">
        <f t="shared" si="101"/>
        <v>16987.88</v>
      </c>
      <c r="V163" s="48">
        <f t="shared" si="102"/>
        <v>300000</v>
      </c>
      <c r="W163" s="48">
        <f t="shared" si="103"/>
        <v>1000000</v>
      </c>
      <c r="X163" s="48">
        <f t="shared" si="104"/>
        <v>480000</v>
      </c>
      <c r="Y163" s="48">
        <f t="shared" si="105"/>
        <v>698916.4</v>
      </c>
      <c r="Z163" s="48">
        <f t="shared" si="106"/>
        <v>2478916.4</v>
      </c>
      <c r="AA163" s="37">
        <f t="shared" si="107"/>
        <v>0.27857142857142858</v>
      </c>
      <c r="AB163" s="49">
        <f t="shared" si="108"/>
        <v>0.387767857142857</v>
      </c>
      <c r="AC163" s="49">
        <f t="shared" si="109"/>
        <v>0.775535714285714</v>
      </c>
      <c r="AD163" s="50">
        <f t="shared" si="110"/>
        <v>15.185879999999999</v>
      </c>
      <c r="AE163" s="8">
        <f t="shared" si="111"/>
        <v>0</v>
      </c>
      <c r="AF163" s="51">
        <f t="shared" si="112"/>
        <v>2478916.4</v>
      </c>
      <c r="AG163" s="8">
        <f t="shared" si="114"/>
        <v>9.9999999999999997E+98</v>
      </c>
      <c r="AH163" s="8" t="str">
        <f t="shared" si="113"/>
        <v>height duplicate</v>
      </c>
      <c r="AI163" s="52">
        <f t="shared" si="115"/>
        <v>720000002478916.5</v>
      </c>
    </row>
    <row r="164" spans="1:35" ht="15" customHeight="1" x14ac:dyDescent="0.25">
      <c r="A164" s="8">
        <v>157</v>
      </c>
      <c r="B164" s="8">
        <f t="shared" si="116"/>
        <v>6</v>
      </c>
      <c r="C164" s="8">
        <v>17</v>
      </c>
      <c r="D164" s="49">
        <f t="shared" si="84"/>
        <v>0.6</v>
      </c>
      <c r="E164" s="50">
        <f t="shared" si="85"/>
        <v>46.711309523809518</v>
      </c>
      <c r="F164" s="37">
        <f t="shared" si="86"/>
        <v>0.77852182539682535</v>
      </c>
      <c r="G164" s="8">
        <f t="shared" si="87"/>
        <v>2</v>
      </c>
      <c r="H164" s="8">
        <f t="shared" si="88"/>
        <v>27</v>
      </c>
      <c r="I164" s="50">
        <f t="shared" si="89"/>
        <v>27</v>
      </c>
      <c r="J164" s="50">
        <f t="shared" si="90"/>
        <v>16.900000000000002</v>
      </c>
      <c r="K164" s="50">
        <f t="shared" si="91"/>
        <v>36.549999999999997</v>
      </c>
      <c r="L164" s="50">
        <f t="shared" si="92"/>
        <v>6.75</v>
      </c>
      <c r="M164" s="37">
        <f t="shared" si="93"/>
        <v>6.0828889847787408</v>
      </c>
      <c r="N164" s="37">
        <f t="shared" si="94"/>
        <v>6.5142857142857142</v>
      </c>
      <c r="O164" s="50">
        <f t="shared" si="95"/>
        <v>83.194349398128907</v>
      </c>
      <c r="P164" s="50">
        <f t="shared" si="96"/>
        <v>19</v>
      </c>
      <c r="Q164" s="8">
        <f t="shared" si="97"/>
        <v>21</v>
      </c>
      <c r="R164" s="48">
        <f t="shared" si="98"/>
        <v>4896</v>
      </c>
      <c r="S164" s="48">
        <f t="shared" si="99"/>
        <v>4161.5999999999995</v>
      </c>
      <c r="T164" s="48">
        <f t="shared" si="100"/>
        <v>456.30000000000007</v>
      </c>
      <c r="U164" s="48">
        <f t="shared" si="101"/>
        <v>17362.215</v>
      </c>
      <c r="V164" s="48">
        <f t="shared" si="102"/>
        <v>300000</v>
      </c>
      <c r="W164" s="48">
        <f t="shared" si="103"/>
        <v>1050000</v>
      </c>
      <c r="X164" s="48">
        <f t="shared" si="104"/>
        <v>489600</v>
      </c>
      <c r="Y164" s="48">
        <f t="shared" si="105"/>
        <v>703386.45000000007</v>
      </c>
      <c r="Z164" s="48">
        <f t="shared" si="106"/>
        <v>2542986.4500000002</v>
      </c>
      <c r="AA164" s="37">
        <f t="shared" si="107"/>
        <v>0.28888888888888892</v>
      </c>
      <c r="AB164" s="49">
        <f t="shared" si="108"/>
        <v>0.38926091269841268</v>
      </c>
      <c r="AC164" s="49">
        <f t="shared" si="109"/>
        <v>0.77852182539682535</v>
      </c>
      <c r="AD164" s="50">
        <f t="shared" si="110"/>
        <v>15.4671</v>
      </c>
      <c r="AE164" s="8">
        <f t="shared" si="111"/>
        <v>0</v>
      </c>
      <c r="AF164" s="51">
        <f t="shared" si="112"/>
        <v>2542986.4500000002</v>
      </c>
      <c r="AG164" s="8">
        <f t="shared" si="114"/>
        <v>9.9999999999999997E+98</v>
      </c>
      <c r="AH164" s="8" t="str">
        <f t="shared" si="113"/>
        <v>height duplicate</v>
      </c>
      <c r="AI164" s="52">
        <f t="shared" si="115"/>
        <v>827500002542986.38</v>
      </c>
    </row>
    <row r="165" spans="1:35" ht="15" customHeight="1" x14ac:dyDescent="0.25">
      <c r="A165" s="8">
        <v>158</v>
      </c>
      <c r="B165" s="8">
        <f t="shared" si="116"/>
        <v>6</v>
      </c>
      <c r="C165" s="8">
        <v>18</v>
      </c>
      <c r="D165" s="49">
        <f t="shared" si="84"/>
        <v>0.6</v>
      </c>
      <c r="E165" s="50">
        <f t="shared" si="85"/>
        <v>46.890476190476186</v>
      </c>
      <c r="F165" s="37">
        <f t="shared" si="86"/>
        <v>0.78150793650793637</v>
      </c>
      <c r="G165" s="8">
        <f t="shared" si="87"/>
        <v>2</v>
      </c>
      <c r="H165" s="8">
        <f t="shared" si="88"/>
        <v>25</v>
      </c>
      <c r="I165" s="50">
        <f t="shared" si="89"/>
        <v>25</v>
      </c>
      <c r="J165" s="50">
        <f t="shared" si="90"/>
        <v>16.900000000000002</v>
      </c>
      <c r="K165" s="50">
        <f t="shared" si="91"/>
        <v>38.699999999999996</v>
      </c>
      <c r="L165" s="50">
        <f t="shared" si="92"/>
        <v>6.25</v>
      </c>
      <c r="M165" s="37">
        <f t="shared" si="93"/>
        <v>5.8998058178467536</v>
      </c>
      <c r="N165" s="37">
        <f t="shared" si="94"/>
        <v>6.5142857142857142</v>
      </c>
      <c r="O165" s="50">
        <f t="shared" si="95"/>
        <v>82.828183064264934</v>
      </c>
      <c r="P165" s="50">
        <f t="shared" si="96"/>
        <v>20</v>
      </c>
      <c r="Q165" s="8">
        <f t="shared" si="97"/>
        <v>22</v>
      </c>
      <c r="R165" s="48">
        <f t="shared" si="98"/>
        <v>4752</v>
      </c>
      <c r="S165" s="48">
        <f t="shared" si="99"/>
        <v>4039.2</v>
      </c>
      <c r="T165" s="48">
        <f t="shared" si="100"/>
        <v>422.50000000000006</v>
      </c>
      <c r="U165" s="48">
        <f t="shared" si="101"/>
        <v>16984.5</v>
      </c>
      <c r="V165" s="48">
        <f t="shared" si="102"/>
        <v>300000</v>
      </c>
      <c r="W165" s="48">
        <f t="shared" si="103"/>
        <v>1100000</v>
      </c>
      <c r="X165" s="48">
        <f t="shared" si="104"/>
        <v>475200</v>
      </c>
      <c r="Y165" s="48">
        <f t="shared" si="105"/>
        <v>678535</v>
      </c>
      <c r="Z165" s="48">
        <f t="shared" si="106"/>
        <v>2553735</v>
      </c>
      <c r="AA165" s="37">
        <f t="shared" si="107"/>
        <v>0.31200000000000006</v>
      </c>
      <c r="AB165" s="49">
        <f t="shared" si="108"/>
        <v>0.39075396825396819</v>
      </c>
      <c r="AC165" s="49">
        <f t="shared" si="109"/>
        <v>0.78150793650793637</v>
      </c>
      <c r="AD165" s="50">
        <f t="shared" si="110"/>
        <v>15.748319999999998</v>
      </c>
      <c r="AE165" s="8">
        <f t="shared" si="111"/>
        <v>0</v>
      </c>
      <c r="AF165" s="51">
        <f t="shared" si="112"/>
        <v>2553735</v>
      </c>
      <c r="AG165" s="8">
        <f t="shared" si="114"/>
        <v>9.9999999999999997E+98</v>
      </c>
      <c r="AH165" s="8" t="str">
        <f t="shared" si="113"/>
        <v>height duplicate</v>
      </c>
      <c r="AI165" s="52">
        <f t="shared" si="115"/>
        <v>935000002553734.88</v>
      </c>
    </row>
    <row r="166" spans="1:35" ht="15" customHeight="1" x14ac:dyDescent="0.25">
      <c r="A166" s="8">
        <v>159</v>
      </c>
      <c r="B166" s="8">
        <f t="shared" si="116"/>
        <v>6</v>
      </c>
      <c r="C166" s="8">
        <v>19</v>
      </c>
      <c r="D166" s="49">
        <f t="shared" si="84"/>
        <v>0.6</v>
      </c>
      <c r="E166" s="50">
        <f t="shared" si="85"/>
        <v>47.069642857142867</v>
      </c>
      <c r="F166" s="37">
        <f t="shared" si="86"/>
        <v>0.78449404761904773</v>
      </c>
      <c r="G166" s="8">
        <f t="shared" si="87"/>
        <v>2</v>
      </c>
      <c r="H166" s="8">
        <f t="shared" si="88"/>
        <v>24</v>
      </c>
      <c r="I166" s="50">
        <f t="shared" si="89"/>
        <v>24</v>
      </c>
      <c r="J166" s="50">
        <f t="shared" si="90"/>
        <v>16.900000000000002</v>
      </c>
      <c r="K166" s="50">
        <f t="shared" si="91"/>
        <v>40.85</v>
      </c>
      <c r="L166" s="50">
        <f t="shared" si="92"/>
        <v>6</v>
      </c>
      <c r="M166" s="37">
        <f t="shared" si="93"/>
        <v>5.8079822507332253</v>
      </c>
      <c r="N166" s="37">
        <f t="shared" si="94"/>
        <v>6.5142857142857142</v>
      </c>
      <c r="O166" s="50">
        <f t="shared" si="95"/>
        <v>82.644535930037875</v>
      </c>
      <c r="P166" s="50">
        <f t="shared" si="96"/>
        <v>21</v>
      </c>
      <c r="Q166" s="8">
        <f t="shared" si="97"/>
        <v>23</v>
      </c>
      <c r="R166" s="48">
        <f t="shared" si="98"/>
        <v>4788</v>
      </c>
      <c r="S166" s="48">
        <f t="shared" si="99"/>
        <v>4069.7999999999997</v>
      </c>
      <c r="T166" s="48">
        <f t="shared" si="100"/>
        <v>405.6</v>
      </c>
      <c r="U166" s="48">
        <f t="shared" si="101"/>
        <v>17177.16</v>
      </c>
      <c r="V166" s="48">
        <f t="shared" si="102"/>
        <v>300000</v>
      </c>
      <c r="W166" s="48">
        <f t="shared" si="103"/>
        <v>1150000</v>
      </c>
      <c r="X166" s="48">
        <f t="shared" si="104"/>
        <v>478800</v>
      </c>
      <c r="Y166" s="48">
        <f t="shared" si="105"/>
        <v>677554.8</v>
      </c>
      <c r="Z166" s="48">
        <f t="shared" si="106"/>
        <v>2606354.7999999998</v>
      </c>
      <c r="AA166" s="37">
        <f t="shared" si="107"/>
        <v>0.32500000000000001</v>
      </c>
      <c r="AB166" s="49">
        <f t="shared" si="108"/>
        <v>0.39224702380952386</v>
      </c>
      <c r="AC166" s="49">
        <f t="shared" si="109"/>
        <v>0.78449404761904773</v>
      </c>
      <c r="AD166" s="50">
        <f t="shared" si="110"/>
        <v>16.029539999999997</v>
      </c>
      <c r="AE166" s="8">
        <f t="shared" si="111"/>
        <v>0</v>
      </c>
      <c r="AF166" s="51">
        <f t="shared" si="112"/>
        <v>2606354.7999999998</v>
      </c>
      <c r="AG166" s="8">
        <f t="shared" si="114"/>
        <v>9.9999999999999997E+98</v>
      </c>
      <c r="AH166" s="8" t="str">
        <f t="shared" si="113"/>
        <v>height duplicate</v>
      </c>
      <c r="AI166" s="52">
        <f t="shared" si="115"/>
        <v>1042500002606354.9</v>
      </c>
    </row>
    <row r="167" spans="1:35" ht="15" customHeight="1" x14ac:dyDescent="0.25">
      <c r="A167" s="8">
        <v>160</v>
      </c>
      <c r="B167" s="8">
        <f t="shared" si="116"/>
        <v>6</v>
      </c>
      <c r="C167" s="8">
        <v>20</v>
      </c>
      <c r="D167" s="49">
        <f t="shared" si="84"/>
        <v>0.59999999999999987</v>
      </c>
      <c r="E167" s="50">
        <f t="shared" si="85"/>
        <v>47.248809523809541</v>
      </c>
      <c r="F167" s="37">
        <f t="shared" si="86"/>
        <v>0.78748015873015886</v>
      </c>
      <c r="G167" s="8">
        <f t="shared" si="87"/>
        <v>2</v>
      </c>
      <c r="H167" s="8">
        <f t="shared" si="88"/>
        <v>23</v>
      </c>
      <c r="I167" s="50">
        <f t="shared" si="89"/>
        <v>23</v>
      </c>
      <c r="J167" s="50">
        <f t="shared" si="90"/>
        <v>16.900000000000002</v>
      </c>
      <c r="K167" s="50">
        <f t="shared" si="91"/>
        <v>43</v>
      </c>
      <c r="L167" s="50">
        <f t="shared" si="92"/>
        <v>5.75</v>
      </c>
      <c r="M167" s="37">
        <f t="shared" si="93"/>
        <v>5.7159380007651057</v>
      </c>
      <c r="N167" s="37">
        <f t="shared" si="94"/>
        <v>6.5142857142857142</v>
      </c>
      <c r="O167" s="50">
        <f t="shared" si="95"/>
        <v>82.460447430101638</v>
      </c>
      <c r="P167" s="50">
        <f t="shared" si="96"/>
        <v>22</v>
      </c>
      <c r="Q167" s="8">
        <f t="shared" si="97"/>
        <v>24</v>
      </c>
      <c r="R167" s="48">
        <f t="shared" si="98"/>
        <v>4800</v>
      </c>
      <c r="S167" s="48">
        <f t="shared" si="99"/>
        <v>4080</v>
      </c>
      <c r="T167" s="48">
        <f t="shared" si="100"/>
        <v>388.70000000000005</v>
      </c>
      <c r="U167" s="48">
        <f t="shared" si="101"/>
        <v>17297.150000000001</v>
      </c>
      <c r="V167" s="48">
        <f t="shared" si="102"/>
        <v>300000</v>
      </c>
      <c r="W167" s="48">
        <f t="shared" si="103"/>
        <v>1200000</v>
      </c>
      <c r="X167" s="48">
        <f t="shared" si="104"/>
        <v>480000</v>
      </c>
      <c r="Y167" s="48">
        <f t="shared" si="105"/>
        <v>674394.50000000012</v>
      </c>
      <c r="Z167" s="48">
        <f t="shared" si="106"/>
        <v>2654394.5</v>
      </c>
      <c r="AA167" s="37">
        <f t="shared" si="107"/>
        <v>0.33913043478260874</v>
      </c>
      <c r="AB167" s="49">
        <f t="shared" si="108"/>
        <v>0.39374007936507943</v>
      </c>
      <c r="AC167" s="49">
        <f t="shared" si="109"/>
        <v>0.78748015873015886</v>
      </c>
      <c r="AD167" s="50">
        <f t="shared" si="110"/>
        <v>16.310760000000005</v>
      </c>
      <c r="AE167" s="8">
        <f t="shared" si="111"/>
        <v>0</v>
      </c>
      <c r="AF167" s="51">
        <f t="shared" si="112"/>
        <v>2654394.5</v>
      </c>
      <c r="AG167" s="8">
        <f t="shared" si="114"/>
        <v>9.9999999999999997E+98</v>
      </c>
      <c r="AH167" s="8" t="str">
        <f t="shared" si="113"/>
        <v>height duplicate</v>
      </c>
      <c r="AI167" s="52">
        <f t="shared" si="115"/>
        <v>1150000002654394.5</v>
      </c>
    </row>
    <row r="168" spans="1:35" ht="15" customHeight="1" x14ac:dyDescent="0.25">
      <c r="A168" s="8">
        <v>161</v>
      </c>
      <c r="B168" s="8">
        <f t="shared" ref="B168:B187" si="117">$J$3</f>
        <v>6</v>
      </c>
      <c r="C168" s="8">
        <v>1</v>
      </c>
      <c r="D168" s="49">
        <f t="shared" si="84"/>
        <v>0</v>
      </c>
      <c r="E168" s="50">
        <f t="shared" si="85"/>
        <v>0</v>
      </c>
      <c r="F168" s="37">
        <f t="shared" si="86"/>
        <v>0</v>
      </c>
      <c r="G168" s="8">
        <f t="shared" si="87"/>
        <v>0</v>
      </c>
      <c r="H168" s="8">
        <f t="shared" si="88"/>
        <v>393</v>
      </c>
      <c r="I168" s="50">
        <f t="shared" si="89"/>
        <v>393</v>
      </c>
      <c r="J168" s="50">
        <f t="shared" si="90"/>
        <v>16.900000000000002</v>
      </c>
      <c r="K168" s="50">
        <f t="shared" si="91"/>
        <v>2.15</v>
      </c>
      <c r="L168" s="50">
        <f t="shared" si="92"/>
        <v>393</v>
      </c>
      <c r="M168" s="37">
        <f t="shared" si="93"/>
        <v>144.0847456395968</v>
      </c>
      <c r="N168" s="37">
        <f t="shared" si="94"/>
        <v>6.5142857142857142</v>
      </c>
      <c r="O168" s="50">
        <f t="shared" si="95"/>
        <v>359.19806270776502</v>
      </c>
      <c r="P168" s="50">
        <f t="shared" si="96"/>
        <v>14</v>
      </c>
      <c r="Q168" s="8">
        <f t="shared" si="97"/>
        <v>16</v>
      </c>
      <c r="R168" s="48">
        <f t="shared" si="98"/>
        <v>4716</v>
      </c>
      <c r="S168" s="48">
        <f t="shared" si="99"/>
        <v>4008.6</v>
      </c>
      <c r="T168" s="48">
        <f t="shared" si="100"/>
        <v>6641.7000000000007</v>
      </c>
      <c r="U168" s="48">
        <f t="shared" si="101"/>
        <v>24242.205000000002</v>
      </c>
      <c r="V168" s="48">
        <f t="shared" si="102"/>
        <v>0</v>
      </c>
      <c r="W168" s="48">
        <f t="shared" si="103"/>
        <v>800000</v>
      </c>
      <c r="X168" s="48">
        <f t="shared" si="104"/>
        <v>471600</v>
      </c>
      <c r="Y168" s="48">
        <f t="shared" si="105"/>
        <v>3383946.1500000004</v>
      </c>
      <c r="Z168" s="48">
        <f t="shared" si="106"/>
        <v>4655546.1500000004</v>
      </c>
      <c r="AA168" s="37">
        <f t="shared" si="107"/>
        <v>1.984732824427481E-2</v>
      </c>
      <c r="AB168" s="49">
        <f t="shared" si="108"/>
        <v>0</v>
      </c>
      <c r="AC168" s="49" t="str">
        <f t="shared" si="109"/>
        <v>n/a</v>
      </c>
      <c r="AD168" s="50">
        <f t="shared" si="110"/>
        <v>0</v>
      </c>
      <c r="AE168" s="8">
        <f t="shared" si="111"/>
        <v>0</v>
      </c>
      <c r="AF168" s="51">
        <f t="shared" si="112"/>
        <v>4655546.1500000004</v>
      </c>
      <c r="AG168" s="8">
        <f t="shared" si="114"/>
        <v>9.9999999999999997E+98</v>
      </c>
      <c r="AH168" s="8" t="str">
        <f t="shared" si="113"/>
        <v>footprint lanes&gt;300 duplicate</v>
      </c>
      <c r="AI168" s="52">
        <f t="shared" si="115"/>
        <v>5860000004655545</v>
      </c>
    </row>
    <row r="169" spans="1:35" ht="15" customHeight="1" x14ac:dyDescent="0.25">
      <c r="A169" s="8">
        <v>162</v>
      </c>
      <c r="B169" s="8">
        <f t="shared" si="117"/>
        <v>6</v>
      </c>
      <c r="C169" s="8">
        <v>2</v>
      </c>
      <c r="D169" s="49">
        <f t="shared" si="84"/>
        <v>0.5</v>
      </c>
      <c r="E169" s="50">
        <f t="shared" si="85"/>
        <v>41.157142857142851</v>
      </c>
      <c r="F169" s="37">
        <f t="shared" si="86"/>
        <v>0.57162698412698409</v>
      </c>
      <c r="G169" s="8">
        <f t="shared" si="87"/>
        <v>2</v>
      </c>
      <c r="H169" s="8">
        <f t="shared" si="88"/>
        <v>200</v>
      </c>
      <c r="I169" s="50">
        <f t="shared" si="89"/>
        <v>200</v>
      </c>
      <c r="J169" s="50">
        <f t="shared" si="90"/>
        <v>16.900000000000002</v>
      </c>
      <c r="K169" s="50">
        <f t="shared" si="91"/>
        <v>4.3</v>
      </c>
      <c r="L169" s="50">
        <f t="shared" si="92"/>
        <v>50</v>
      </c>
      <c r="M169" s="37">
        <f t="shared" si="93"/>
        <v>21.57810072723084</v>
      </c>
      <c r="N169" s="37">
        <f t="shared" si="94"/>
        <v>6.5142857142857142</v>
      </c>
      <c r="O169" s="50">
        <f t="shared" si="95"/>
        <v>114.18477288303311</v>
      </c>
      <c r="P169" s="50">
        <f t="shared" si="96"/>
        <v>6</v>
      </c>
      <c r="Q169" s="8">
        <f t="shared" si="97"/>
        <v>8</v>
      </c>
      <c r="R169" s="48">
        <f t="shared" si="98"/>
        <v>4728</v>
      </c>
      <c r="S169" s="48">
        <f t="shared" si="99"/>
        <v>4018.7999999999997</v>
      </c>
      <c r="T169" s="48">
        <f t="shared" si="100"/>
        <v>3380.0000000000005</v>
      </c>
      <c r="U169" s="48">
        <f t="shared" si="101"/>
        <v>19604.000000000004</v>
      </c>
      <c r="V169" s="48">
        <f t="shared" si="102"/>
        <v>300000</v>
      </c>
      <c r="W169" s="48">
        <f t="shared" si="103"/>
        <v>400000</v>
      </c>
      <c r="X169" s="48">
        <f t="shared" si="104"/>
        <v>472800</v>
      </c>
      <c r="Y169" s="48">
        <f t="shared" si="105"/>
        <v>1940120.0000000005</v>
      </c>
      <c r="Z169" s="48">
        <f t="shared" si="106"/>
        <v>3112920.0000000005</v>
      </c>
      <c r="AA169" s="37">
        <f t="shared" si="107"/>
        <v>3.9000000000000007E-2</v>
      </c>
      <c r="AB169" s="49">
        <f t="shared" si="108"/>
        <v>0.28581349206349205</v>
      </c>
      <c r="AC169" s="49">
        <f t="shared" si="109"/>
        <v>0.57162698412698409</v>
      </c>
      <c r="AD169" s="50">
        <f t="shared" si="110"/>
        <v>5.6243999999999996</v>
      </c>
      <c r="AE169" s="8">
        <f t="shared" si="111"/>
        <v>0</v>
      </c>
      <c r="AF169" s="51">
        <f t="shared" si="112"/>
        <v>3112920.0000000005</v>
      </c>
      <c r="AG169" s="8">
        <f t="shared" si="114"/>
        <v>9.9999999999999997E+98</v>
      </c>
      <c r="AH169" s="8" t="str">
        <f t="shared" si="113"/>
        <v>footprint duplicate</v>
      </c>
      <c r="AI169" s="52">
        <f t="shared" si="115"/>
        <v>2333333336446253.5</v>
      </c>
    </row>
    <row r="170" spans="1:35" ht="15" customHeight="1" x14ac:dyDescent="0.25">
      <c r="A170" s="8">
        <v>163</v>
      </c>
      <c r="B170" s="8">
        <f t="shared" si="117"/>
        <v>6</v>
      </c>
      <c r="C170" s="8">
        <v>3</v>
      </c>
      <c r="D170" s="49">
        <f t="shared" si="84"/>
        <v>0.52941176470588236</v>
      </c>
      <c r="E170" s="50">
        <f t="shared" si="85"/>
        <v>41.634920634920626</v>
      </c>
      <c r="F170" s="37">
        <f t="shared" si="86"/>
        <v>0.61227824463118574</v>
      </c>
      <c r="G170" s="8">
        <f t="shared" si="87"/>
        <v>2</v>
      </c>
      <c r="H170" s="8">
        <f t="shared" si="88"/>
        <v>134</v>
      </c>
      <c r="I170" s="50">
        <f t="shared" si="89"/>
        <v>134</v>
      </c>
      <c r="J170" s="50">
        <f t="shared" si="90"/>
        <v>16.900000000000002</v>
      </c>
      <c r="K170" s="50">
        <f t="shared" si="91"/>
        <v>6.4499999999999993</v>
      </c>
      <c r="L170" s="50">
        <f t="shared" si="92"/>
        <v>33.5</v>
      </c>
      <c r="M170" s="37">
        <f t="shared" si="93"/>
        <v>15.681493622732603</v>
      </c>
      <c r="N170" s="37">
        <f t="shared" si="94"/>
        <v>6.5142857142857142</v>
      </c>
      <c r="O170" s="50">
        <f t="shared" si="95"/>
        <v>102.39155867403663</v>
      </c>
      <c r="P170" s="50">
        <f t="shared" si="96"/>
        <v>5</v>
      </c>
      <c r="Q170" s="8">
        <f t="shared" si="97"/>
        <v>7</v>
      </c>
      <c r="R170" s="48">
        <f t="shared" si="98"/>
        <v>4716</v>
      </c>
      <c r="S170" s="48">
        <f t="shared" si="99"/>
        <v>4008.6</v>
      </c>
      <c r="T170" s="48">
        <f t="shared" si="100"/>
        <v>2264.6000000000004</v>
      </c>
      <c r="U170" s="48">
        <f t="shared" si="101"/>
        <v>18003.57</v>
      </c>
      <c r="V170" s="48">
        <f t="shared" si="102"/>
        <v>300000</v>
      </c>
      <c r="W170" s="48">
        <f t="shared" si="103"/>
        <v>350000</v>
      </c>
      <c r="X170" s="48">
        <f t="shared" si="104"/>
        <v>471600</v>
      </c>
      <c r="Y170" s="48">
        <f t="shared" si="105"/>
        <v>1445947.1</v>
      </c>
      <c r="Z170" s="48">
        <f t="shared" si="106"/>
        <v>2567547.1</v>
      </c>
      <c r="AA170" s="37">
        <f t="shared" si="107"/>
        <v>5.8208955223880601E-2</v>
      </c>
      <c r="AB170" s="49">
        <f t="shared" si="108"/>
        <v>0.30613912231559287</v>
      </c>
      <c r="AC170" s="49">
        <f t="shared" si="109"/>
        <v>0.61227824463118574</v>
      </c>
      <c r="AD170" s="50">
        <f t="shared" si="110"/>
        <v>6.6169411764705863</v>
      </c>
      <c r="AE170" s="8">
        <f t="shared" si="111"/>
        <v>0</v>
      </c>
      <c r="AF170" s="51">
        <f t="shared" si="112"/>
        <v>2567547.1</v>
      </c>
      <c r="AG170" s="8">
        <f t="shared" si="114"/>
        <v>9.9999999999999997E+98</v>
      </c>
      <c r="AH170" s="8" t="str">
        <f t="shared" si="113"/>
        <v>footprint duplicate</v>
      </c>
      <c r="AI170" s="52">
        <f t="shared" si="115"/>
        <v>1233333335900880.8</v>
      </c>
    </row>
    <row r="171" spans="1:35" ht="15" customHeight="1" x14ac:dyDescent="0.25">
      <c r="A171" s="8">
        <v>164</v>
      </c>
      <c r="B171" s="8">
        <f t="shared" si="117"/>
        <v>6</v>
      </c>
      <c r="C171" s="8">
        <v>4</v>
      </c>
      <c r="D171" s="49">
        <f t="shared" si="84"/>
        <v>0.55555555555555558</v>
      </c>
      <c r="E171" s="50">
        <f t="shared" si="85"/>
        <v>42.447142857142843</v>
      </c>
      <c r="F171" s="37">
        <f t="shared" si="86"/>
        <v>0.65504850088183397</v>
      </c>
      <c r="G171" s="8">
        <f t="shared" si="87"/>
        <v>2</v>
      </c>
      <c r="H171" s="8">
        <f t="shared" si="88"/>
        <v>102</v>
      </c>
      <c r="I171" s="50">
        <f t="shared" si="89"/>
        <v>102</v>
      </c>
      <c r="J171" s="50">
        <f t="shared" si="90"/>
        <v>16.900000000000002</v>
      </c>
      <c r="K171" s="50">
        <f t="shared" si="91"/>
        <v>8.6</v>
      </c>
      <c r="L171" s="50">
        <f t="shared" si="92"/>
        <v>25.5</v>
      </c>
      <c r="M171" s="37">
        <f t="shared" si="93"/>
        <v>12.820785739668324</v>
      </c>
      <c r="N171" s="37">
        <f t="shared" si="94"/>
        <v>6.5142857142857142</v>
      </c>
      <c r="O171" s="50">
        <f t="shared" si="95"/>
        <v>96.670142907908073</v>
      </c>
      <c r="P171" s="50">
        <f t="shared" si="96"/>
        <v>6</v>
      </c>
      <c r="Q171" s="8">
        <f t="shared" si="97"/>
        <v>8</v>
      </c>
      <c r="R171" s="48">
        <f t="shared" si="98"/>
        <v>4752</v>
      </c>
      <c r="S171" s="48">
        <f t="shared" si="99"/>
        <v>4039.2</v>
      </c>
      <c r="T171" s="48">
        <f t="shared" si="100"/>
        <v>1723.8000000000002</v>
      </c>
      <c r="U171" s="48">
        <f t="shared" si="101"/>
        <v>17410.38</v>
      </c>
      <c r="V171" s="48">
        <f t="shared" si="102"/>
        <v>300000</v>
      </c>
      <c r="W171" s="48">
        <f t="shared" si="103"/>
        <v>400000</v>
      </c>
      <c r="X171" s="48">
        <f t="shared" si="104"/>
        <v>475200</v>
      </c>
      <c r="Y171" s="48">
        <f t="shared" si="105"/>
        <v>1211831.4000000001</v>
      </c>
      <c r="Z171" s="48">
        <f t="shared" si="106"/>
        <v>2387031.4000000004</v>
      </c>
      <c r="AA171" s="37">
        <f t="shared" si="107"/>
        <v>7.6470588235294124E-2</v>
      </c>
      <c r="AB171" s="49">
        <f t="shared" si="108"/>
        <v>0.32752425044091699</v>
      </c>
      <c r="AC171" s="49">
        <f t="shared" si="109"/>
        <v>0.65504850088183397</v>
      </c>
      <c r="AD171" s="50">
        <f t="shared" si="110"/>
        <v>8.124133333333333</v>
      </c>
      <c r="AE171" s="8">
        <f t="shared" si="111"/>
        <v>0</v>
      </c>
      <c r="AF171" s="51">
        <f t="shared" si="112"/>
        <v>2387031.4000000004</v>
      </c>
      <c r="AG171" s="8">
        <f t="shared" si="114"/>
        <v>9.9999999999999997E+98</v>
      </c>
      <c r="AH171" s="8" t="str">
        <f t="shared" si="113"/>
        <v>footprint duplicate</v>
      </c>
      <c r="AI171" s="52">
        <f t="shared" si="115"/>
        <v>700000002387031.5</v>
      </c>
    </row>
    <row r="172" spans="1:35" ht="15" customHeight="1" x14ac:dyDescent="0.25">
      <c r="A172" s="8">
        <v>165</v>
      </c>
      <c r="B172" s="8">
        <f t="shared" si="117"/>
        <v>6</v>
      </c>
      <c r="C172" s="8">
        <v>5</v>
      </c>
      <c r="D172" s="49">
        <f t="shared" si="84"/>
        <v>0.57894736842105265</v>
      </c>
      <c r="E172" s="50">
        <f t="shared" si="85"/>
        <v>43.502597402597381</v>
      </c>
      <c r="F172" s="37">
        <f t="shared" si="86"/>
        <v>0.69960317460317434</v>
      </c>
      <c r="G172" s="8">
        <f t="shared" si="87"/>
        <v>2</v>
      </c>
      <c r="H172" s="8">
        <f t="shared" si="88"/>
        <v>82</v>
      </c>
      <c r="I172" s="50">
        <f t="shared" si="89"/>
        <v>82</v>
      </c>
      <c r="J172" s="50">
        <f t="shared" si="90"/>
        <v>16.900000000000002</v>
      </c>
      <c r="K172" s="50">
        <f t="shared" si="91"/>
        <v>10.75</v>
      </c>
      <c r="L172" s="50">
        <f t="shared" si="92"/>
        <v>20.5</v>
      </c>
      <c r="M172" s="37">
        <f t="shared" si="93"/>
        <v>11.03143034516234</v>
      </c>
      <c r="N172" s="37">
        <f t="shared" si="94"/>
        <v>6.5142857142857142</v>
      </c>
      <c r="O172" s="50">
        <f t="shared" si="95"/>
        <v>93.091432118896108</v>
      </c>
      <c r="P172" s="50">
        <f t="shared" si="96"/>
        <v>7</v>
      </c>
      <c r="Q172" s="8">
        <f t="shared" si="97"/>
        <v>9</v>
      </c>
      <c r="R172" s="48">
        <f t="shared" si="98"/>
        <v>4740</v>
      </c>
      <c r="S172" s="48">
        <f t="shared" si="99"/>
        <v>4029</v>
      </c>
      <c r="T172" s="48">
        <f t="shared" si="100"/>
        <v>1385.8000000000002</v>
      </c>
      <c r="U172" s="48">
        <f t="shared" si="101"/>
        <v>16976.050000000003</v>
      </c>
      <c r="V172" s="48">
        <f t="shared" si="102"/>
        <v>300000</v>
      </c>
      <c r="W172" s="48">
        <f t="shared" si="103"/>
        <v>450000</v>
      </c>
      <c r="X172" s="48">
        <f t="shared" si="104"/>
        <v>474000</v>
      </c>
      <c r="Y172" s="48">
        <f t="shared" si="105"/>
        <v>1063601.5000000002</v>
      </c>
      <c r="Z172" s="48">
        <f t="shared" si="106"/>
        <v>2287601.5</v>
      </c>
      <c r="AA172" s="37">
        <f t="shared" si="107"/>
        <v>9.512195121951221E-2</v>
      </c>
      <c r="AB172" s="49">
        <f t="shared" si="108"/>
        <v>0.34980158730158717</v>
      </c>
      <c r="AC172" s="49">
        <f t="shared" si="109"/>
        <v>0.69960317460317434</v>
      </c>
      <c r="AD172" s="50">
        <f t="shared" si="110"/>
        <v>10.064715789473683</v>
      </c>
      <c r="AE172" s="8">
        <f t="shared" si="111"/>
        <v>0</v>
      </c>
      <c r="AF172" s="51">
        <f t="shared" si="112"/>
        <v>2287601.5</v>
      </c>
      <c r="AG172" s="8">
        <f t="shared" si="114"/>
        <v>9.9999999999999997E+98</v>
      </c>
      <c r="AH172" s="8" t="str">
        <f t="shared" si="113"/>
        <v>footprint duplicate</v>
      </c>
      <c r="AI172" s="52">
        <f t="shared" si="115"/>
        <v>366666668954268.25</v>
      </c>
    </row>
    <row r="173" spans="1:35" ht="15" customHeight="1" x14ac:dyDescent="0.25">
      <c r="A173" s="8">
        <v>166</v>
      </c>
      <c r="B173" s="8">
        <f t="shared" si="117"/>
        <v>6</v>
      </c>
      <c r="C173" s="8">
        <v>6</v>
      </c>
      <c r="D173" s="49">
        <f t="shared" si="84"/>
        <v>0.60000000000000009</v>
      </c>
      <c r="E173" s="50">
        <f t="shared" si="85"/>
        <v>44.740476190476173</v>
      </c>
      <c r="F173" s="37">
        <f t="shared" si="86"/>
        <v>0.74567460317460299</v>
      </c>
      <c r="G173" s="8">
        <f t="shared" si="87"/>
        <v>2</v>
      </c>
      <c r="H173" s="8">
        <f t="shared" si="88"/>
        <v>69</v>
      </c>
      <c r="I173" s="50">
        <f t="shared" si="89"/>
        <v>69</v>
      </c>
      <c r="J173" s="50">
        <f t="shared" si="90"/>
        <v>16.900000000000002</v>
      </c>
      <c r="K173" s="50">
        <f t="shared" si="91"/>
        <v>12.899999999999999</v>
      </c>
      <c r="L173" s="50">
        <f t="shared" si="92"/>
        <v>17.25</v>
      </c>
      <c r="M173" s="37">
        <f t="shared" si="93"/>
        <v>9.8672174288264642</v>
      </c>
      <c r="N173" s="37">
        <f t="shared" si="94"/>
        <v>6.5142857142857142</v>
      </c>
      <c r="O173" s="50">
        <f t="shared" si="95"/>
        <v>90.763006286224353</v>
      </c>
      <c r="P173" s="50">
        <f t="shared" si="96"/>
        <v>8</v>
      </c>
      <c r="Q173" s="8">
        <f t="shared" si="97"/>
        <v>10</v>
      </c>
      <c r="R173" s="48">
        <f t="shared" si="98"/>
        <v>4752</v>
      </c>
      <c r="S173" s="48">
        <f t="shared" si="99"/>
        <v>4039.2</v>
      </c>
      <c r="T173" s="48">
        <f t="shared" si="100"/>
        <v>1166.1000000000001</v>
      </c>
      <c r="U173" s="48">
        <f t="shared" si="101"/>
        <v>16791.84</v>
      </c>
      <c r="V173" s="48">
        <f t="shared" si="102"/>
        <v>300000</v>
      </c>
      <c r="W173" s="48">
        <f t="shared" si="103"/>
        <v>500000</v>
      </c>
      <c r="X173" s="48">
        <f t="shared" si="104"/>
        <v>475200</v>
      </c>
      <c r="Y173" s="48">
        <f t="shared" si="105"/>
        <v>970195.20000000007</v>
      </c>
      <c r="Z173" s="48">
        <f t="shared" si="106"/>
        <v>2245395.2000000002</v>
      </c>
      <c r="AA173" s="37">
        <f t="shared" si="107"/>
        <v>0.11304347826086958</v>
      </c>
      <c r="AB173" s="49">
        <f t="shared" si="108"/>
        <v>0.3728373015873015</v>
      </c>
      <c r="AC173" s="49">
        <f t="shared" si="109"/>
        <v>0.74567460317460299</v>
      </c>
      <c r="AD173" s="50">
        <f t="shared" si="110"/>
        <v>12.373679999999997</v>
      </c>
      <c r="AE173" s="8">
        <f t="shared" si="111"/>
        <v>0</v>
      </c>
      <c r="AF173" s="51">
        <f t="shared" si="112"/>
        <v>2245395.2000000002</v>
      </c>
      <c r="AG173" s="8">
        <f t="shared" si="114"/>
        <v>9.9999999999999997E+98</v>
      </c>
      <c r="AH173" s="8" t="str">
        <f t="shared" si="113"/>
        <v>footprint duplicate</v>
      </c>
      <c r="AI173" s="52">
        <f t="shared" si="115"/>
        <v>150000002245395.16</v>
      </c>
    </row>
    <row r="174" spans="1:35" ht="15" customHeight="1" x14ac:dyDescent="0.25">
      <c r="A174" s="8">
        <v>167</v>
      </c>
      <c r="B174" s="8">
        <f t="shared" si="117"/>
        <v>6</v>
      </c>
      <c r="C174" s="8">
        <v>7</v>
      </c>
      <c r="D174" s="49">
        <f t="shared" si="84"/>
        <v>0.60000000000000009</v>
      </c>
      <c r="E174" s="50">
        <f t="shared" si="85"/>
        <v>44.919642857142833</v>
      </c>
      <c r="F174" s="37">
        <f t="shared" si="86"/>
        <v>0.7486607142857139</v>
      </c>
      <c r="G174" s="8">
        <f t="shared" si="87"/>
        <v>2</v>
      </c>
      <c r="H174" s="8">
        <f t="shared" si="88"/>
        <v>60</v>
      </c>
      <c r="I174" s="50">
        <f t="shared" si="89"/>
        <v>60</v>
      </c>
      <c r="J174" s="50">
        <f t="shared" si="90"/>
        <v>16.900000000000002</v>
      </c>
      <c r="K174" s="50">
        <f t="shared" si="91"/>
        <v>15.049999999999999</v>
      </c>
      <c r="L174" s="50">
        <f t="shared" si="92"/>
        <v>15</v>
      </c>
      <c r="M174" s="37">
        <f t="shared" si="93"/>
        <v>9.0603357574361478</v>
      </c>
      <c r="N174" s="37">
        <f t="shared" si="94"/>
        <v>6.5142857142857142</v>
      </c>
      <c r="O174" s="50">
        <f t="shared" si="95"/>
        <v>89.149242943443724</v>
      </c>
      <c r="P174" s="50">
        <f t="shared" si="96"/>
        <v>9</v>
      </c>
      <c r="Q174" s="8">
        <f t="shared" si="97"/>
        <v>11</v>
      </c>
      <c r="R174" s="48">
        <f t="shared" si="98"/>
        <v>4788</v>
      </c>
      <c r="S174" s="48">
        <f t="shared" si="99"/>
        <v>4069.7999999999997</v>
      </c>
      <c r="T174" s="48">
        <f t="shared" si="100"/>
        <v>1014.0000000000001</v>
      </c>
      <c r="U174" s="48">
        <f t="shared" si="101"/>
        <v>16781.7</v>
      </c>
      <c r="V174" s="48">
        <f t="shared" si="102"/>
        <v>300000</v>
      </c>
      <c r="W174" s="48">
        <f t="shared" si="103"/>
        <v>550000</v>
      </c>
      <c r="X174" s="48">
        <f t="shared" si="104"/>
        <v>478800</v>
      </c>
      <c r="Y174" s="48">
        <f t="shared" si="105"/>
        <v>909051</v>
      </c>
      <c r="Z174" s="48">
        <f t="shared" si="106"/>
        <v>2237851</v>
      </c>
      <c r="AA174" s="37">
        <f t="shared" si="107"/>
        <v>0.13</v>
      </c>
      <c r="AB174" s="49">
        <f t="shared" si="108"/>
        <v>0.37433035714285695</v>
      </c>
      <c r="AC174" s="49">
        <f t="shared" si="109"/>
        <v>0.7486607142857139</v>
      </c>
      <c r="AD174" s="50">
        <f t="shared" si="110"/>
        <v>12.654899999999998</v>
      </c>
      <c r="AE174" s="8">
        <f t="shared" si="111"/>
        <v>0</v>
      </c>
      <c r="AF174" s="51">
        <f t="shared" si="112"/>
        <v>2237851</v>
      </c>
      <c r="AG174" s="8">
        <f t="shared" si="114"/>
        <v>9.9999999999999997E+98</v>
      </c>
      <c r="AH174" s="8" t="str">
        <f t="shared" si="113"/>
        <v>duplicate</v>
      </c>
      <c r="AI174" s="52">
        <f t="shared" si="115"/>
        <v>2237851.0373721118</v>
      </c>
    </row>
    <row r="175" spans="1:35" ht="15" customHeight="1" x14ac:dyDescent="0.25">
      <c r="A175" s="8">
        <v>168</v>
      </c>
      <c r="B175" s="8">
        <f t="shared" si="117"/>
        <v>6</v>
      </c>
      <c r="C175" s="8">
        <v>8</v>
      </c>
      <c r="D175" s="49">
        <f t="shared" si="84"/>
        <v>0.60000000000000009</v>
      </c>
      <c r="E175" s="50">
        <f t="shared" si="85"/>
        <v>45.0988095238095</v>
      </c>
      <c r="F175" s="37">
        <f t="shared" si="86"/>
        <v>0.75164682539682504</v>
      </c>
      <c r="G175" s="8">
        <f t="shared" si="87"/>
        <v>2</v>
      </c>
      <c r="H175" s="8">
        <f t="shared" si="88"/>
        <v>53</v>
      </c>
      <c r="I175" s="50">
        <f t="shared" si="89"/>
        <v>53</v>
      </c>
      <c r="J175" s="50">
        <f t="shared" si="90"/>
        <v>16.900000000000002</v>
      </c>
      <c r="K175" s="50">
        <f t="shared" si="91"/>
        <v>17.2</v>
      </c>
      <c r="L175" s="50">
        <f t="shared" si="92"/>
        <v>13.25</v>
      </c>
      <c r="M175" s="37">
        <f t="shared" si="93"/>
        <v>8.4319838763428088</v>
      </c>
      <c r="N175" s="37">
        <f t="shared" si="94"/>
        <v>6.5142857142857142</v>
      </c>
      <c r="O175" s="50">
        <f t="shared" si="95"/>
        <v>87.89253918125705</v>
      </c>
      <c r="P175" s="50">
        <f t="shared" si="96"/>
        <v>10</v>
      </c>
      <c r="Q175" s="8">
        <f t="shared" si="97"/>
        <v>12</v>
      </c>
      <c r="R175" s="48">
        <f t="shared" si="98"/>
        <v>4800</v>
      </c>
      <c r="S175" s="48">
        <f t="shared" si="99"/>
        <v>4080</v>
      </c>
      <c r="T175" s="48">
        <f t="shared" si="100"/>
        <v>895.70000000000016</v>
      </c>
      <c r="U175" s="48">
        <f t="shared" si="101"/>
        <v>16749.590000000004</v>
      </c>
      <c r="V175" s="48">
        <f t="shared" si="102"/>
        <v>300000</v>
      </c>
      <c r="W175" s="48">
        <f t="shared" si="103"/>
        <v>600000</v>
      </c>
      <c r="X175" s="48">
        <f t="shared" si="104"/>
        <v>480000</v>
      </c>
      <c r="Y175" s="48">
        <f t="shared" si="105"/>
        <v>860767.70000000019</v>
      </c>
      <c r="Z175" s="48">
        <f t="shared" si="106"/>
        <v>2240767.7000000002</v>
      </c>
      <c r="AA175" s="37">
        <f t="shared" si="107"/>
        <v>0.14716981132075474</v>
      </c>
      <c r="AB175" s="49">
        <f t="shared" si="108"/>
        <v>0.37582341269841252</v>
      </c>
      <c r="AC175" s="49">
        <f t="shared" si="109"/>
        <v>0.75164682539682504</v>
      </c>
      <c r="AD175" s="50">
        <f t="shared" si="110"/>
        <v>12.936119999999995</v>
      </c>
      <c r="AE175" s="8">
        <f t="shared" si="111"/>
        <v>0</v>
      </c>
      <c r="AF175" s="51">
        <f t="shared" si="112"/>
        <v>2240767.7000000002</v>
      </c>
      <c r="AG175" s="8">
        <f t="shared" si="114"/>
        <v>9.9999999999999997E+98</v>
      </c>
      <c r="AH175" s="8" t="str">
        <f t="shared" si="113"/>
        <v>duplicate</v>
      </c>
      <c r="AI175" s="52">
        <f t="shared" si="115"/>
        <v>2240767.7376448978</v>
      </c>
    </row>
    <row r="176" spans="1:35" ht="15" customHeight="1" x14ac:dyDescent="0.25">
      <c r="A176" s="8">
        <v>169</v>
      </c>
      <c r="B176" s="8">
        <f t="shared" si="117"/>
        <v>6</v>
      </c>
      <c r="C176" s="8">
        <v>9</v>
      </c>
      <c r="D176" s="49">
        <f t="shared" si="84"/>
        <v>0.6</v>
      </c>
      <c r="E176" s="50">
        <f t="shared" si="85"/>
        <v>45.277976190476181</v>
      </c>
      <c r="F176" s="37">
        <f t="shared" si="86"/>
        <v>0.75463293650793628</v>
      </c>
      <c r="G176" s="8">
        <f t="shared" si="87"/>
        <v>2</v>
      </c>
      <c r="H176" s="8">
        <f t="shared" si="88"/>
        <v>47</v>
      </c>
      <c r="I176" s="50">
        <f t="shared" si="89"/>
        <v>47</v>
      </c>
      <c r="J176" s="50">
        <f t="shared" si="90"/>
        <v>16.900000000000002</v>
      </c>
      <c r="K176" s="50">
        <f t="shared" si="91"/>
        <v>19.349999999999998</v>
      </c>
      <c r="L176" s="50">
        <f t="shared" si="92"/>
        <v>11.75</v>
      </c>
      <c r="M176" s="37">
        <f t="shared" si="93"/>
        <v>7.8926018787938661</v>
      </c>
      <c r="N176" s="37">
        <f t="shared" si="94"/>
        <v>6.5142857142857142</v>
      </c>
      <c r="O176" s="50">
        <f t="shared" si="95"/>
        <v>86.813775186159162</v>
      </c>
      <c r="P176" s="50">
        <f t="shared" si="96"/>
        <v>11</v>
      </c>
      <c r="Q176" s="8">
        <f t="shared" si="97"/>
        <v>13</v>
      </c>
      <c r="R176" s="48">
        <f t="shared" si="98"/>
        <v>4752</v>
      </c>
      <c r="S176" s="48">
        <f t="shared" si="99"/>
        <v>4039.2</v>
      </c>
      <c r="T176" s="48">
        <f t="shared" si="100"/>
        <v>794.30000000000007</v>
      </c>
      <c r="U176" s="48">
        <f t="shared" si="101"/>
        <v>16561.154999999999</v>
      </c>
      <c r="V176" s="48">
        <f t="shared" si="102"/>
        <v>300000</v>
      </c>
      <c r="W176" s="48">
        <f t="shared" si="103"/>
        <v>650000</v>
      </c>
      <c r="X176" s="48">
        <f t="shared" si="104"/>
        <v>475200</v>
      </c>
      <c r="Y176" s="48">
        <f t="shared" si="105"/>
        <v>814554.64999999991</v>
      </c>
      <c r="Z176" s="48">
        <f t="shared" si="106"/>
        <v>2239754.65</v>
      </c>
      <c r="AA176" s="37">
        <f t="shared" si="107"/>
        <v>0.16595744680851066</v>
      </c>
      <c r="AB176" s="49">
        <f t="shared" si="108"/>
        <v>0.37731646825396814</v>
      </c>
      <c r="AC176" s="49">
        <f t="shared" si="109"/>
        <v>0.75463293650793628</v>
      </c>
      <c r="AD176" s="50">
        <f t="shared" si="110"/>
        <v>13.217339999999998</v>
      </c>
      <c r="AE176" s="8">
        <f t="shared" si="111"/>
        <v>0</v>
      </c>
      <c r="AF176" s="51">
        <f t="shared" si="112"/>
        <v>2239754.65</v>
      </c>
      <c r="AG176" s="8">
        <f t="shared" si="114"/>
        <v>9.9999999999999997E+98</v>
      </c>
      <c r="AH176" s="8" t="str">
        <f t="shared" si="113"/>
        <v>duplicate</v>
      </c>
      <c r="AI176" s="52">
        <f t="shared" si="115"/>
        <v>2239754.6878518537</v>
      </c>
    </row>
    <row r="177" spans="1:35" ht="15" customHeight="1" x14ac:dyDescent="0.25">
      <c r="A177" s="8">
        <v>170</v>
      </c>
      <c r="B177" s="8">
        <f t="shared" si="117"/>
        <v>6</v>
      </c>
      <c r="C177" s="8">
        <v>10</v>
      </c>
      <c r="D177" s="49">
        <f t="shared" si="84"/>
        <v>0.60000000000000009</v>
      </c>
      <c r="E177" s="50">
        <f t="shared" si="85"/>
        <v>45.457142857142834</v>
      </c>
      <c r="F177" s="37">
        <f t="shared" si="86"/>
        <v>0.7576190476190473</v>
      </c>
      <c r="G177" s="8">
        <f t="shared" si="87"/>
        <v>2</v>
      </c>
      <c r="H177" s="8">
        <f t="shared" si="88"/>
        <v>43</v>
      </c>
      <c r="I177" s="50">
        <f t="shared" si="89"/>
        <v>43</v>
      </c>
      <c r="J177" s="50">
        <f t="shared" si="90"/>
        <v>16.900000000000002</v>
      </c>
      <c r="K177" s="50">
        <f t="shared" si="91"/>
        <v>21.5</v>
      </c>
      <c r="L177" s="50">
        <f t="shared" si="92"/>
        <v>10.75</v>
      </c>
      <c r="M177" s="37">
        <f t="shared" si="93"/>
        <v>7.5324452429341591</v>
      </c>
      <c r="N177" s="37">
        <f t="shared" si="94"/>
        <v>6.5142857142857142</v>
      </c>
      <c r="O177" s="50">
        <f t="shared" si="95"/>
        <v>86.093461914439743</v>
      </c>
      <c r="P177" s="50">
        <f t="shared" si="96"/>
        <v>12</v>
      </c>
      <c r="Q177" s="8">
        <f t="shared" si="97"/>
        <v>14</v>
      </c>
      <c r="R177" s="48">
        <f t="shared" si="98"/>
        <v>4800</v>
      </c>
      <c r="S177" s="48">
        <f t="shared" si="99"/>
        <v>4080</v>
      </c>
      <c r="T177" s="48">
        <f t="shared" si="100"/>
        <v>726.7</v>
      </c>
      <c r="U177" s="48">
        <f t="shared" si="101"/>
        <v>16714.100000000002</v>
      </c>
      <c r="V177" s="48">
        <f t="shared" si="102"/>
        <v>300000</v>
      </c>
      <c r="W177" s="48">
        <f t="shared" si="103"/>
        <v>700000</v>
      </c>
      <c r="X177" s="48">
        <f t="shared" si="104"/>
        <v>480000</v>
      </c>
      <c r="Y177" s="48">
        <f t="shared" si="105"/>
        <v>792103</v>
      </c>
      <c r="Z177" s="48">
        <f t="shared" si="106"/>
        <v>2272103</v>
      </c>
      <c r="AA177" s="37">
        <f t="shared" si="107"/>
        <v>0.18139534883720931</v>
      </c>
      <c r="AB177" s="49">
        <f t="shared" si="108"/>
        <v>0.37880952380952365</v>
      </c>
      <c r="AC177" s="49">
        <f t="shared" si="109"/>
        <v>0.7576190476190473</v>
      </c>
      <c r="AD177" s="50">
        <f t="shared" si="110"/>
        <v>13.498559999999996</v>
      </c>
      <c r="AE177" s="8">
        <f t="shared" si="111"/>
        <v>0</v>
      </c>
      <c r="AF177" s="51">
        <f t="shared" si="112"/>
        <v>2272103</v>
      </c>
      <c r="AG177" s="8">
        <f t="shared" si="114"/>
        <v>9.9999999999999997E+98</v>
      </c>
      <c r="AH177" s="8" t="str">
        <f t="shared" si="113"/>
        <v>height duplicate</v>
      </c>
      <c r="AI177" s="52">
        <f t="shared" si="115"/>
        <v>75000002272102.984</v>
      </c>
    </row>
    <row r="178" spans="1:35" ht="15" customHeight="1" x14ac:dyDescent="0.25">
      <c r="A178" s="8">
        <v>171</v>
      </c>
      <c r="B178" s="8">
        <f t="shared" si="117"/>
        <v>6</v>
      </c>
      <c r="C178" s="8">
        <v>11</v>
      </c>
      <c r="D178" s="49">
        <f t="shared" si="84"/>
        <v>0.6</v>
      </c>
      <c r="E178" s="50">
        <f t="shared" si="85"/>
        <v>45.636309523809516</v>
      </c>
      <c r="F178" s="37">
        <f t="shared" si="86"/>
        <v>0.76060515873015866</v>
      </c>
      <c r="G178" s="8">
        <f t="shared" si="87"/>
        <v>2</v>
      </c>
      <c r="H178" s="8">
        <f t="shared" si="88"/>
        <v>39</v>
      </c>
      <c r="I178" s="50">
        <f t="shared" si="89"/>
        <v>39</v>
      </c>
      <c r="J178" s="50">
        <f t="shared" si="90"/>
        <v>16.900000000000002</v>
      </c>
      <c r="K178" s="50">
        <f t="shared" si="91"/>
        <v>23.65</v>
      </c>
      <c r="L178" s="50">
        <f t="shared" si="92"/>
        <v>9.75</v>
      </c>
      <c r="M178" s="37">
        <f t="shared" si="93"/>
        <v>7.171670396055613</v>
      </c>
      <c r="N178" s="37">
        <f t="shared" si="94"/>
        <v>6.5142857142857142</v>
      </c>
      <c r="O178" s="50">
        <f t="shared" si="95"/>
        <v>85.371912220682646</v>
      </c>
      <c r="P178" s="50">
        <f t="shared" si="96"/>
        <v>13</v>
      </c>
      <c r="Q178" s="8">
        <f t="shared" si="97"/>
        <v>15</v>
      </c>
      <c r="R178" s="48">
        <f t="shared" si="98"/>
        <v>4752</v>
      </c>
      <c r="S178" s="48">
        <f t="shared" si="99"/>
        <v>4039.2</v>
      </c>
      <c r="T178" s="48">
        <f t="shared" si="100"/>
        <v>659.10000000000014</v>
      </c>
      <c r="U178" s="48">
        <f t="shared" si="101"/>
        <v>16576.365000000002</v>
      </c>
      <c r="V178" s="48">
        <f t="shared" si="102"/>
        <v>300000</v>
      </c>
      <c r="W178" s="48">
        <f t="shared" si="103"/>
        <v>750000</v>
      </c>
      <c r="X178" s="48">
        <f t="shared" si="104"/>
        <v>475200</v>
      </c>
      <c r="Y178" s="48">
        <f t="shared" si="105"/>
        <v>760930.95000000019</v>
      </c>
      <c r="Z178" s="48">
        <f t="shared" si="106"/>
        <v>2286130.9500000002</v>
      </c>
      <c r="AA178" s="37">
        <f t="shared" si="107"/>
        <v>0.2</v>
      </c>
      <c r="AB178" s="49">
        <f t="shared" si="108"/>
        <v>0.38030257936507933</v>
      </c>
      <c r="AC178" s="49">
        <f t="shared" si="109"/>
        <v>0.76060515873015866</v>
      </c>
      <c r="AD178" s="50">
        <f t="shared" si="110"/>
        <v>13.779779999999999</v>
      </c>
      <c r="AE178" s="8">
        <f t="shared" si="111"/>
        <v>0</v>
      </c>
      <c r="AF178" s="51">
        <f t="shared" si="112"/>
        <v>2286130.9500000002</v>
      </c>
      <c r="AG178" s="8">
        <f t="shared" si="114"/>
        <v>9.9999999999999997E+98</v>
      </c>
      <c r="AH178" s="8" t="str">
        <f t="shared" si="113"/>
        <v>height duplicate</v>
      </c>
      <c r="AI178" s="52">
        <f t="shared" si="115"/>
        <v>182500002286130.88</v>
      </c>
    </row>
    <row r="179" spans="1:35" ht="15" customHeight="1" x14ac:dyDescent="0.25">
      <c r="A179" s="8">
        <v>172</v>
      </c>
      <c r="B179" s="8">
        <f t="shared" si="117"/>
        <v>6</v>
      </c>
      <c r="C179" s="8">
        <v>12</v>
      </c>
      <c r="D179" s="49">
        <f t="shared" si="84"/>
        <v>0.6</v>
      </c>
      <c r="E179" s="50">
        <f t="shared" si="85"/>
        <v>45.815476190476183</v>
      </c>
      <c r="F179" s="37">
        <f t="shared" si="86"/>
        <v>0.76359126984126979</v>
      </c>
      <c r="G179" s="8">
        <f t="shared" si="87"/>
        <v>2</v>
      </c>
      <c r="H179" s="8">
        <f t="shared" si="88"/>
        <v>36</v>
      </c>
      <c r="I179" s="50">
        <f t="shared" si="89"/>
        <v>36</v>
      </c>
      <c r="J179" s="50">
        <f t="shared" si="90"/>
        <v>16.900000000000002</v>
      </c>
      <c r="K179" s="50">
        <f t="shared" si="91"/>
        <v>25.799999999999997</v>
      </c>
      <c r="L179" s="50">
        <f t="shared" si="92"/>
        <v>9</v>
      </c>
      <c r="M179" s="37">
        <f t="shared" si="93"/>
        <v>6.9005595957269135</v>
      </c>
      <c r="N179" s="37">
        <f t="shared" si="94"/>
        <v>6.5142857142857142</v>
      </c>
      <c r="O179" s="50">
        <f t="shared" si="95"/>
        <v>84.829690620025247</v>
      </c>
      <c r="P179" s="50">
        <f t="shared" si="96"/>
        <v>14</v>
      </c>
      <c r="Q179" s="8">
        <f t="shared" si="97"/>
        <v>16</v>
      </c>
      <c r="R179" s="48">
        <f t="shared" si="98"/>
        <v>4752</v>
      </c>
      <c r="S179" s="48">
        <f t="shared" si="99"/>
        <v>4039.2</v>
      </c>
      <c r="T179" s="48">
        <f t="shared" si="100"/>
        <v>608.40000000000009</v>
      </c>
      <c r="U179" s="48">
        <f t="shared" si="101"/>
        <v>16609.32</v>
      </c>
      <c r="V179" s="48">
        <f t="shared" si="102"/>
        <v>300000</v>
      </c>
      <c r="W179" s="48">
        <f t="shared" si="103"/>
        <v>800000</v>
      </c>
      <c r="X179" s="48">
        <f t="shared" si="104"/>
        <v>475200</v>
      </c>
      <c r="Y179" s="48">
        <f t="shared" si="105"/>
        <v>741639.6</v>
      </c>
      <c r="Z179" s="48">
        <f t="shared" si="106"/>
        <v>2316839.6</v>
      </c>
      <c r="AA179" s="37">
        <f t="shared" si="107"/>
        <v>0.21666666666666667</v>
      </c>
      <c r="AB179" s="49">
        <f t="shared" si="108"/>
        <v>0.3817956349206349</v>
      </c>
      <c r="AC179" s="49">
        <f t="shared" si="109"/>
        <v>0.76359126984126979</v>
      </c>
      <c r="AD179" s="50">
        <f t="shared" si="110"/>
        <v>14.060999999999998</v>
      </c>
      <c r="AE179" s="8">
        <f t="shared" si="111"/>
        <v>0</v>
      </c>
      <c r="AF179" s="51">
        <f t="shared" si="112"/>
        <v>2316839.6</v>
      </c>
      <c r="AG179" s="8">
        <f t="shared" si="114"/>
        <v>9.9999999999999997E+98</v>
      </c>
      <c r="AH179" s="8" t="str">
        <f t="shared" si="113"/>
        <v>height duplicate</v>
      </c>
      <c r="AI179" s="52">
        <f t="shared" si="115"/>
        <v>290000002316839.44</v>
      </c>
    </row>
    <row r="180" spans="1:35" ht="15" customHeight="1" x14ac:dyDescent="0.25">
      <c r="A180" s="8">
        <v>173</v>
      </c>
      <c r="B180" s="8">
        <f t="shared" si="117"/>
        <v>6</v>
      </c>
      <c r="C180" s="8">
        <v>13</v>
      </c>
      <c r="D180" s="49">
        <f t="shared" si="84"/>
        <v>0.6</v>
      </c>
      <c r="E180" s="50">
        <f t="shared" si="85"/>
        <v>45.99464285714285</v>
      </c>
      <c r="F180" s="37">
        <f t="shared" si="86"/>
        <v>0.76657738095238082</v>
      </c>
      <c r="G180" s="8">
        <f t="shared" si="87"/>
        <v>2</v>
      </c>
      <c r="H180" s="8">
        <f t="shared" si="88"/>
        <v>34</v>
      </c>
      <c r="I180" s="50">
        <f t="shared" si="89"/>
        <v>34</v>
      </c>
      <c r="J180" s="50">
        <f t="shared" si="90"/>
        <v>16.900000000000002</v>
      </c>
      <c r="K180" s="50">
        <f t="shared" si="91"/>
        <v>27.95</v>
      </c>
      <c r="L180" s="50">
        <f t="shared" si="92"/>
        <v>8.5</v>
      </c>
      <c r="M180" s="37">
        <f t="shared" si="93"/>
        <v>6.7195000761478241</v>
      </c>
      <c r="N180" s="37">
        <f t="shared" si="94"/>
        <v>6.5142857142857142</v>
      </c>
      <c r="O180" s="50">
        <f t="shared" si="95"/>
        <v>84.467571580867073</v>
      </c>
      <c r="P180" s="50">
        <f t="shared" si="96"/>
        <v>15</v>
      </c>
      <c r="Q180" s="8">
        <f t="shared" si="97"/>
        <v>17</v>
      </c>
      <c r="R180" s="48">
        <f t="shared" si="98"/>
        <v>4836</v>
      </c>
      <c r="S180" s="48">
        <f t="shared" si="99"/>
        <v>4110.5999999999995</v>
      </c>
      <c r="T180" s="48">
        <f t="shared" si="100"/>
        <v>574.6</v>
      </c>
      <c r="U180" s="48">
        <f t="shared" si="101"/>
        <v>16921.97</v>
      </c>
      <c r="V180" s="48">
        <f t="shared" si="102"/>
        <v>300000</v>
      </c>
      <c r="W180" s="48">
        <f t="shared" si="103"/>
        <v>850000</v>
      </c>
      <c r="X180" s="48">
        <f t="shared" si="104"/>
        <v>483600</v>
      </c>
      <c r="Y180" s="48">
        <f t="shared" si="105"/>
        <v>737499.10000000009</v>
      </c>
      <c r="Z180" s="48">
        <f t="shared" si="106"/>
        <v>2371099.1</v>
      </c>
      <c r="AA180" s="37">
        <f t="shared" si="107"/>
        <v>0.22941176470588237</v>
      </c>
      <c r="AB180" s="49">
        <f t="shared" si="108"/>
        <v>0.38328869047619041</v>
      </c>
      <c r="AC180" s="49">
        <f t="shared" si="109"/>
        <v>0.76657738095238082</v>
      </c>
      <c r="AD180" s="50">
        <f t="shared" si="110"/>
        <v>14.342219999999999</v>
      </c>
      <c r="AE180" s="8">
        <f t="shared" si="111"/>
        <v>0</v>
      </c>
      <c r="AF180" s="51">
        <f t="shared" si="112"/>
        <v>2371099.1</v>
      </c>
      <c r="AG180" s="8">
        <f t="shared" si="114"/>
        <v>9.9999999999999997E+98</v>
      </c>
      <c r="AH180" s="8" t="str">
        <f t="shared" si="113"/>
        <v>height duplicate</v>
      </c>
      <c r="AI180" s="52">
        <f t="shared" si="115"/>
        <v>397500002371099.06</v>
      </c>
    </row>
    <row r="181" spans="1:35" ht="15" customHeight="1" x14ac:dyDescent="0.25">
      <c r="A181" s="8">
        <v>174</v>
      </c>
      <c r="B181" s="8">
        <f t="shared" si="117"/>
        <v>6</v>
      </c>
      <c r="C181" s="8">
        <v>14</v>
      </c>
      <c r="D181" s="49">
        <f t="shared" si="84"/>
        <v>0.6</v>
      </c>
      <c r="E181" s="50">
        <f t="shared" si="85"/>
        <v>46.173809523809517</v>
      </c>
      <c r="F181" s="37">
        <f t="shared" si="86"/>
        <v>0.76956349206349195</v>
      </c>
      <c r="G181" s="8">
        <f t="shared" si="87"/>
        <v>2</v>
      </c>
      <c r="H181" s="8">
        <f t="shared" si="88"/>
        <v>32</v>
      </c>
      <c r="I181" s="50">
        <f t="shared" si="89"/>
        <v>32</v>
      </c>
      <c r="J181" s="50">
        <f t="shared" si="90"/>
        <v>16.900000000000002</v>
      </c>
      <c r="K181" s="50">
        <f t="shared" si="91"/>
        <v>30.099999999999998</v>
      </c>
      <c r="L181" s="50">
        <f t="shared" si="92"/>
        <v>8</v>
      </c>
      <c r="M181" s="37">
        <f t="shared" si="93"/>
        <v>6.5381295451927768</v>
      </c>
      <c r="N181" s="37">
        <f t="shared" si="94"/>
        <v>6.5142857142857142</v>
      </c>
      <c r="O181" s="50">
        <f t="shared" si="95"/>
        <v>84.104830518956973</v>
      </c>
      <c r="P181" s="50">
        <f t="shared" si="96"/>
        <v>16</v>
      </c>
      <c r="Q181" s="8">
        <f t="shared" si="97"/>
        <v>18</v>
      </c>
      <c r="R181" s="48">
        <f t="shared" si="98"/>
        <v>4872</v>
      </c>
      <c r="S181" s="48">
        <f t="shared" si="99"/>
        <v>4141.2</v>
      </c>
      <c r="T181" s="48">
        <f t="shared" si="100"/>
        <v>540.80000000000007</v>
      </c>
      <c r="U181" s="48">
        <f t="shared" si="101"/>
        <v>17089.280000000002</v>
      </c>
      <c r="V181" s="48">
        <f t="shared" si="102"/>
        <v>300000</v>
      </c>
      <c r="W181" s="48">
        <f t="shared" si="103"/>
        <v>900000</v>
      </c>
      <c r="X181" s="48">
        <f t="shared" si="104"/>
        <v>487200</v>
      </c>
      <c r="Y181" s="48">
        <f t="shared" si="105"/>
        <v>728998.40000000014</v>
      </c>
      <c r="Z181" s="48">
        <f t="shared" si="106"/>
        <v>2416198.4000000004</v>
      </c>
      <c r="AA181" s="37">
        <f t="shared" si="107"/>
        <v>0.24375000000000002</v>
      </c>
      <c r="AB181" s="49">
        <f t="shared" si="108"/>
        <v>0.38478174603174597</v>
      </c>
      <c r="AC181" s="49">
        <f t="shared" si="109"/>
        <v>0.76956349206349195</v>
      </c>
      <c r="AD181" s="50">
        <f t="shared" si="110"/>
        <v>14.623439999999999</v>
      </c>
      <c r="AE181" s="8">
        <f t="shared" si="111"/>
        <v>0</v>
      </c>
      <c r="AF181" s="51">
        <f t="shared" si="112"/>
        <v>2416198.4000000004</v>
      </c>
      <c r="AG181" s="8">
        <f t="shared" si="114"/>
        <v>9.9999999999999997E+98</v>
      </c>
      <c r="AH181" s="8" t="str">
        <f t="shared" si="113"/>
        <v>height duplicate</v>
      </c>
      <c r="AI181" s="52">
        <f t="shared" si="115"/>
        <v>505000002416198.31</v>
      </c>
    </row>
    <row r="182" spans="1:35" ht="15" customHeight="1" x14ac:dyDescent="0.25">
      <c r="A182" s="8">
        <v>175</v>
      </c>
      <c r="B182" s="8">
        <f t="shared" si="117"/>
        <v>6</v>
      </c>
      <c r="C182" s="8">
        <v>15</v>
      </c>
      <c r="D182" s="49">
        <f t="shared" si="84"/>
        <v>0.60000000000000009</v>
      </c>
      <c r="E182" s="50">
        <f t="shared" si="85"/>
        <v>46.352976190476163</v>
      </c>
      <c r="F182" s="37">
        <f t="shared" si="86"/>
        <v>0.77254960317460286</v>
      </c>
      <c r="G182" s="8">
        <f t="shared" si="87"/>
        <v>2</v>
      </c>
      <c r="H182" s="8">
        <f t="shared" si="88"/>
        <v>30</v>
      </c>
      <c r="I182" s="50">
        <f t="shared" si="89"/>
        <v>30</v>
      </c>
      <c r="J182" s="50">
        <f t="shared" si="90"/>
        <v>16.900000000000002</v>
      </c>
      <c r="K182" s="50">
        <f t="shared" si="91"/>
        <v>32.25</v>
      </c>
      <c r="L182" s="50">
        <f t="shared" si="92"/>
        <v>7.5</v>
      </c>
      <c r="M182" s="37">
        <f t="shared" si="93"/>
        <v>6.3563858005865805</v>
      </c>
      <c r="N182" s="37">
        <f t="shared" si="94"/>
        <v>6.5142857142857142</v>
      </c>
      <c r="O182" s="50">
        <f t="shared" si="95"/>
        <v>83.741343029744584</v>
      </c>
      <c r="P182" s="50">
        <f t="shared" si="96"/>
        <v>17</v>
      </c>
      <c r="Q182" s="8">
        <f t="shared" si="97"/>
        <v>19</v>
      </c>
      <c r="R182" s="48">
        <f t="shared" si="98"/>
        <v>4860</v>
      </c>
      <c r="S182" s="48">
        <f t="shared" si="99"/>
        <v>4131</v>
      </c>
      <c r="T182" s="48">
        <f t="shared" si="100"/>
        <v>507.00000000000006</v>
      </c>
      <c r="U182" s="48">
        <f t="shared" si="101"/>
        <v>17111.250000000004</v>
      </c>
      <c r="V182" s="48">
        <f t="shared" si="102"/>
        <v>300000</v>
      </c>
      <c r="W182" s="48">
        <f t="shared" si="103"/>
        <v>950000</v>
      </c>
      <c r="X182" s="48">
        <f t="shared" si="104"/>
        <v>486000</v>
      </c>
      <c r="Y182" s="48">
        <f t="shared" si="105"/>
        <v>716137.50000000012</v>
      </c>
      <c r="Z182" s="48">
        <f t="shared" si="106"/>
        <v>2452137.5</v>
      </c>
      <c r="AA182" s="37">
        <f t="shared" si="107"/>
        <v>0.26</v>
      </c>
      <c r="AB182" s="49">
        <f t="shared" si="108"/>
        <v>0.38627480158730143</v>
      </c>
      <c r="AC182" s="49">
        <f t="shared" si="109"/>
        <v>0.77254960317460286</v>
      </c>
      <c r="AD182" s="50">
        <f t="shared" si="110"/>
        <v>14.904659999999998</v>
      </c>
      <c r="AE182" s="8">
        <f t="shared" si="111"/>
        <v>0</v>
      </c>
      <c r="AF182" s="51">
        <f t="shared" si="112"/>
        <v>2452137.5</v>
      </c>
      <c r="AG182" s="8">
        <f t="shared" si="114"/>
        <v>9.9999999999999997E+98</v>
      </c>
      <c r="AH182" s="8" t="str">
        <f t="shared" si="113"/>
        <v>height duplicate</v>
      </c>
      <c r="AI182" s="52">
        <f t="shared" si="115"/>
        <v>612500002452137.5</v>
      </c>
    </row>
    <row r="183" spans="1:35" ht="15" customHeight="1" x14ac:dyDescent="0.25">
      <c r="A183" s="8">
        <v>176</v>
      </c>
      <c r="B183" s="8">
        <f t="shared" si="117"/>
        <v>6</v>
      </c>
      <c r="C183" s="8">
        <v>16</v>
      </c>
      <c r="D183" s="49">
        <f t="shared" si="84"/>
        <v>0.59999999999999987</v>
      </c>
      <c r="E183" s="50">
        <f t="shared" si="85"/>
        <v>46.532142857142851</v>
      </c>
      <c r="F183" s="37">
        <f t="shared" si="86"/>
        <v>0.775535714285714</v>
      </c>
      <c r="G183" s="8">
        <f t="shared" si="87"/>
        <v>2</v>
      </c>
      <c r="H183" s="8">
        <f t="shared" si="88"/>
        <v>28</v>
      </c>
      <c r="I183" s="50">
        <f t="shared" si="89"/>
        <v>28</v>
      </c>
      <c r="J183" s="50">
        <f t="shared" si="90"/>
        <v>16.900000000000002</v>
      </c>
      <c r="K183" s="50">
        <f t="shared" si="91"/>
        <v>34.4</v>
      </c>
      <c r="L183" s="50">
        <f t="shared" si="92"/>
        <v>7</v>
      </c>
      <c r="M183" s="37">
        <f t="shared" si="93"/>
        <v>6.1741888679754187</v>
      </c>
      <c r="N183" s="37">
        <f t="shared" si="94"/>
        <v>6.5142857142857142</v>
      </c>
      <c r="O183" s="50">
        <f t="shared" si="95"/>
        <v>83.376949164522259</v>
      </c>
      <c r="P183" s="50">
        <f t="shared" si="96"/>
        <v>18</v>
      </c>
      <c r="Q183" s="8">
        <f t="shared" si="97"/>
        <v>20</v>
      </c>
      <c r="R183" s="48">
        <f t="shared" si="98"/>
        <v>4800</v>
      </c>
      <c r="S183" s="48">
        <f t="shared" si="99"/>
        <v>4080</v>
      </c>
      <c r="T183" s="48">
        <f t="shared" si="100"/>
        <v>473.20000000000005</v>
      </c>
      <c r="U183" s="48">
        <f t="shared" si="101"/>
        <v>16987.88</v>
      </c>
      <c r="V183" s="48">
        <f t="shared" si="102"/>
        <v>300000</v>
      </c>
      <c r="W183" s="48">
        <f t="shared" si="103"/>
        <v>1000000</v>
      </c>
      <c r="X183" s="48">
        <f t="shared" si="104"/>
        <v>480000</v>
      </c>
      <c r="Y183" s="48">
        <f t="shared" si="105"/>
        <v>698916.4</v>
      </c>
      <c r="Z183" s="48">
        <f t="shared" si="106"/>
        <v>2478916.4</v>
      </c>
      <c r="AA183" s="37">
        <f t="shared" si="107"/>
        <v>0.27857142857142858</v>
      </c>
      <c r="AB183" s="49">
        <f t="shared" si="108"/>
        <v>0.387767857142857</v>
      </c>
      <c r="AC183" s="49">
        <f t="shared" si="109"/>
        <v>0.775535714285714</v>
      </c>
      <c r="AD183" s="50">
        <f t="shared" si="110"/>
        <v>15.185879999999999</v>
      </c>
      <c r="AE183" s="8">
        <f t="shared" si="111"/>
        <v>0</v>
      </c>
      <c r="AF183" s="51">
        <f t="shared" si="112"/>
        <v>2478916.4</v>
      </c>
      <c r="AG183" s="8">
        <f t="shared" si="114"/>
        <v>9.9999999999999997E+98</v>
      </c>
      <c r="AH183" s="8" t="str">
        <f t="shared" si="113"/>
        <v>height duplicate</v>
      </c>
      <c r="AI183" s="52">
        <f t="shared" si="115"/>
        <v>720000002478916.5</v>
      </c>
    </row>
    <row r="184" spans="1:35" ht="15" customHeight="1" x14ac:dyDescent="0.25">
      <c r="A184" s="8">
        <v>177</v>
      </c>
      <c r="B184" s="8">
        <f t="shared" si="117"/>
        <v>6</v>
      </c>
      <c r="C184" s="8">
        <v>17</v>
      </c>
      <c r="D184" s="49">
        <f t="shared" si="84"/>
        <v>0.6</v>
      </c>
      <c r="E184" s="50">
        <f t="shared" si="85"/>
        <v>46.711309523809518</v>
      </c>
      <c r="F184" s="37">
        <f t="shared" si="86"/>
        <v>0.77852182539682535</v>
      </c>
      <c r="G184" s="8">
        <f t="shared" si="87"/>
        <v>2</v>
      </c>
      <c r="H184" s="8">
        <f t="shared" si="88"/>
        <v>27</v>
      </c>
      <c r="I184" s="50">
        <f t="shared" si="89"/>
        <v>27</v>
      </c>
      <c r="J184" s="50">
        <f t="shared" si="90"/>
        <v>16.900000000000002</v>
      </c>
      <c r="K184" s="50">
        <f t="shared" si="91"/>
        <v>36.549999999999997</v>
      </c>
      <c r="L184" s="50">
        <f t="shared" si="92"/>
        <v>6.75</v>
      </c>
      <c r="M184" s="37">
        <f t="shared" si="93"/>
        <v>6.0828889847787408</v>
      </c>
      <c r="N184" s="37">
        <f t="shared" si="94"/>
        <v>6.5142857142857142</v>
      </c>
      <c r="O184" s="50">
        <f t="shared" si="95"/>
        <v>83.194349398128907</v>
      </c>
      <c r="P184" s="50">
        <f t="shared" si="96"/>
        <v>19</v>
      </c>
      <c r="Q184" s="8">
        <f t="shared" si="97"/>
        <v>21</v>
      </c>
      <c r="R184" s="48">
        <f t="shared" si="98"/>
        <v>4896</v>
      </c>
      <c r="S184" s="48">
        <f t="shared" si="99"/>
        <v>4161.5999999999995</v>
      </c>
      <c r="T184" s="48">
        <f t="shared" si="100"/>
        <v>456.30000000000007</v>
      </c>
      <c r="U184" s="48">
        <f t="shared" si="101"/>
        <v>17362.215</v>
      </c>
      <c r="V184" s="48">
        <f t="shared" si="102"/>
        <v>300000</v>
      </c>
      <c r="W184" s="48">
        <f t="shared" si="103"/>
        <v>1050000</v>
      </c>
      <c r="X184" s="48">
        <f t="shared" si="104"/>
        <v>489600</v>
      </c>
      <c r="Y184" s="48">
        <f t="shared" si="105"/>
        <v>703386.45000000007</v>
      </c>
      <c r="Z184" s="48">
        <f t="shared" si="106"/>
        <v>2542986.4500000002</v>
      </c>
      <c r="AA184" s="37">
        <f t="shared" si="107"/>
        <v>0.28888888888888892</v>
      </c>
      <c r="AB184" s="49">
        <f t="shared" si="108"/>
        <v>0.38926091269841268</v>
      </c>
      <c r="AC184" s="49">
        <f t="shared" si="109"/>
        <v>0.77852182539682535</v>
      </c>
      <c r="AD184" s="50">
        <f t="shared" si="110"/>
        <v>15.4671</v>
      </c>
      <c r="AE184" s="8">
        <f t="shared" si="111"/>
        <v>0</v>
      </c>
      <c r="AF184" s="51">
        <f t="shared" si="112"/>
        <v>2542986.4500000002</v>
      </c>
      <c r="AG184" s="8">
        <f t="shared" si="114"/>
        <v>9.9999999999999997E+98</v>
      </c>
      <c r="AH184" s="8" t="str">
        <f t="shared" si="113"/>
        <v>height duplicate</v>
      </c>
      <c r="AI184" s="52">
        <f t="shared" si="115"/>
        <v>827500002542986.38</v>
      </c>
    </row>
    <row r="185" spans="1:35" ht="15" customHeight="1" x14ac:dyDescent="0.25">
      <c r="A185" s="8">
        <v>178</v>
      </c>
      <c r="B185" s="8">
        <f t="shared" si="117"/>
        <v>6</v>
      </c>
      <c r="C185" s="8">
        <v>18</v>
      </c>
      <c r="D185" s="49">
        <f t="shared" si="84"/>
        <v>0.6</v>
      </c>
      <c r="E185" s="50">
        <f t="shared" si="85"/>
        <v>46.890476190476186</v>
      </c>
      <c r="F185" s="37">
        <f t="shared" si="86"/>
        <v>0.78150793650793637</v>
      </c>
      <c r="G185" s="8">
        <f t="shared" si="87"/>
        <v>2</v>
      </c>
      <c r="H185" s="8">
        <f t="shared" si="88"/>
        <v>25</v>
      </c>
      <c r="I185" s="50">
        <f t="shared" si="89"/>
        <v>25</v>
      </c>
      <c r="J185" s="50">
        <f t="shared" si="90"/>
        <v>16.900000000000002</v>
      </c>
      <c r="K185" s="50">
        <f t="shared" si="91"/>
        <v>38.699999999999996</v>
      </c>
      <c r="L185" s="50">
        <f t="shared" si="92"/>
        <v>6.25</v>
      </c>
      <c r="M185" s="37">
        <f t="shared" si="93"/>
        <v>5.8998058178467536</v>
      </c>
      <c r="N185" s="37">
        <f t="shared" si="94"/>
        <v>6.5142857142857142</v>
      </c>
      <c r="O185" s="50">
        <f t="shared" si="95"/>
        <v>82.828183064264934</v>
      </c>
      <c r="P185" s="50">
        <f t="shared" si="96"/>
        <v>20</v>
      </c>
      <c r="Q185" s="8">
        <f t="shared" si="97"/>
        <v>22</v>
      </c>
      <c r="R185" s="48">
        <f t="shared" si="98"/>
        <v>4752</v>
      </c>
      <c r="S185" s="48">
        <f t="shared" si="99"/>
        <v>4039.2</v>
      </c>
      <c r="T185" s="48">
        <f t="shared" si="100"/>
        <v>422.50000000000006</v>
      </c>
      <c r="U185" s="48">
        <f t="shared" si="101"/>
        <v>16984.5</v>
      </c>
      <c r="V185" s="48">
        <f t="shared" si="102"/>
        <v>300000</v>
      </c>
      <c r="W185" s="48">
        <f t="shared" si="103"/>
        <v>1100000</v>
      </c>
      <c r="X185" s="48">
        <f t="shared" si="104"/>
        <v>475200</v>
      </c>
      <c r="Y185" s="48">
        <f t="shared" si="105"/>
        <v>678535</v>
      </c>
      <c r="Z185" s="48">
        <f t="shared" si="106"/>
        <v>2553735</v>
      </c>
      <c r="AA185" s="37">
        <f t="shared" si="107"/>
        <v>0.31200000000000006</v>
      </c>
      <c r="AB185" s="49">
        <f t="shared" si="108"/>
        <v>0.39075396825396819</v>
      </c>
      <c r="AC185" s="49">
        <f t="shared" si="109"/>
        <v>0.78150793650793637</v>
      </c>
      <c r="AD185" s="50">
        <f t="shared" si="110"/>
        <v>15.748319999999998</v>
      </c>
      <c r="AE185" s="8">
        <f t="shared" si="111"/>
        <v>0</v>
      </c>
      <c r="AF185" s="51">
        <f t="shared" si="112"/>
        <v>2553735</v>
      </c>
      <c r="AG185" s="8">
        <f t="shared" si="114"/>
        <v>9.9999999999999997E+98</v>
      </c>
      <c r="AH185" s="8" t="str">
        <f t="shared" si="113"/>
        <v>height duplicate</v>
      </c>
      <c r="AI185" s="52">
        <f t="shared" si="115"/>
        <v>935000002553734.88</v>
      </c>
    </row>
    <row r="186" spans="1:35" ht="15" customHeight="1" x14ac:dyDescent="0.25">
      <c r="A186" s="8">
        <v>179</v>
      </c>
      <c r="B186" s="8">
        <f t="shared" si="117"/>
        <v>6</v>
      </c>
      <c r="C186" s="8">
        <v>19</v>
      </c>
      <c r="D186" s="49">
        <f t="shared" si="84"/>
        <v>0.6</v>
      </c>
      <c r="E186" s="50">
        <f t="shared" si="85"/>
        <v>47.069642857142867</v>
      </c>
      <c r="F186" s="37">
        <f t="shared" si="86"/>
        <v>0.78449404761904773</v>
      </c>
      <c r="G186" s="8">
        <f t="shared" si="87"/>
        <v>2</v>
      </c>
      <c r="H186" s="8">
        <f t="shared" si="88"/>
        <v>24</v>
      </c>
      <c r="I186" s="50">
        <f t="shared" si="89"/>
        <v>24</v>
      </c>
      <c r="J186" s="50">
        <f t="shared" si="90"/>
        <v>16.900000000000002</v>
      </c>
      <c r="K186" s="50">
        <f t="shared" si="91"/>
        <v>40.85</v>
      </c>
      <c r="L186" s="50">
        <f t="shared" si="92"/>
        <v>6</v>
      </c>
      <c r="M186" s="37">
        <f t="shared" si="93"/>
        <v>5.8079822507332253</v>
      </c>
      <c r="N186" s="37">
        <f t="shared" si="94"/>
        <v>6.5142857142857142</v>
      </c>
      <c r="O186" s="50">
        <f t="shared" si="95"/>
        <v>82.644535930037875</v>
      </c>
      <c r="P186" s="50">
        <f t="shared" si="96"/>
        <v>21</v>
      </c>
      <c r="Q186" s="8">
        <f t="shared" si="97"/>
        <v>23</v>
      </c>
      <c r="R186" s="48">
        <f t="shared" si="98"/>
        <v>4788</v>
      </c>
      <c r="S186" s="48">
        <f t="shared" si="99"/>
        <v>4069.7999999999997</v>
      </c>
      <c r="T186" s="48">
        <f t="shared" si="100"/>
        <v>405.6</v>
      </c>
      <c r="U186" s="48">
        <f t="shared" si="101"/>
        <v>17177.16</v>
      </c>
      <c r="V186" s="48">
        <f t="shared" si="102"/>
        <v>300000</v>
      </c>
      <c r="W186" s="48">
        <f t="shared" si="103"/>
        <v>1150000</v>
      </c>
      <c r="X186" s="48">
        <f t="shared" si="104"/>
        <v>478800</v>
      </c>
      <c r="Y186" s="48">
        <f t="shared" si="105"/>
        <v>677554.8</v>
      </c>
      <c r="Z186" s="48">
        <f t="shared" si="106"/>
        <v>2606354.7999999998</v>
      </c>
      <c r="AA186" s="37">
        <f t="shared" si="107"/>
        <v>0.32500000000000001</v>
      </c>
      <c r="AB186" s="49">
        <f t="shared" si="108"/>
        <v>0.39224702380952386</v>
      </c>
      <c r="AC186" s="49">
        <f t="shared" si="109"/>
        <v>0.78449404761904773</v>
      </c>
      <c r="AD186" s="50">
        <f t="shared" si="110"/>
        <v>16.029539999999997</v>
      </c>
      <c r="AE186" s="8">
        <f t="shared" si="111"/>
        <v>0</v>
      </c>
      <c r="AF186" s="51">
        <f t="shared" si="112"/>
        <v>2606354.7999999998</v>
      </c>
      <c r="AG186" s="8">
        <f t="shared" si="114"/>
        <v>9.9999999999999997E+98</v>
      </c>
      <c r="AH186" s="8" t="str">
        <f t="shared" si="113"/>
        <v>height duplicate</v>
      </c>
      <c r="AI186" s="52">
        <f t="shared" si="115"/>
        <v>1042500002606354.9</v>
      </c>
    </row>
    <row r="187" spans="1:35" ht="15" customHeight="1" x14ac:dyDescent="0.25">
      <c r="A187" s="8">
        <v>180</v>
      </c>
      <c r="B187" s="8">
        <f t="shared" si="117"/>
        <v>6</v>
      </c>
      <c r="C187" s="8">
        <v>20</v>
      </c>
      <c r="D187" s="49">
        <f t="shared" si="84"/>
        <v>0.59999999999999987</v>
      </c>
      <c r="E187" s="50">
        <f t="shared" si="85"/>
        <v>47.248809523809541</v>
      </c>
      <c r="F187" s="37">
        <f t="shared" si="86"/>
        <v>0.78748015873015886</v>
      </c>
      <c r="G187" s="8">
        <f t="shared" si="87"/>
        <v>2</v>
      </c>
      <c r="H187" s="8">
        <f t="shared" si="88"/>
        <v>23</v>
      </c>
      <c r="I187" s="50">
        <f t="shared" si="89"/>
        <v>23</v>
      </c>
      <c r="J187" s="50">
        <f t="shared" si="90"/>
        <v>16.900000000000002</v>
      </c>
      <c r="K187" s="50">
        <f t="shared" si="91"/>
        <v>43</v>
      </c>
      <c r="L187" s="50">
        <f t="shared" si="92"/>
        <v>5.75</v>
      </c>
      <c r="M187" s="37">
        <f t="shared" si="93"/>
        <v>5.7159380007651057</v>
      </c>
      <c r="N187" s="37">
        <f t="shared" si="94"/>
        <v>6.5142857142857142</v>
      </c>
      <c r="O187" s="50">
        <f t="shared" si="95"/>
        <v>82.460447430101638</v>
      </c>
      <c r="P187" s="50">
        <f t="shared" si="96"/>
        <v>22</v>
      </c>
      <c r="Q187" s="8">
        <f t="shared" si="97"/>
        <v>24</v>
      </c>
      <c r="R187" s="48">
        <f t="shared" si="98"/>
        <v>4800</v>
      </c>
      <c r="S187" s="48">
        <f t="shared" si="99"/>
        <v>4080</v>
      </c>
      <c r="T187" s="48">
        <f t="shared" si="100"/>
        <v>388.70000000000005</v>
      </c>
      <c r="U187" s="48">
        <f t="shared" si="101"/>
        <v>17297.150000000001</v>
      </c>
      <c r="V187" s="48">
        <f t="shared" si="102"/>
        <v>300000</v>
      </c>
      <c r="W187" s="48">
        <f t="shared" si="103"/>
        <v>1200000</v>
      </c>
      <c r="X187" s="48">
        <f t="shared" si="104"/>
        <v>480000</v>
      </c>
      <c r="Y187" s="48">
        <f t="shared" si="105"/>
        <v>674394.50000000012</v>
      </c>
      <c r="Z187" s="48">
        <f t="shared" si="106"/>
        <v>2654394.5</v>
      </c>
      <c r="AA187" s="37">
        <f t="shared" si="107"/>
        <v>0.33913043478260874</v>
      </c>
      <c r="AB187" s="49">
        <f t="shared" si="108"/>
        <v>0.39374007936507943</v>
      </c>
      <c r="AC187" s="49">
        <f t="shared" si="109"/>
        <v>0.78748015873015886</v>
      </c>
      <c r="AD187" s="50">
        <f t="shared" si="110"/>
        <v>16.310760000000005</v>
      </c>
      <c r="AE187" s="8">
        <f t="shared" si="111"/>
        <v>0</v>
      </c>
      <c r="AF187" s="51">
        <f t="shared" si="112"/>
        <v>2654394.5</v>
      </c>
      <c r="AG187" s="8">
        <f t="shared" si="114"/>
        <v>9.9999999999999997E+98</v>
      </c>
      <c r="AH187" s="8" t="str">
        <f t="shared" si="113"/>
        <v>height duplicate</v>
      </c>
      <c r="AI187" s="52">
        <f t="shared" si="115"/>
        <v>1150000002654394.5</v>
      </c>
    </row>
    <row r="188" spans="1:35" ht="15" customHeight="1" x14ac:dyDescent="0.25">
      <c r="A188" s="8">
        <v>181</v>
      </c>
      <c r="B188" s="8">
        <f t="shared" ref="B188:B207" si="118">$K$3</f>
        <v>6</v>
      </c>
      <c r="C188" s="8">
        <v>1</v>
      </c>
      <c r="D188" s="49">
        <f t="shared" si="84"/>
        <v>0</v>
      </c>
      <c r="E188" s="50">
        <f t="shared" si="85"/>
        <v>0</v>
      </c>
      <c r="F188" s="37">
        <f t="shared" si="86"/>
        <v>0</v>
      </c>
      <c r="G188" s="8">
        <f t="shared" si="87"/>
        <v>0</v>
      </c>
      <c r="H188" s="8">
        <f t="shared" si="88"/>
        <v>393</v>
      </c>
      <c r="I188" s="50">
        <f t="shared" si="89"/>
        <v>393</v>
      </c>
      <c r="J188" s="50">
        <f t="shared" si="90"/>
        <v>16.900000000000002</v>
      </c>
      <c r="K188" s="50">
        <f t="shared" si="91"/>
        <v>2.15</v>
      </c>
      <c r="L188" s="50">
        <f t="shared" si="92"/>
        <v>393</v>
      </c>
      <c r="M188" s="37">
        <f t="shared" si="93"/>
        <v>144.0847456395968</v>
      </c>
      <c r="N188" s="37">
        <f t="shared" si="94"/>
        <v>6.5142857142857142</v>
      </c>
      <c r="O188" s="50">
        <f t="shared" si="95"/>
        <v>359.19806270776502</v>
      </c>
      <c r="P188" s="50">
        <f t="shared" si="96"/>
        <v>14</v>
      </c>
      <c r="Q188" s="8">
        <f t="shared" si="97"/>
        <v>16</v>
      </c>
      <c r="R188" s="48">
        <f t="shared" si="98"/>
        <v>4716</v>
      </c>
      <c r="S188" s="48">
        <f t="shared" si="99"/>
        <v>4008.6</v>
      </c>
      <c r="T188" s="48">
        <f t="shared" si="100"/>
        <v>6641.7000000000007</v>
      </c>
      <c r="U188" s="48">
        <f t="shared" si="101"/>
        <v>24242.205000000002</v>
      </c>
      <c r="V188" s="48">
        <f t="shared" si="102"/>
        <v>0</v>
      </c>
      <c r="W188" s="48">
        <f t="shared" si="103"/>
        <v>800000</v>
      </c>
      <c r="X188" s="48">
        <f t="shared" si="104"/>
        <v>471600</v>
      </c>
      <c r="Y188" s="48">
        <f t="shared" si="105"/>
        <v>3383946.1500000004</v>
      </c>
      <c r="Z188" s="48">
        <f t="shared" si="106"/>
        <v>4655546.1500000004</v>
      </c>
      <c r="AA188" s="37">
        <f t="shared" si="107"/>
        <v>1.984732824427481E-2</v>
      </c>
      <c r="AB188" s="49">
        <f t="shared" si="108"/>
        <v>0</v>
      </c>
      <c r="AC188" s="49" t="str">
        <f t="shared" si="109"/>
        <v>n/a</v>
      </c>
      <c r="AD188" s="50">
        <f t="shared" si="110"/>
        <v>0</v>
      </c>
      <c r="AE188" s="8">
        <f t="shared" si="111"/>
        <v>0</v>
      </c>
      <c r="AF188" s="51">
        <f t="shared" si="112"/>
        <v>4655546.1500000004</v>
      </c>
      <c r="AG188" s="8">
        <f t="shared" si="114"/>
        <v>9.9999999999999997E+98</v>
      </c>
      <c r="AH188" s="8" t="str">
        <f t="shared" si="113"/>
        <v>footprint lanes&gt;300 duplicate</v>
      </c>
      <c r="AI188" s="52">
        <f t="shared" si="115"/>
        <v>5860000004655545</v>
      </c>
    </row>
    <row r="189" spans="1:35" ht="15" customHeight="1" x14ac:dyDescent="0.25">
      <c r="A189" s="8">
        <v>182</v>
      </c>
      <c r="B189" s="8">
        <f t="shared" si="118"/>
        <v>6</v>
      </c>
      <c r="C189" s="8">
        <v>2</v>
      </c>
      <c r="D189" s="49">
        <f t="shared" si="84"/>
        <v>0.5</v>
      </c>
      <c r="E189" s="50">
        <f t="shared" si="85"/>
        <v>41.157142857142851</v>
      </c>
      <c r="F189" s="37">
        <f t="shared" si="86"/>
        <v>0.57162698412698409</v>
      </c>
      <c r="G189" s="8">
        <f t="shared" si="87"/>
        <v>2</v>
      </c>
      <c r="H189" s="8">
        <f t="shared" si="88"/>
        <v>200</v>
      </c>
      <c r="I189" s="50">
        <f t="shared" si="89"/>
        <v>200</v>
      </c>
      <c r="J189" s="50">
        <f t="shared" si="90"/>
        <v>16.900000000000002</v>
      </c>
      <c r="K189" s="50">
        <f t="shared" si="91"/>
        <v>4.3</v>
      </c>
      <c r="L189" s="50">
        <f t="shared" si="92"/>
        <v>50</v>
      </c>
      <c r="M189" s="37">
        <f t="shared" si="93"/>
        <v>21.57810072723084</v>
      </c>
      <c r="N189" s="37">
        <f t="shared" si="94"/>
        <v>6.5142857142857142</v>
      </c>
      <c r="O189" s="50">
        <f t="shared" si="95"/>
        <v>114.18477288303311</v>
      </c>
      <c r="P189" s="50">
        <f t="shared" si="96"/>
        <v>6</v>
      </c>
      <c r="Q189" s="8">
        <f t="shared" si="97"/>
        <v>8</v>
      </c>
      <c r="R189" s="48">
        <f t="shared" si="98"/>
        <v>4728</v>
      </c>
      <c r="S189" s="48">
        <f t="shared" si="99"/>
        <v>4018.7999999999997</v>
      </c>
      <c r="T189" s="48">
        <f t="shared" si="100"/>
        <v>3380.0000000000005</v>
      </c>
      <c r="U189" s="48">
        <f t="shared" si="101"/>
        <v>19604.000000000004</v>
      </c>
      <c r="V189" s="48">
        <f t="shared" si="102"/>
        <v>300000</v>
      </c>
      <c r="W189" s="48">
        <f t="shared" si="103"/>
        <v>400000</v>
      </c>
      <c r="X189" s="48">
        <f t="shared" si="104"/>
        <v>472800</v>
      </c>
      <c r="Y189" s="48">
        <f t="shared" si="105"/>
        <v>1940120.0000000005</v>
      </c>
      <c r="Z189" s="48">
        <f t="shared" si="106"/>
        <v>3112920.0000000005</v>
      </c>
      <c r="AA189" s="37">
        <f t="shared" si="107"/>
        <v>3.9000000000000007E-2</v>
      </c>
      <c r="AB189" s="49">
        <f t="shared" si="108"/>
        <v>0.28581349206349205</v>
      </c>
      <c r="AC189" s="49">
        <f t="shared" si="109"/>
        <v>0.57162698412698409</v>
      </c>
      <c r="AD189" s="50">
        <f t="shared" si="110"/>
        <v>5.6243999999999996</v>
      </c>
      <c r="AE189" s="8">
        <f t="shared" si="111"/>
        <v>0</v>
      </c>
      <c r="AF189" s="51">
        <f t="shared" si="112"/>
        <v>3112920.0000000005</v>
      </c>
      <c r="AG189" s="8">
        <f t="shared" si="114"/>
        <v>9.9999999999999997E+98</v>
      </c>
      <c r="AH189" s="8" t="str">
        <f t="shared" si="113"/>
        <v>footprint duplicate</v>
      </c>
      <c r="AI189" s="52">
        <f t="shared" si="115"/>
        <v>2333333336446253.5</v>
      </c>
    </row>
    <row r="190" spans="1:35" ht="15" customHeight="1" x14ac:dyDescent="0.25">
      <c r="A190" s="8">
        <v>183</v>
      </c>
      <c r="B190" s="8">
        <f t="shared" si="118"/>
        <v>6</v>
      </c>
      <c r="C190" s="8">
        <v>3</v>
      </c>
      <c r="D190" s="49">
        <f t="shared" si="84"/>
        <v>0.52941176470588236</v>
      </c>
      <c r="E190" s="50">
        <f t="shared" si="85"/>
        <v>41.634920634920626</v>
      </c>
      <c r="F190" s="37">
        <f t="shared" si="86"/>
        <v>0.61227824463118574</v>
      </c>
      <c r="G190" s="8">
        <f t="shared" si="87"/>
        <v>2</v>
      </c>
      <c r="H190" s="8">
        <f t="shared" si="88"/>
        <v>134</v>
      </c>
      <c r="I190" s="50">
        <f t="shared" si="89"/>
        <v>134</v>
      </c>
      <c r="J190" s="50">
        <f t="shared" si="90"/>
        <v>16.900000000000002</v>
      </c>
      <c r="K190" s="50">
        <f t="shared" si="91"/>
        <v>6.4499999999999993</v>
      </c>
      <c r="L190" s="50">
        <f t="shared" si="92"/>
        <v>33.5</v>
      </c>
      <c r="M190" s="37">
        <f t="shared" si="93"/>
        <v>15.681493622732603</v>
      </c>
      <c r="N190" s="37">
        <f t="shared" si="94"/>
        <v>6.5142857142857142</v>
      </c>
      <c r="O190" s="50">
        <f t="shared" si="95"/>
        <v>102.39155867403663</v>
      </c>
      <c r="P190" s="50">
        <f t="shared" si="96"/>
        <v>5</v>
      </c>
      <c r="Q190" s="8">
        <f t="shared" si="97"/>
        <v>7</v>
      </c>
      <c r="R190" s="48">
        <f t="shared" si="98"/>
        <v>4716</v>
      </c>
      <c r="S190" s="48">
        <f t="shared" si="99"/>
        <v>4008.6</v>
      </c>
      <c r="T190" s="48">
        <f t="shared" si="100"/>
        <v>2264.6000000000004</v>
      </c>
      <c r="U190" s="48">
        <f t="shared" si="101"/>
        <v>18003.57</v>
      </c>
      <c r="V190" s="48">
        <f t="shared" si="102"/>
        <v>300000</v>
      </c>
      <c r="W190" s="48">
        <f t="shared" si="103"/>
        <v>350000</v>
      </c>
      <c r="X190" s="48">
        <f t="shared" si="104"/>
        <v>471600</v>
      </c>
      <c r="Y190" s="48">
        <f t="shared" si="105"/>
        <v>1445947.1</v>
      </c>
      <c r="Z190" s="48">
        <f t="shared" si="106"/>
        <v>2567547.1</v>
      </c>
      <c r="AA190" s="37">
        <f t="shared" si="107"/>
        <v>5.8208955223880601E-2</v>
      </c>
      <c r="AB190" s="49">
        <f t="shared" si="108"/>
        <v>0.30613912231559287</v>
      </c>
      <c r="AC190" s="49">
        <f t="shared" si="109"/>
        <v>0.61227824463118574</v>
      </c>
      <c r="AD190" s="50">
        <f t="shared" si="110"/>
        <v>6.6169411764705863</v>
      </c>
      <c r="AE190" s="8">
        <f t="shared" si="111"/>
        <v>0</v>
      </c>
      <c r="AF190" s="51">
        <f t="shared" si="112"/>
        <v>2567547.1</v>
      </c>
      <c r="AG190" s="8">
        <f t="shared" si="114"/>
        <v>9.9999999999999997E+98</v>
      </c>
      <c r="AH190" s="8" t="str">
        <f t="shared" si="113"/>
        <v>footprint duplicate</v>
      </c>
      <c r="AI190" s="52">
        <f t="shared" si="115"/>
        <v>1233333335900880.8</v>
      </c>
    </row>
    <row r="191" spans="1:35" ht="15" customHeight="1" x14ac:dyDescent="0.25">
      <c r="A191" s="8">
        <v>184</v>
      </c>
      <c r="B191" s="8">
        <f t="shared" si="118"/>
        <v>6</v>
      </c>
      <c r="C191" s="8">
        <v>4</v>
      </c>
      <c r="D191" s="49">
        <f t="shared" si="84"/>
        <v>0.55555555555555558</v>
      </c>
      <c r="E191" s="50">
        <f t="shared" si="85"/>
        <v>42.447142857142843</v>
      </c>
      <c r="F191" s="37">
        <f t="shared" si="86"/>
        <v>0.65504850088183397</v>
      </c>
      <c r="G191" s="8">
        <f t="shared" si="87"/>
        <v>2</v>
      </c>
      <c r="H191" s="8">
        <f t="shared" si="88"/>
        <v>102</v>
      </c>
      <c r="I191" s="50">
        <f t="shared" si="89"/>
        <v>102</v>
      </c>
      <c r="J191" s="50">
        <f t="shared" si="90"/>
        <v>16.900000000000002</v>
      </c>
      <c r="K191" s="50">
        <f t="shared" si="91"/>
        <v>8.6</v>
      </c>
      <c r="L191" s="50">
        <f t="shared" si="92"/>
        <v>25.5</v>
      </c>
      <c r="M191" s="37">
        <f t="shared" si="93"/>
        <v>12.820785739668324</v>
      </c>
      <c r="N191" s="37">
        <f t="shared" si="94"/>
        <v>6.5142857142857142</v>
      </c>
      <c r="O191" s="50">
        <f t="shared" si="95"/>
        <v>96.670142907908073</v>
      </c>
      <c r="P191" s="50">
        <f t="shared" si="96"/>
        <v>6</v>
      </c>
      <c r="Q191" s="8">
        <f t="shared" si="97"/>
        <v>8</v>
      </c>
      <c r="R191" s="48">
        <f t="shared" si="98"/>
        <v>4752</v>
      </c>
      <c r="S191" s="48">
        <f t="shared" si="99"/>
        <v>4039.2</v>
      </c>
      <c r="T191" s="48">
        <f t="shared" si="100"/>
        <v>1723.8000000000002</v>
      </c>
      <c r="U191" s="48">
        <f t="shared" si="101"/>
        <v>17410.38</v>
      </c>
      <c r="V191" s="48">
        <f t="shared" si="102"/>
        <v>300000</v>
      </c>
      <c r="W191" s="48">
        <f t="shared" si="103"/>
        <v>400000</v>
      </c>
      <c r="X191" s="48">
        <f t="shared" si="104"/>
        <v>475200</v>
      </c>
      <c r="Y191" s="48">
        <f t="shared" si="105"/>
        <v>1211831.4000000001</v>
      </c>
      <c r="Z191" s="48">
        <f t="shared" si="106"/>
        <v>2387031.4000000004</v>
      </c>
      <c r="AA191" s="37">
        <f t="shared" si="107"/>
        <v>7.6470588235294124E-2</v>
      </c>
      <c r="AB191" s="49">
        <f t="shared" si="108"/>
        <v>0.32752425044091699</v>
      </c>
      <c r="AC191" s="49">
        <f t="shared" si="109"/>
        <v>0.65504850088183397</v>
      </c>
      <c r="AD191" s="50">
        <f t="shared" si="110"/>
        <v>8.124133333333333</v>
      </c>
      <c r="AE191" s="8">
        <f t="shared" si="111"/>
        <v>0</v>
      </c>
      <c r="AF191" s="51">
        <f t="shared" si="112"/>
        <v>2387031.4000000004</v>
      </c>
      <c r="AG191" s="8">
        <f t="shared" si="114"/>
        <v>9.9999999999999997E+98</v>
      </c>
      <c r="AH191" s="8" t="str">
        <f t="shared" si="113"/>
        <v>footprint duplicate</v>
      </c>
      <c r="AI191" s="52">
        <f t="shared" si="115"/>
        <v>700000002387031.5</v>
      </c>
    </row>
    <row r="192" spans="1:35" ht="15" customHeight="1" x14ac:dyDescent="0.25">
      <c r="A192" s="8">
        <v>185</v>
      </c>
      <c r="B192" s="8">
        <f t="shared" si="118"/>
        <v>6</v>
      </c>
      <c r="C192" s="8">
        <v>5</v>
      </c>
      <c r="D192" s="49">
        <f t="shared" si="84"/>
        <v>0.57894736842105265</v>
      </c>
      <c r="E192" s="50">
        <f t="shared" si="85"/>
        <v>43.502597402597381</v>
      </c>
      <c r="F192" s="37">
        <f t="shared" si="86"/>
        <v>0.69960317460317434</v>
      </c>
      <c r="G192" s="8">
        <f t="shared" si="87"/>
        <v>2</v>
      </c>
      <c r="H192" s="8">
        <f t="shared" si="88"/>
        <v>82</v>
      </c>
      <c r="I192" s="50">
        <f t="shared" si="89"/>
        <v>82</v>
      </c>
      <c r="J192" s="50">
        <f t="shared" si="90"/>
        <v>16.900000000000002</v>
      </c>
      <c r="K192" s="50">
        <f t="shared" si="91"/>
        <v>10.75</v>
      </c>
      <c r="L192" s="50">
        <f t="shared" si="92"/>
        <v>20.5</v>
      </c>
      <c r="M192" s="37">
        <f t="shared" si="93"/>
        <v>11.03143034516234</v>
      </c>
      <c r="N192" s="37">
        <f t="shared" si="94"/>
        <v>6.5142857142857142</v>
      </c>
      <c r="O192" s="50">
        <f t="shared" si="95"/>
        <v>93.091432118896108</v>
      </c>
      <c r="P192" s="50">
        <f t="shared" si="96"/>
        <v>7</v>
      </c>
      <c r="Q192" s="8">
        <f t="shared" si="97"/>
        <v>9</v>
      </c>
      <c r="R192" s="48">
        <f t="shared" si="98"/>
        <v>4740</v>
      </c>
      <c r="S192" s="48">
        <f t="shared" si="99"/>
        <v>4029</v>
      </c>
      <c r="T192" s="48">
        <f t="shared" si="100"/>
        <v>1385.8000000000002</v>
      </c>
      <c r="U192" s="48">
        <f t="shared" si="101"/>
        <v>16976.050000000003</v>
      </c>
      <c r="V192" s="48">
        <f t="shared" si="102"/>
        <v>300000</v>
      </c>
      <c r="W192" s="48">
        <f t="shared" si="103"/>
        <v>450000</v>
      </c>
      <c r="X192" s="48">
        <f t="shared" si="104"/>
        <v>474000</v>
      </c>
      <c r="Y192" s="48">
        <f t="shared" si="105"/>
        <v>1063601.5000000002</v>
      </c>
      <c r="Z192" s="48">
        <f t="shared" si="106"/>
        <v>2287601.5</v>
      </c>
      <c r="AA192" s="37">
        <f t="shared" si="107"/>
        <v>9.512195121951221E-2</v>
      </c>
      <c r="AB192" s="49">
        <f t="shared" si="108"/>
        <v>0.34980158730158717</v>
      </c>
      <c r="AC192" s="49">
        <f t="shared" si="109"/>
        <v>0.69960317460317434</v>
      </c>
      <c r="AD192" s="50">
        <f t="shared" si="110"/>
        <v>10.064715789473683</v>
      </c>
      <c r="AE192" s="8">
        <f t="shared" si="111"/>
        <v>0</v>
      </c>
      <c r="AF192" s="51">
        <f t="shared" si="112"/>
        <v>2287601.5</v>
      </c>
      <c r="AG192" s="8">
        <f t="shared" si="114"/>
        <v>9.9999999999999997E+98</v>
      </c>
      <c r="AH192" s="8" t="str">
        <f t="shared" si="113"/>
        <v>footprint duplicate</v>
      </c>
      <c r="AI192" s="52">
        <f t="shared" si="115"/>
        <v>366666668954268.25</v>
      </c>
    </row>
    <row r="193" spans="1:35" ht="15" customHeight="1" x14ac:dyDescent="0.25">
      <c r="A193" s="8">
        <v>186</v>
      </c>
      <c r="B193" s="8">
        <f t="shared" si="118"/>
        <v>6</v>
      </c>
      <c r="C193" s="8">
        <v>6</v>
      </c>
      <c r="D193" s="49">
        <f t="shared" si="84"/>
        <v>0.60000000000000009</v>
      </c>
      <c r="E193" s="50">
        <f t="shared" si="85"/>
        <v>44.740476190476173</v>
      </c>
      <c r="F193" s="37">
        <f t="shared" si="86"/>
        <v>0.74567460317460299</v>
      </c>
      <c r="G193" s="8">
        <f t="shared" si="87"/>
        <v>2</v>
      </c>
      <c r="H193" s="8">
        <f t="shared" si="88"/>
        <v>69</v>
      </c>
      <c r="I193" s="50">
        <f t="shared" si="89"/>
        <v>69</v>
      </c>
      <c r="J193" s="50">
        <f t="shared" si="90"/>
        <v>16.900000000000002</v>
      </c>
      <c r="K193" s="50">
        <f t="shared" si="91"/>
        <v>12.899999999999999</v>
      </c>
      <c r="L193" s="50">
        <f t="shared" si="92"/>
        <v>17.25</v>
      </c>
      <c r="M193" s="37">
        <f t="shared" si="93"/>
        <v>9.8672174288264642</v>
      </c>
      <c r="N193" s="37">
        <f t="shared" si="94"/>
        <v>6.5142857142857142</v>
      </c>
      <c r="O193" s="50">
        <f t="shared" si="95"/>
        <v>90.763006286224353</v>
      </c>
      <c r="P193" s="50">
        <f t="shared" si="96"/>
        <v>8</v>
      </c>
      <c r="Q193" s="8">
        <f t="shared" si="97"/>
        <v>10</v>
      </c>
      <c r="R193" s="48">
        <f t="shared" si="98"/>
        <v>4752</v>
      </c>
      <c r="S193" s="48">
        <f t="shared" si="99"/>
        <v>4039.2</v>
      </c>
      <c r="T193" s="48">
        <f t="shared" si="100"/>
        <v>1166.1000000000001</v>
      </c>
      <c r="U193" s="48">
        <f t="shared" si="101"/>
        <v>16791.84</v>
      </c>
      <c r="V193" s="48">
        <f t="shared" si="102"/>
        <v>300000</v>
      </c>
      <c r="W193" s="48">
        <f t="shared" si="103"/>
        <v>500000</v>
      </c>
      <c r="X193" s="48">
        <f t="shared" si="104"/>
        <v>475200</v>
      </c>
      <c r="Y193" s="48">
        <f t="shared" si="105"/>
        <v>970195.20000000007</v>
      </c>
      <c r="Z193" s="48">
        <f t="shared" si="106"/>
        <v>2245395.2000000002</v>
      </c>
      <c r="AA193" s="37">
        <f t="shared" si="107"/>
        <v>0.11304347826086958</v>
      </c>
      <c r="AB193" s="49">
        <f t="shared" si="108"/>
        <v>0.3728373015873015</v>
      </c>
      <c r="AC193" s="49">
        <f t="shared" si="109"/>
        <v>0.74567460317460299</v>
      </c>
      <c r="AD193" s="50">
        <f t="shared" si="110"/>
        <v>12.373679999999997</v>
      </c>
      <c r="AE193" s="8">
        <f t="shared" si="111"/>
        <v>0</v>
      </c>
      <c r="AF193" s="51">
        <f t="shared" si="112"/>
        <v>2245395.2000000002</v>
      </c>
      <c r="AG193" s="8">
        <f t="shared" si="114"/>
        <v>9.9999999999999997E+98</v>
      </c>
      <c r="AH193" s="8" t="str">
        <f t="shared" si="113"/>
        <v>footprint duplicate</v>
      </c>
      <c r="AI193" s="52">
        <f t="shared" si="115"/>
        <v>150000002245395.16</v>
      </c>
    </row>
    <row r="194" spans="1:35" ht="15" customHeight="1" x14ac:dyDescent="0.25">
      <c r="A194" s="8">
        <v>187</v>
      </c>
      <c r="B194" s="8">
        <f t="shared" si="118"/>
        <v>6</v>
      </c>
      <c r="C194" s="8">
        <v>7</v>
      </c>
      <c r="D194" s="49">
        <f t="shared" si="84"/>
        <v>0.60000000000000009</v>
      </c>
      <c r="E194" s="50">
        <f t="shared" si="85"/>
        <v>44.919642857142833</v>
      </c>
      <c r="F194" s="37">
        <f t="shared" si="86"/>
        <v>0.7486607142857139</v>
      </c>
      <c r="G194" s="8">
        <f t="shared" si="87"/>
        <v>2</v>
      </c>
      <c r="H194" s="8">
        <f t="shared" si="88"/>
        <v>60</v>
      </c>
      <c r="I194" s="50">
        <f t="shared" si="89"/>
        <v>60</v>
      </c>
      <c r="J194" s="50">
        <f t="shared" si="90"/>
        <v>16.900000000000002</v>
      </c>
      <c r="K194" s="50">
        <f t="shared" si="91"/>
        <v>15.049999999999999</v>
      </c>
      <c r="L194" s="50">
        <f t="shared" si="92"/>
        <v>15</v>
      </c>
      <c r="M194" s="37">
        <f t="shared" si="93"/>
        <v>9.0603357574361478</v>
      </c>
      <c r="N194" s="37">
        <f t="shared" si="94"/>
        <v>6.5142857142857142</v>
      </c>
      <c r="O194" s="50">
        <f t="shared" si="95"/>
        <v>89.149242943443724</v>
      </c>
      <c r="P194" s="50">
        <f t="shared" si="96"/>
        <v>9</v>
      </c>
      <c r="Q194" s="8">
        <f t="shared" si="97"/>
        <v>11</v>
      </c>
      <c r="R194" s="48">
        <f t="shared" si="98"/>
        <v>4788</v>
      </c>
      <c r="S194" s="48">
        <f t="shared" si="99"/>
        <v>4069.7999999999997</v>
      </c>
      <c r="T194" s="48">
        <f t="shared" si="100"/>
        <v>1014.0000000000001</v>
      </c>
      <c r="U194" s="48">
        <f t="shared" si="101"/>
        <v>16781.7</v>
      </c>
      <c r="V194" s="48">
        <f t="shared" si="102"/>
        <v>300000</v>
      </c>
      <c r="W194" s="48">
        <f t="shared" si="103"/>
        <v>550000</v>
      </c>
      <c r="X194" s="48">
        <f t="shared" si="104"/>
        <v>478800</v>
      </c>
      <c r="Y194" s="48">
        <f t="shared" si="105"/>
        <v>909051</v>
      </c>
      <c r="Z194" s="48">
        <f t="shared" si="106"/>
        <v>2237851</v>
      </c>
      <c r="AA194" s="37">
        <f t="shared" si="107"/>
        <v>0.13</v>
      </c>
      <c r="AB194" s="49">
        <f t="shared" si="108"/>
        <v>0.37433035714285695</v>
      </c>
      <c r="AC194" s="49">
        <f t="shared" si="109"/>
        <v>0.7486607142857139</v>
      </c>
      <c r="AD194" s="50">
        <f t="shared" si="110"/>
        <v>12.654899999999998</v>
      </c>
      <c r="AE194" s="8">
        <f t="shared" si="111"/>
        <v>0</v>
      </c>
      <c r="AF194" s="51">
        <f t="shared" si="112"/>
        <v>2237851</v>
      </c>
      <c r="AG194" s="8">
        <f t="shared" si="114"/>
        <v>9.9999999999999997E+98</v>
      </c>
      <c r="AH194" s="8" t="str">
        <f t="shared" si="113"/>
        <v>duplicate</v>
      </c>
      <c r="AI194" s="52">
        <f t="shared" si="115"/>
        <v>2237851.0418478139</v>
      </c>
    </row>
    <row r="195" spans="1:35" ht="15" customHeight="1" x14ac:dyDescent="0.25">
      <c r="A195" s="8">
        <v>188</v>
      </c>
      <c r="B195" s="8">
        <f t="shared" si="118"/>
        <v>6</v>
      </c>
      <c r="C195" s="8">
        <v>8</v>
      </c>
      <c r="D195" s="49">
        <f t="shared" si="84"/>
        <v>0.60000000000000009</v>
      </c>
      <c r="E195" s="50">
        <f t="shared" si="85"/>
        <v>45.0988095238095</v>
      </c>
      <c r="F195" s="37">
        <f t="shared" si="86"/>
        <v>0.75164682539682504</v>
      </c>
      <c r="G195" s="8">
        <f t="shared" si="87"/>
        <v>2</v>
      </c>
      <c r="H195" s="8">
        <f t="shared" si="88"/>
        <v>53</v>
      </c>
      <c r="I195" s="50">
        <f t="shared" si="89"/>
        <v>53</v>
      </c>
      <c r="J195" s="50">
        <f t="shared" si="90"/>
        <v>16.900000000000002</v>
      </c>
      <c r="K195" s="50">
        <f t="shared" si="91"/>
        <v>17.2</v>
      </c>
      <c r="L195" s="50">
        <f t="shared" si="92"/>
        <v>13.25</v>
      </c>
      <c r="M195" s="37">
        <f t="shared" si="93"/>
        <v>8.4319838763428088</v>
      </c>
      <c r="N195" s="37">
        <f t="shared" si="94"/>
        <v>6.5142857142857142</v>
      </c>
      <c r="O195" s="50">
        <f t="shared" si="95"/>
        <v>87.89253918125705</v>
      </c>
      <c r="P195" s="50">
        <f t="shared" si="96"/>
        <v>10</v>
      </c>
      <c r="Q195" s="8">
        <f t="shared" si="97"/>
        <v>12</v>
      </c>
      <c r="R195" s="48">
        <f t="shared" si="98"/>
        <v>4800</v>
      </c>
      <c r="S195" s="48">
        <f t="shared" si="99"/>
        <v>4080</v>
      </c>
      <c r="T195" s="48">
        <f t="shared" si="100"/>
        <v>895.70000000000016</v>
      </c>
      <c r="U195" s="48">
        <f t="shared" si="101"/>
        <v>16749.590000000004</v>
      </c>
      <c r="V195" s="48">
        <f t="shared" si="102"/>
        <v>300000</v>
      </c>
      <c r="W195" s="48">
        <f t="shared" si="103"/>
        <v>600000</v>
      </c>
      <c r="X195" s="48">
        <f t="shared" si="104"/>
        <v>480000</v>
      </c>
      <c r="Y195" s="48">
        <f t="shared" si="105"/>
        <v>860767.70000000019</v>
      </c>
      <c r="Z195" s="48">
        <f t="shared" si="106"/>
        <v>2240767.7000000002</v>
      </c>
      <c r="AA195" s="37">
        <f t="shared" si="107"/>
        <v>0.14716981132075474</v>
      </c>
      <c r="AB195" s="49">
        <f t="shared" si="108"/>
        <v>0.37582341269841252</v>
      </c>
      <c r="AC195" s="49">
        <f t="shared" si="109"/>
        <v>0.75164682539682504</v>
      </c>
      <c r="AD195" s="50">
        <f t="shared" si="110"/>
        <v>12.936119999999995</v>
      </c>
      <c r="AE195" s="8">
        <f t="shared" si="111"/>
        <v>0</v>
      </c>
      <c r="AF195" s="51">
        <f t="shared" si="112"/>
        <v>2240767.7000000002</v>
      </c>
      <c r="AG195" s="8">
        <f t="shared" si="114"/>
        <v>9.9999999999999997E+98</v>
      </c>
      <c r="AH195" s="8" t="str">
        <f t="shared" si="113"/>
        <v>duplicate</v>
      </c>
      <c r="AI195" s="52">
        <f t="shared" si="115"/>
        <v>2240767.7421264332</v>
      </c>
    </row>
    <row r="196" spans="1:35" ht="15" customHeight="1" x14ac:dyDescent="0.25">
      <c r="A196" s="8">
        <v>189</v>
      </c>
      <c r="B196" s="8">
        <f t="shared" si="118"/>
        <v>6</v>
      </c>
      <c r="C196" s="8">
        <v>9</v>
      </c>
      <c r="D196" s="49">
        <f t="shared" si="84"/>
        <v>0.6</v>
      </c>
      <c r="E196" s="50">
        <f t="shared" si="85"/>
        <v>45.277976190476181</v>
      </c>
      <c r="F196" s="37">
        <f t="shared" si="86"/>
        <v>0.75463293650793628</v>
      </c>
      <c r="G196" s="8">
        <f t="shared" si="87"/>
        <v>2</v>
      </c>
      <c r="H196" s="8">
        <f t="shared" si="88"/>
        <v>47</v>
      </c>
      <c r="I196" s="50">
        <f t="shared" si="89"/>
        <v>47</v>
      </c>
      <c r="J196" s="50">
        <f t="shared" si="90"/>
        <v>16.900000000000002</v>
      </c>
      <c r="K196" s="50">
        <f t="shared" si="91"/>
        <v>19.349999999999998</v>
      </c>
      <c r="L196" s="50">
        <f t="shared" si="92"/>
        <v>11.75</v>
      </c>
      <c r="M196" s="37">
        <f t="shared" si="93"/>
        <v>7.8926018787938661</v>
      </c>
      <c r="N196" s="37">
        <f t="shared" si="94"/>
        <v>6.5142857142857142</v>
      </c>
      <c r="O196" s="50">
        <f t="shared" si="95"/>
        <v>86.813775186159162</v>
      </c>
      <c r="P196" s="50">
        <f t="shared" si="96"/>
        <v>11</v>
      </c>
      <c r="Q196" s="8">
        <f t="shared" si="97"/>
        <v>13</v>
      </c>
      <c r="R196" s="48">
        <f t="shared" si="98"/>
        <v>4752</v>
      </c>
      <c r="S196" s="48">
        <f t="shared" si="99"/>
        <v>4039.2</v>
      </c>
      <c r="T196" s="48">
        <f t="shared" si="100"/>
        <v>794.30000000000007</v>
      </c>
      <c r="U196" s="48">
        <f t="shared" si="101"/>
        <v>16561.154999999999</v>
      </c>
      <c r="V196" s="48">
        <f t="shared" si="102"/>
        <v>300000</v>
      </c>
      <c r="W196" s="48">
        <f t="shared" si="103"/>
        <v>650000</v>
      </c>
      <c r="X196" s="48">
        <f t="shared" si="104"/>
        <v>475200</v>
      </c>
      <c r="Y196" s="48">
        <f t="shared" si="105"/>
        <v>814554.64999999991</v>
      </c>
      <c r="Z196" s="48">
        <f t="shared" si="106"/>
        <v>2239754.65</v>
      </c>
      <c r="AA196" s="37">
        <f t="shared" si="107"/>
        <v>0.16595744680851066</v>
      </c>
      <c r="AB196" s="49">
        <f t="shared" si="108"/>
        <v>0.37731646825396814</v>
      </c>
      <c r="AC196" s="49">
        <f t="shared" si="109"/>
        <v>0.75463293650793628</v>
      </c>
      <c r="AD196" s="50">
        <f t="shared" si="110"/>
        <v>13.217339999999998</v>
      </c>
      <c r="AE196" s="8">
        <f t="shared" si="111"/>
        <v>0</v>
      </c>
      <c r="AF196" s="51">
        <f t="shared" si="112"/>
        <v>2239754.65</v>
      </c>
      <c r="AG196" s="8">
        <f t="shared" si="114"/>
        <v>9.9999999999999997E+98</v>
      </c>
      <c r="AH196" s="8" t="str">
        <f t="shared" si="113"/>
        <v>duplicate</v>
      </c>
      <c r="AI196" s="52">
        <f t="shared" si="115"/>
        <v>2239754.692331363</v>
      </c>
    </row>
    <row r="197" spans="1:35" ht="15" customHeight="1" x14ac:dyDescent="0.25">
      <c r="A197" s="8">
        <v>190</v>
      </c>
      <c r="B197" s="8">
        <f t="shared" si="118"/>
        <v>6</v>
      </c>
      <c r="C197" s="8">
        <v>10</v>
      </c>
      <c r="D197" s="49">
        <f t="shared" si="84"/>
        <v>0.60000000000000009</v>
      </c>
      <c r="E197" s="50">
        <f t="shared" si="85"/>
        <v>45.457142857142834</v>
      </c>
      <c r="F197" s="37">
        <f t="shared" si="86"/>
        <v>0.7576190476190473</v>
      </c>
      <c r="G197" s="8">
        <f t="shared" si="87"/>
        <v>2</v>
      </c>
      <c r="H197" s="8">
        <f t="shared" si="88"/>
        <v>43</v>
      </c>
      <c r="I197" s="50">
        <f t="shared" si="89"/>
        <v>43</v>
      </c>
      <c r="J197" s="50">
        <f t="shared" si="90"/>
        <v>16.900000000000002</v>
      </c>
      <c r="K197" s="50">
        <f t="shared" si="91"/>
        <v>21.5</v>
      </c>
      <c r="L197" s="50">
        <f t="shared" si="92"/>
        <v>10.75</v>
      </c>
      <c r="M197" s="37">
        <f t="shared" si="93"/>
        <v>7.5324452429341591</v>
      </c>
      <c r="N197" s="37">
        <f t="shared" si="94"/>
        <v>6.5142857142857142</v>
      </c>
      <c r="O197" s="50">
        <f t="shared" si="95"/>
        <v>86.093461914439743</v>
      </c>
      <c r="P197" s="50">
        <f t="shared" si="96"/>
        <v>12</v>
      </c>
      <c r="Q197" s="8">
        <f t="shared" si="97"/>
        <v>14</v>
      </c>
      <c r="R197" s="48">
        <f t="shared" si="98"/>
        <v>4800</v>
      </c>
      <c r="S197" s="48">
        <f t="shared" si="99"/>
        <v>4080</v>
      </c>
      <c r="T197" s="48">
        <f t="shared" si="100"/>
        <v>726.7</v>
      </c>
      <c r="U197" s="48">
        <f t="shared" si="101"/>
        <v>16714.100000000002</v>
      </c>
      <c r="V197" s="48">
        <f t="shared" si="102"/>
        <v>300000</v>
      </c>
      <c r="W197" s="48">
        <f t="shared" si="103"/>
        <v>700000</v>
      </c>
      <c r="X197" s="48">
        <f t="shared" si="104"/>
        <v>480000</v>
      </c>
      <c r="Y197" s="48">
        <f t="shared" si="105"/>
        <v>792103</v>
      </c>
      <c r="Z197" s="48">
        <f t="shared" si="106"/>
        <v>2272103</v>
      </c>
      <c r="AA197" s="37">
        <f t="shared" si="107"/>
        <v>0.18139534883720931</v>
      </c>
      <c r="AB197" s="49">
        <f t="shared" si="108"/>
        <v>0.37880952380952365</v>
      </c>
      <c r="AC197" s="49">
        <f t="shared" si="109"/>
        <v>0.7576190476190473</v>
      </c>
      <c r="AD197" s="50">
        <f t="shared" si="110"/>
        <v>13.498559999999996</v>
      </c>
      <c r="AE197" s="8">
        <f t="shared" si="111"/>
        <v>0</v>
      </c>
      <c r="AF197" s="51">
        <f t="shared" si="112"/>
        <v>2272103</v>
      </c>
      <c r="AG197" s="8">
        <f t="shared" si="114"/>
        <v>9.9999999999999997E+98</v>
      </c>
      <c r="AH197" s="8" t="str">
        <f t="shared" si="113"/>
        <v>height duplicate</v>
      </c>
      <c r="AI197" s="52">
        <f t="shared" si="115"/>
        <v>75000002272103</v>
      </c>
    </row>
    <row r="198" spans="1:35" ht="15" customHeight="1" x14ac:dyDescent="0.25">
      <c r="A198" s="8">
        <v>191</v>
      </c>
      <c r="B198" s="8">
        <f t="shared" si="118"/>
        <v>6</v>
      </c>
      <c r="C198" s="8">
        <v>11</v>
      </c>
      <c r="D198" s="49">
        <f t="shared" si="84"/>
        <v>0.6</v>
      </c>
      <c r="E198" s="50">
        <f t="shared" si="85"/>
        <v>45.636309523809516</v>
      </c>
      <c r="F198" s="37">
        <f t="shared" si="86"/>
        <v>0.76060515873015866</v>
      </c>
      <c r="G198" s="8">
        <f t="shared" si="87"/>
        <v>2</v>
      </c>
      <c r="H198" s="8">
        <f t="shared" si="88"/>
        <v>39</v>
      </c>
      <c r="I198" s="50">
        <f t="shared" si="89"/>
        <v>39</v>
      </c>
      <c r="J198" s="50">
        <f t="shared" si="90"/>
        <v>16.900000000000002</v>
      </c>
      <c r="K198" s="50">
        <f t="shared" si="91"/>
        <v>23.65</v>
      </c>
      <c r="L198" s="50">
        <f t="shared" si="92"/>
        <v>9.75</v>
      </c>
      <c r="M198" s="37">
        <f t="shared" si="93"/>
        <v>7.171670396055613</v>
      </c>
      <c r="N198" s="37">
        <f t="shared" si="94"/>
        <v>6.5142857142857142</v>
      </c>
      <c r="O198" s="50">
        <f t="shared" si="95"/>
        <v>85.371912220682646</v>
      </c>
      <c r="P198" s="50">
        <f t="shared" si="96"/>
        <v>13</v>
      </c>
      <c r="Q198" s="8">
        <f t="shared" si="97"/>
        <v>15</v>
      </c>
      <c r="R198" s="48">
        <f t="shared" si="98"/>
        <v>4752</v>
      </c>
      <c r="S198" s="48">
        <f t="shared" si="99"/>
        <v>4039.2</v>
      </c>
      <c r="T198" s="48">
        <f t="shared" si="100"/>
        <v>659.10000000000014</v>
      </c>
      <c r="U198" s="48">
        <f t="shared" si="101"/>
        <v>16576.365000000002</v>
      </c>
      <c r="V198" s="48">
        <f t="shared" si="102"/>
        <v>300000</v>
      </c>
      <c r="W198" s="48">
        <f t="shared" si="103"/>
        <v>750000</v>
      </c>
      <c r="X198" s="48">
        <f t="shared" si="104"/>
        <v>475200</v>
      </c>
      <c r="Y198" s="48">
        <f t="shared" si="105"/>
        <v>760930.95000000019</v>
      </c>
      <c r="Z198" s="48">
        <f t="shared" si="106"/>
        <v>2286130.9500000002</v>
      </c>
      <c r="AA198" s="37">
        <f t="shared" si="107"/>
        <v>0.2</v>
      </c>
      <c r="AB198" s="49">
        <f t="shared" si="108"/>
        <v>0.38030257936507933</v>
      </c>
      <c r="AC198" s="49">
        <f t="shared" si="109"/>
        <v>0.76060515873015866</v>
      </c>
      <c r="AD198" s="50">
        <f t="shared" si="110"/>
        <v>13.779779999999999</v>
      </c>
      <c r="AE198" s="8">
        <f t="shared" si="111"/>
        <v>0</v>
      </c>
      <c r="AF198" s="51">
        <f t="shared" si="112"/>
        <v>2286130.9500000002</v>
      </c>
      <c r="AG198" s="8">
        <f t="shared" si="114"/>
        <v>9.9999999999999997E+98</v>
      </c>
      <c r="AH198" s="8" t="str">
        <f t="shared" si="113"/>
        <v>height duplicate</v>
      </c>
      <c r="AI198" s="52">
        <f t="shared" si="115"/>
        <v>182500002286130.88</v>
      </c>
    </row>
    <row r="199" spans="1:35" ht="15" customHeight="1" x14ac:dyDescent="0.25">
      <c r="A199" s="8">
        <v>192</v>
      </c>
      <c r="B199" s="8">
        <f t="shared" si="118"/>
        <v>6</v>
      </c>
      <c r="C199" s="8">
        <v>12</v>
      </c>
      <c r="D199" s="49">
        <f t="shared" ref="D199:D262" si="119">INDEX(Tc_pl,C199)</f>
        <v>0.6</v>
      </c>
      <c r="E199" s="50">
        <f t="shared" ref="E199:E227" si="120">INDEX(Tc_S,C199)</f>
        <v>45.815476190476183</v>
      </c>
      <c r="F199" s="37">
        <f t="shared" ref="F199:F262" si="121">lam_total*D199*E199/3600</f>
        <v>0.76359126984126979</v>
      </c>
      <c r="G199" s="8">
        <f t="shared" ref="G199:G262" si="122">IF(F199&lt;=0.000000000001,0,MAX(ROUNDUP(F199/rho_max-0.000000001,0),IF(redund="Yes",ROUNDUP(F199/rho_fail-0.000000001,0)+1,0)))</f>
        <v>2</v>
      </c>
      <c r="H199" s="8">
        <f t="shared" ref="H199:H262" si="123">MAX(1,ROUNDUP((P_req/(B199*C199)+G199*lpl)/2-0.000000001,0))</f>
        <v>36</v>
      </c>
      <c r="I199" s="50">
        <f t="shared" ref="I199:I262" si="124">H199*u_w</f>
        <v>36</v>
      </c>
      <c r="J199" s="50">
        <f t="shared" ref="J199:J227" si="125">2*B199*u_d+aisle_w</f>
        <v>16.900000000000002</v>
      </c>
      <c r="K199" s="50">
        <f t="shared" ref="K199:K227" si="126">C199*u_h</f>
        <v>25.799999999999997</v>
      </c>
      <c r="L199" s="50">
        <f t="shared" ref="L199:L227" si="127">IF(G199=0,I199,I199/(2*G199))</f>
        <v>9</v>
      </c>
      <c r="M199" s="37">
        <f t="shared" ref="M199:M262" si="128">((IF((lane_off+(L199))&lt;=(v_sh^2/a_sh),(4/3)*(lane_off+(L199))^1.5/SQRT(a_sh),(4/3)*(v_sh^2/a_sh)^1.5/SQRT(a_sh)+((lane_off+(L199))^2-(v_sh^2/a_sh)^2)/(2*v_sh)+(v_sh/a_sh)*((lane_off+(L199))-(v_sh^2/a_sh))))-(IF((lane_off)&lt;=(v_sh^2/a_sh),(4/3)*(lane_off)^1.5/SQRT(a_sh),(4/3)*(v_sh^2/a_sh)^1.5/SQRT(a_sh)+((lane_off)^2-(v_sh^2/a_sh)^2)/(2*v_sh)+(v_sh/a_sh)*((lane_off)-(v_sh^2/a_sh)))))/(L199)</f>
        <v>6.9005595957269135</v>
      </c>
      <c r="N199" s="37">
        <f t="shared" ref="N199:N227" si="129">IF(((B199-1)*u_d/2*(1+f_hc)+lane_off)&lt;=0,0,IF(((B199-1)*u_d/2*(1+f_hc)+lane_off)&gt;=v_sh^2/a_sh,((B199-1)*u_d/2*(1+f_hc)+lane_off)/v_sh+v_sh/a_sh,2*SQRT(((B199-1)*u_d/2*(1+f_hc)+lane_off)/a_sh)))</f>
        <v>6.5142857142857142</v>
      </c>
      <c r="O199" s="50">
        <f t="shared" ref="O199:O262" si="130">2*t_sh+2*t_turn+2*M199+2*N199</f>
        <v>84.829690620025247</v>
      </c>
      <c r="P199" s="50">
        <f t="shared" ref="P199:P262" si="131">SUMPRODUCT((Tc_idx&lt;=C199)*(ROUNDUP(lam_total*INDEX(Tc_P,C199,0)*O199/(3600*rho_max)-0.000000001,0)+(ROUNDUP(lam_total*INDEX(Tc_P,C199,0)*O199/(3600*rho_max)-0.000000001,0)&lt;min_sh)*(min_sh-ROUNDUP(lam_total*INDEX(Tc_P,C199,0)*O199/(3600*rho_max)-0.000000001,0))))</f>
        <v>14</v>
      </c>
      <c r="Q199" s="8">
        <f t="shared" ref="Q199:Q262" si="132">ROUNDUP(P199-0.000000001,0)+spares</f>
        <v>16</v>
      </c>
      <c r="R199" s="48">
        <f t="shared" ref="R199:R227" si="133">B199*C199*(2*H199-G199*lpl)</f>
        <v>4752</v>
      </c>
      <c r="S199" s="48">
        <f t="shared" ref="S199:S262" si="134">R199*fill</f>
        <v>4039.2</v>
      </c>
      <c r="T199" s="48">
        <f t="shared" ref="T199:T227" si="135">I199*J199</f>
        <v>608.40000000000009</v>
      </c>
      <c r="U199" s="48">
        <f t="shared" ref="U199:U262" si="136">T199*(K199+headroom)</f>
        <v>16609.32</v>
      </c>
      <c r="V199" s="48">
        <f t="shared" ref="V199:V227" si="137">G199*c_lift</f>
        <v>300000</v>
      </c>
      <c r="W199" s="48">
        <f t="shared" ref="W199:W227" si="138">Q199*c_shut</f>
        <v>800000</v>
      </c>
      <c r="X199" s="48">
        <f t="shared" ref="X199:X227" si="139">R199*c_pos</f>
        <v>475200</v>
      </c>
      <c r="Y199" s="48">
        <f t="shared" ref="Y199:Y227" si="140">T199*c_m2+U199*c_m3</f>
        <v>741639.6</v>
      </c>
      <c r="Z199" s="48">
        <f t="shared" ref="Z199:Z262" si="141">SUM(V199:Y199)</f>
        <v>2316839.6</v>
      </c>
      <c r="AA199" s="37">
        <f t="shared" ref="AA199:AA227" si="142">B199*u_d/(H199*u_w)</f>
        <v>0.21666666666666667</v>
      </c>
      <c r="AB199" s="49">
        <f t="shared" ref="AB199:AB227" si="143">IF(G199=0,0,F199/G199)</f>
        <v>0.3817956349206349</v>
      </c>
      <c r="AC199" s="49">
        <f t="shared" ref="AC199:AC227" si="144">IF(G199&gt;1,F199/(G199-1),"n/a")</f>
        <v>0.76359126984126979</v>
      </c>
      <c r="AD199" s="50">
        <f t="shared" ref="AD199:AD227" si="145">moves_day*m_pallet*9.81*INDEX(Tc_mh,C199)/3600000</f>
        <v>14.060999999999998</v>
      </c>
      <c r="AE199" s="8">
        <f t="shared" ref="AE199:AE227" si="146">IF(AND(K199&lt;=H_max,H199&lt;=300,G199&lt;=6,NOT(AND(env_use="Yes",NOT(OR(AND(I199&lt;=L_bldg,J199&lt;=W_bldg),AND(I199&lt;=W_bldg,J199&lt;=L_bldg))))),OR(lane_policy="Free (optimize N_C)",AND(B199=sku_pal,A199&lt;=20))),1,0)</f>
        <v>0</v>
      </c>
      <c r="AF199" s="51">
        <f t="shared" ref="AF199:AF227" si="147">IF(obj_mode="Total cost",Z199,IF(obj_mode="Shuttle cycle",O199,T199))</f>
        <v>2316839.6</v>
      </c>
      <c r="AG199" s="8">
        <f t="shared" si="114"/>
        <v>9.9999999999999997E+98</v>
      </c>
      <c r="AH199" s="8" t="str">
        <f t="shared" ref="AH199:AH227" si="148">IF(AE199=1,"",TRIM(IF(K199&gt;H_max,"height ","")&amp;IF(AND(env_use="Yes",NOT(OR(AND(I199&lt;=L_bldg,J199&lt;=W_bldg),AND(I199&lt;=W_bldg,J199&lt;=L_bldg)))),"footprint ","")&amp;IF(H199&gt;300,"lanes&gt;300 ","")&amp;IF(G199&gt;6,"lifts&gt;6 ","")&amp;IF(AND(lane_policy&lt;&gt;"Free (optimize N_C)",B199&lt;&gt;sku_pal),"lane policy ","")&amp;IF(AND(lane_policy&lt;&gt;"Free (optimize N_C)",B199=sku_pal,A199&gt;20),"duplicate","")))</f>
        <v>height duplicate</v>
      </c>
      <c r="AI199" s="52">
        <f t="shared" si="115"/>
        <v>290000002316839.44</v>
      </c>
    </row>
    <row r="200" spans="1:35" ht="15" customHeight="1" x14ac:dyDescent="0.25">
      <c r="A200" s="8">
        <v>193</v>
      </c>
      <c r="B200" s="8">
        <f t="shared" si="118"/>
        <v>6</v>
      </c>
      <c r="C200" s="8">
        <v>13</v>
      </c>
      <c r="D200" s="49">
        <f t="shared" si="119"/>
        <v>0.6</v>
      </c>
      <c r="E200" s="50">
        <f t="shared" si="120"/>
        <v>45.99464285714285</v>
      </c>
      <c r="F200" s="37">
        <f t="shared" si="121"/>
        <v>0.76657738095238082</v>
      </c>
      <c r="G200" s="8">
        <f t="shared" si="122"/>
        <v>2</v>
      </c>
      <c r="H200" s="8">
        <f t="shared" si="123"/>
        <v>34</v>
      </c>
      <c r="I200" s="50">
        <f t="shared" si="124"/>
        <v>34</v>
      </c>
      <c r="J200" s="50">
        <f t="shared" si="125"/>
        <v>16.900000000000002</v>
      </c>
      <c r="K200" s="50">
        <f t="shared" si="126"/>
        <v>27.95</v>
      </c>
      <c r="L200" s="50">
        <f t="shared" si="127"/>
        <v>8.5</v>
      </c>
      <c r="M200" s="37">
        <f t="shared" si="128"/>
        <v>6.7195000761478241</v>
      </c>
      <c r="N200" s="37">
        <f t="shared" si="129"/>
        <v>6.5142857142857142</v>
      </c>
      <c r="O200" s="50">
        <f t="shared" si="130"/>
        <v>84.467571580867073</v>
      </c>
      <c r="P200" s="50">
        <f t="shared" si="131"/>
        <v>15</v>
      </c>
      <c r="Q200" s="8">
        <f t="shared" si="132"/>
        <v>17</v>
      </c>
      <c r="R200" s="48">
        <f t="shared" si="133"/>
        <v>4836</v>
      </c>
      <c r="S200" s="48">
        <f t="shared" si="134"/>
        <v>4110.5999999999995</v>
      </c>
      <c r="T200" s="48">
        <f t="shared" si="135"/>
        <v>574.6</v>
      </c>
      <c r="U200" s="48">
        <f t="shared" si="136"/>
        <v>16921.97</v>
      </c>
      <c r="V200" s="48">
        <f t="shared" si="137"/>
        <v>300000</v>
      </c>
      <c r="W200" s="48">
        <f t="shared" si="138"/>
        <v>850000</v>
      </c>
      <c r="X200" s="48">
        <f t="shared" si="139"/>
        <v>483600</v>
      </c>
      <c r="Y200" s="48">
        <f t="shared" si="140"/>
        <v>737499.10000000009</v>
      </c>
      <c r="Z200" s="48">
        <f t="shared" si="141"/>
        <v>2371099.1</v>
      </c>
      <c r="AA200" s="37">
        <f t="shared" si="142"/>
        <v>0.22941176470588237</v>
      </c>
      <c r="AB200" s="49">
        <f t="shared" si="143"/>
        <v>0.38328869047619041</v>
      </c>
      <c r="AC200" s="49">
        <f t="shared" si="144"/>
        <v>0.76657738095238082</v>
      </c>
      <c r="AD200" s="50">
        <f t="shared" si="145"/>
        <v>14.342219999999999</v>
      </c>
      <c r="AE200" s="8">
        <f t="shared" si="146"/>
        <v>0</v>
      </c>
      <c r="AF200" s="51">
        <f t="shared" si="147"/>
        <v>2371099.1</v>
      </c>
      <c r="AG200" s="8">
        <f t="shared" ref="AG200:AG263" si="149">IF(AE200=1,AF200*(1+A200*0.0000000001),1E+99)</f>
        <v>9.9999999999999997E+98</v>
      </c>
      <c r="AH200" s="8" t="str">
        <f t="shared" si="148"/>
        <v>height duplicate</v>
      </c>
      <c r="AI200" s="52">
        <f t="shared" ref="AI200:AI227" si="150">(MAX(0,K200/H_max-1)+IF(env_use="Yes",MIN(MAX(0,I200/L_bldg-1)+MAX(0,J200/W_bldg-1),MAX(0,I200/W_bldg-1)+MAX(0,J200/L_bldg-1)),0)+MAX(0,H200/300-1)+MAX(0,G200/6-1)+IF(AND(lane_policy&lt;&gt;"Free (optimize N_C)",B200&lt;&gt;sku_pal),1000,0))*1000000000000000+AF200*(1+A200*0.0000000001)</f>
        <v>397500002371099.06</v>
      </c>
    </row>
    <row r="201" spans="1:35" ht="15" customHeight="1" x14ac:dyDescent="0.25">
      <c r="A201" s="8">
        <v>194</v>
      </c>
      <c r="B201" s="8">
        <f t="shared" si="118"/>
        <v>6</v>
      </c>
      <c r="C201" s="8">
        <v>14</v>
      </c>
      <c r="D201" s="49">
        <f t="shared" si="119"/>
        <v>0.6</v>
      </c>
      <c r="E201" s="50">
        <f t="shared" si="120"/>
        <v>46.173809523809517</v>
      </c>
      <c r="F201" s="37">
        <f t="shared" si="121"/>
        <v>0.76956349206349195</v>
      </c>
      <c r="G201" s="8">
        <f t="shared" si="122"/>
        <v>2</v>
      </c>
      <c r="H201" s="8">
        <f t="shared" si="123"/>
        <v>32</v>
      </c>
      <c r="I201" s="50">
        <f t="shared" si="124"/>
        <v>32</v>
      </c>
      <c r="J201" s="50">
        <f t="shared" si="125"/>
        <v>16.900000000000002</v>
      </c>
      <c r="K201" s="50">
        <f t="shared" si="126"/>
        <v>30.099999999999998</v>
      </c>
      <c r="L201" s="50">
        <f t="shared" si="127"/>
        <v>8</v>
      </c>
      <c r="M201" s="37">
        <f t="shared" si="128"/>
        <v>6.5381295451927768</v>
      </c>
      <c r="N201" s="37">
        <f t="shared" si="129"/>
        <v>6.5142857142857142</v>
      </c>
      <c r="O201" s="50">
        <f t="shared" si="130"/>
        <v>84.104830518956973</v>
      </c>
      <c r="P201" s="50">
        <f t="shared" si="131"/>
        <v>16</v>
      </c>
      <c r="Q201" s="8">
        <f t="shared" si="132"/>
        <v>18</v>
      </c>
      <c r="R201" s="48">
        <f t="shared" si="133"/>
        <v>4872</v>
      </c>
      <c r="S201" s="48">
        <f t="shared" si="134"/>
        <v>4141.2</v>
      </c>
      <c r="T201" s="48">
        <f t="shared" si="135"/>
        <v>540.80000000000007</v>
      </c>
      <c r="U201" s="48">
        <f t="shared" si="136"/>
        <v>17089.280000000002</v>
      </c>
      <c r="V201" s="48">
        <f t="shared" si="137"/>
        <v>300000</v>
      </c>
      <c r="W201" s="48">
        <f t="shared" si="138"/>
        <v>900000</v>
      </c>
      <c r="X201" s="48">
        <f t="shared" si="139"/>
        <v>487200</v>
      </c>
      <c r="Y201" s="48">
        <f t="shared" si="140"/>
        <v>728998.40000000014</v>
      </c>
      <c r="Z201" s="48">
        <f t="shared" si="141"/>
        <v>2416198.4000000004</v>
      </c>
      <c r="AA201" s="37">
        <f t="shared" si="142"/>
        <v>0.24375000000000002</v>
      </c>
      <c r="AB201" s="49">
        <f t="shared" si="143"/>
        <v>0.38478174603174597</v>
      </c>
      <c r="AC201" s="49">
        <f t="shared" si="144"/>
        <v>0.76956349206349195</v>
      </c>
      <c r="AD201" s="50">
        <f t="shared" si="145"/>
        <v>14.623439999999999</v>
      </c>
      <c r="AE201" s="8">
        <f t="shared" si="146"/>
        <v>0</v>
      </c>
      <c r="AF201" s="51">
        <f t="shared" si="147"/>
        <v>2416198.4000000004</v>
      </c>
      <c r="AG201" s="8">
        <f t="shared" si="149"/>
        <v>9.9999999999999997E+98</v>
      </c>
      <c r="AH201" s="8" t="str">
        <f t="shared" si="148"/>
        <v>height duplicate</v>
      </c>
      <c r="AI201" s="52">
        <f t="shared" si="150"/>
        <v>505000002416198.31</v>
      </c>
    </row>
    <row r="202" spans="1:35" ht="15" customHeight="1" x14ac:dyDescent="0.25">
      <c r="A202" s="8">
        <v>195</v>
      </c>
      <c r="B202" s="8">
        <f t="shared" si="118"/>
        <v>6</v>
      </c>
      <c r="C202" s="8">
        <v>15</v>
      </c>
      <c r="D202" s="49">
        <f t="shared" si="119"/>
        <v>0.60000000000000009</v>
      </c>
      <c r="E202" s="50">
        <f t="shared" si="120"/>
        <v>46.352976190476163</v>
      </c>
      <c r="F202" s="37">
        <f t="shared" si="121"/>
        <v>0.77254960317460286</v>
      </c>
      <c r="G202" s="8">
        <f t="shared" si="122"/>
        <v>2</v>
      </c>
      <c r="H202" s="8">
        <f t="shared" si="123"/>
        <v>30</v>
      </c>
      <c r="I202" s="50">
        <f t="shared" si="124"/>
        <v>30</v>
      </c>
      <c r="J202" s="50">
        <f t="shared" si="125"/>
        <v>16.900000000000002</v>
      </c>
      <c r="K202" s="50">
        <f t="shared" si="126"/>
        <v>32.25</v>
      </c>
      <c r="L202" s="50">
        <f t="shared" si="127"/>
        <v>7.5</v>
      </c>
      <c r="M202" s="37">
        <f t="shared" si="128"/>
        <v>6.3563858005865805</v>
      </c>
      <c r="N202" s="37">
        <f t="shared" si="129"/>
        <v>6.5142857142857142</v>
      </c>
      <c r="O202" s="50">
        <f t="shared" si="130"/>
        <v>83.741343029744584</v>
      </c>
      <c r="P202" s="50">
        <f t="shared" si="131"/>
        <v>17</v>
      </c>
      <c r="Q202" s="8">
        <f t="shared" si="132"/>
        <v>19</v>
      </c>
      <c r="R202" s="48">
        <f t="shared" si="133"/>
        <v>4860</v>
      </c>
      <c r="S202" s="48">
        <f t="shared" si="134"/>
        <v>4131</v>
      </c>
      <c r="T202" s="48">
        <f t="shared" si="135"/>
        <v>507.00000000000006</v>
      </c>
      <c r="U202" s="48">
        <f t="shared" si="136"/>
        <v>17111.250000000004</v>
      </c>
      <c r="V202" s="48">
        <f t="shared" si="137"/>
        <v>300000</v>
      </c>
      <c r="W202" s="48">
        <f t="shared" si="138"/>
        <v>950000</v>
      </c>
      <c r="X202" s="48">
        <f t="shared" si="139"/>
        <v>486000</v>
      </c>
      <c r="Y202" s="48">
        <f t="shared" si="140"/>
        <v>716137.50000000012</v>
      </c>
      <c r="Z202" s="48">
        <f t="shared" si="141"/>
        <v>2452137.5</v>
      </c>
      <c r="AA202" s="37">
        <f t="shared" si="142"/>
        <v>0.26</v>
      </c>
      <c r="AB202" s="49">
        <f t="shared" si="143"/>
        <v>0.38627480158730143</v>
      </c>
      <c r="AC202" s="49">
        <f t="shared" si="144"/>
        <v>0.77254960317460286</v>
      </c>
      <c r="AD202" s="50">
        <f t="shared" si="145"/>
        <v>14.904659999999998</v>
      </c>
      <c r="AE202" s="8">
        <f t="shared" si="146"/>
        <v>0</v>
      </c>
      <c r="AF202" s="51">
        <f t="shared" si="147"/>
        <v>2452137.5</v>
      </c>
      <c r="AG202" s="8">
        <f t="shared" si="149"/>
        <v>9.9999999999999997E+98</v>
      </c>
      <c r="AH202" s="8" t="str">
        <f t="shared" si="148"/>
        <v>height duplicate</v>
      </c>
      <c r="AI202" s="52">
        <f t="shared" si="150"/>
        <v>612500002452137.5</v>
      </c>
    </row>
    <row r="203" spans="1:35" ht="15" customHeight="1" x14ac:dyDescent="0.25">
      <c r="A203" s="8">
        <v>196</v>
      </c>
      <c r="B203" s="8">
        <f t="shared" si="118"/>
        <v>6</v>
      </c>
      <c r="C203" s="8">
        <v>16</v>
      </c>
      <c r="D203" s="49">
        <f t="shared" si="119"/>
        <v>0.59999999999999987</v>
      </c>
      <c r="E203" s="50">
        <f t="shared" si="120"/>
        <v>46.532142857142851</v>
      </c>
      <c r="F203" s="37">
        <f t="shared" si="121"/>
        <v>0.775535714285714</v>
      </c>
      <c r="G203" s="8">
        <f t="shared" si="122"/>
        <v>2</v>
      </c>
      <c r="H203" s="8">
        <f t="shared" si="123"/>
        <v>28</v>
      </c>
      <c r="I203" s="50">
        <f t="shared" si="124"/>
        <v>28</v>
      </c>
      <c r="J203" s="50">
        <f t="shared" si="125"/>
        <v>16.900000000000002</v>
      </c>
      <c r="K203" s="50">
        <f t="shared" si="126"/>
        <v>34.4</v>
      </c>
      <c r="L203" s="50">
        <f t="shared" si="127"/>
        <v>7</v>
      </c>
      <c r="M203" s="37">
        <f t="shared" si="128"/>
        <v>6.1741888679754187</v>
      </c>
      <c r="N203" s="37">
        <f t="shared" si="129"/>
        <v>6.5142857142857142</v>
      </c>
      <c r="O203" s="50">
        <f t="shared" si="130"/>
        <v>83.376949164522259</v>
      </c>
      <c r="P203" s="50">
        <f t="shared" si="131"/>
        <v>18</v>
      </c>
      <c r="Q203" s="8">
        <f t="shared" si="132"/>
        <v>20</v>
      </c>
      <c r="R203" s="48">
        <f t="shared" si="133"/>
        <v>4800</v>
      </c>
      <c r="S203" s="48">
        <f t="shared" si="134"/>
        <v>4080</v>
      </c>
      <c r="T203" s="48">
        <f t="shared" si="135"/>
        <v>473.20000000000005</v>
      </c>
      <c r="U203" s="48">
        <f t="shared" si="136"/>
        <v>16987.88</v>
      </c>
      <c r="V203" s="48">
        <f t="shared" si="137"/>
        <v>300000</v>
      </c>
      <c r="W203" s="48">
        <f t="shared" si="138"/>
        <v>1000000</v>
      </c>
      <c r="X203" s="48">
        <f t="shared" si="139"/>
        <v>480000</v>
      </c>
      <c r="Y203" s="48">
        <f t="shared" si="140"/>
        <v>698916.4</v>
      </c>
      <c r="Z203" s="48">
        <f t="shared" si="141"/>
        <v>2478916.4</v>
      </c>
      <c r="AA203" s="37">
        <f t="shared" si="142"/>
        <v>0.27857142857142858</v>
      </c>
      <c r="AB203" s="49">
        <f t="shared" si="143"/>
        <v>0.387767857142857</v>
      </c>
      <c r="AC203" s="49">
        <f t="shared" si="144"/>
        <v>0.775535714285714</v>
      </c>
      <c r="AD203" s="50">
        <f t="shared" si="145"/>
        <v>15.185879999999999</v>
      </c>
      <c r="AE203" s="8">
        <f t="shared" si="146"/>
        <v>0</v>
      </c>
      <c r="AF203" s="51">
        <f t="shared" si="147"/>
        <v>2478916.4</v>
      </c>
      <c r="AG203" s="8">
        <f t="shared" si="149"/>
        <v>9.9999999999999997E+98</v>
      </c>
      <c r="AH203" s="8" t="str">
        <f t="shared" si="148"/>
        <v>height duplicate</v>
      </c>
      <c r="AI203" s="52">
        <f t="shared" si="150"/>
        <v>720000002478916.5</v>
      </c>
    </row>
    <row r="204" spans="1:35" ht="15" customHeight="1" x14ac:dyDescent="0.25">
      <c r="A204" s="8">
        <v>197</v>
      </c>
      <c r="B204" s="8">
        <f t="shared" si="118"/>
        <v>6</v>
      </c>
      <c r="C204" s="8">
        <v>17</v>
      </c>
      <c r="D204" s="49">
        <f t="shared" si="119"/>
        <v>0.6</v>
      </c>
      <c r="E204" s="50">
        <f t="shared" si="120"/>
        <v>46.711309523809518</v>
      </c>
      <c r="F204" s="37">
        <f t="shared" si="121"/>
        <v>0.77852182539682535</v>
      </c>
      <c r="G204" s="8">
        <f t="shared" si="122"/>
        <v>2</v>
      </c>
      <c r="H204" s="8">
        <f t="shared" si="123"/>
        <v>27</v>
      </c>
      <c r="I204" s="50">
        <f t="shared" si="124"/>
        <v>27</v>
      </c>
      <c r="J204" s="50">
        <f t="shared" si="125"/>
        <v>16.900000000000002</v>
      </c>
      <c r="K204" s="50">
        <f t="shared" si="126"/>
        <v>36.549999999999997</v>
      </c>
      <c r="L204" s="50">
        <f t="shared" si="127"/>
        <v>6.75</v>
      </c>
      <c r="M204" s="37">
        <f t="shared" si="128"/>
        <v>6.0828889847787408</v>
      </c>
      <c r="N204" s="37">
        <f t="shared" si="129"/>
        <v>6.5142857142857142</v>
      </c>
      <c r="O204" s="50">
        <f t="shared" si="130"/>
        <v>83.194349398128907</v>
      </c>
      <c r="P204" s="50">
        <f t="shared" si="131"/>
        <v>19</v>
      </c>
      <c r="Q204" s="8">
        <f t="shared" si="132"/>
        <v>21</v>
      </c>
      <c r="R204" s="48">
        <f t="shared" si="133"/>
        <v>4896</v>
      </c>
      <c r="S204" s="48">
        <f t="shared" si="134"/>
        <v>4161.5999999999995</v>
      </c>
      <c r="T204" s="48">
        <f t="shared" si="135"/>
        <v>456.30000000000007</v>
      </c>
      <c r="U204" s="48">
        <f t="shared" si="136"/>
        <v>17362.215</v>
      </c>
      <c r="V204" s="48">
        <f t="shared" si="137"/>
        <v>300000</v>
      </c>
      <c r="W204" s="48">
        <f t="shared" si="138"/>
        <v>1050000</v>
      </c>
      <c r="X204" s="48">
        <f t="shared" si="139"/>
        <v>489600</v>
      </c>
      <c r="Y204" s="48">
        <f t="shared" si="140"/>
        <v>703386.45000000007</v>
      </c>
      <c r="Z204" s="48">
        <f t="shared" si="141"/>
        <v>2542986.4500000002</v>
      </c>
      <c r="AA204" s="37">
        <f t="shared" si="142"/>
        <v>0.28888888888888892</v>
      </c>
      <c r="AB204" s="49">
        <f t="shared" si="143"/>
        <v>0.38926091269841268</v>
      </c>
      <c r="AC204" s="49">
        <f t="shared" si="144"/>
        <v>0.77852182539682535</v>
      </c>
      <c r="AD204" s="50">
        <f t="shared" si="145"/>
        <v>15.4671</v>
      </c>
      <c r="AE204" s="8">
        <f t="shared" si="146"/>
        <v>0</v>
      </c>
      <c r="AF204" s="51">
        <f t="shared" si="147"/>
        <v>2542986.4500000002</v>
      </c>
      <c r="AG204" s="8">
        <f t="shared" si="149"/>
        <v>9.9999999999999997E+98</v>
      </c>
      <c r="AH204" s="8" t="str">
        <f t="shared" si="148"/>
        <v>height duplicate</v>
      </c>
      <c r="AI204" s="52">
        <f t="shared" si="150"/>
        <v>827500002542986.38</v>
      </c>
    </row>
    <row r="205" spans="1:35" ht="15" customHeight="1" x14ac:dyDescent="0.25">
      <c r="A205" s="8">
        <v>198</v>
      </c>
      <c r="B205" s="8">
        <f t="shared" si="118"/>
        <v>6</v>
      </c>
      <c r="C205" s="8">
        <v>18</v>
      </c>
      <c r="D205" s="49">
        <f t="shared" si="119"/>
        <v>0.6</v>
      </c>
      <c r="E205" s="50">
        <f t="shared" si="120"/>
        <v>46.890476190476186</v>
      </c>
      <c r="F205" s="37">
        <f t="shared" si="121"/>
        <v>0.78150793650793637</v>
      </c>
      <c r="G205" s="8">
        <f t="shared" si="122"/>
        <v>2</v>
      </c>
      <c r="H205" s="8">
        <f t="shared" si="123"/>
        <v>25</v>
      </c>
      <c r="I205" s="50">
        <f t="shared" si="124"/>
        <v>25</v>
      </c>
      <c r="J205" s="50">
        <f t="shared" si="125"/>
        <v>16.900000000000002</v>
      </c>
      <c r="K205" s="50">
        <f t="shared" si="126"/>
        <v>38.699999999999996</v>
      </c>
      <c r="L205" s="50">
        <f t="shared" si="127"/>
        <v>6.25</v>
      </c>
      <c r="M205" s="37">
        <f t="shared" si="128"/>
        <v>5.8998058178467536</v>
      </c>
      <c r="N205" s="37">
        <f t="shared" si="129"/>
        <v>6.5142857142857142</v>
      </c>
      <c r="O205" s="50">
        <f t="shared" si="130"/>
        <v>82.828183064264934</v>
      </c>
      <c r="P205" s="50">
        <f t="shared" si="131"/>
        <v>20</v>
      </c>
      <c r="Q205" s="8">
        <f t="shared" si="132"/>
        <v>22</v>
      </c>
      <c r="R205" s="48">
        <f t="shared" si="133"/>
        <v>4752</v>
      </c>
      <c r="S205" s="48">
        <f t="shared" si="134"/>
        <v>4039.2</v>
      </c>
      <c r="T205" s="48">
        <f t="shared" si="135"/>
        <v>422.50000000000006</v>
      </c>
      <c r="U205" s="48">
        <f t="shared" si="136"/>
        <v>16984.5</v>
      </c>
      <c r="V205" s="48">
        <f t="shared" si="137"/>
        <v>300000</v>
      </c>
      <c r="W205" s="48">
        <f t="shared" si="138"/>
        <v>1100000</v>
      </c>
      <c r="X205" s="48">
        <f t="shared" si="139"/>
        <v>475200</v>
      </c>
      <c r="Y205" s="48">
        <f t="shared" si="140"/>
        <v>678535</v>
      </c>
      <c r="Z205" s="48">
        <f t="shared" si="141"/>
        <v>2553735</v>
      </c>
      <c r="AA205" s="37">
        <f t="shared" si="142"/>
        <v>0.31200000000000006</v>
      </c>
      <c r="AB205" s="49">
        <f t="shared" si="143"/>
        <v>0.39075396825396819</v>
      </c>
      <c r="AC205" s="49">
        <f t="shared" si="144"/>
        <v>0.78150793650793637</v>
      </c>
      <c r="AD205" s="50">
        <f t="shared" si="145"/>
        <v>15.748319999999998</v>
      </c>
      <c r="AE205" s="8">
        <f t="shared" si="146"/>
        <v>0</v>
      </c>
      <c r="AF205" s="51">
        <f t="shared" si="147"/>
        <v>2553735</v>
      </c>
      <c r="AG205" s="8">
        <f t="shared" si="149"/>
        <v>9.9999999999999997E+98</v>
      </c>
      <c r="AH205" s="8" t="str">
        <f t="shared" si="148"/>
        <v>height duplicate</v>
      </c>
      <c r="AI205" s="52">
        <f t="shared" si="150"/>
        <v>935000002553734.88</v>
      </c>
    </row>
    <row r="206" spans="1:35" ht="15" customHeight="1" x14ac:dyDescent="0.25">
      <c r="A206" s="8">
        <v>199</v>
      </c>
      <c r="B206" s="8">
        <f t="shared" si="118"/>
        <v>6</v>
      </c>
      <c r="C206" s="8">
        <v>19</v>
      </c>
      <c r="D206" s="49">
        <f t="shared" si="119"/>
        <v>0.6</v>
      </c>
      <c r="E206" s="50">
        <f t="shared" si="120"/>
        <v>47.069642857142867</v>
      </c>
      <c r="F206" s="37">
        <f t="shared" si="121"/>
        <v>0.78449404761904773</v>
      </c>
      <c r="G206" s="8">
        <f t="shared" si="122"/>
        <v>2</v>
      </c>
      <c r="H206" s="8">
        <f t="shared" si="123"/>
        <v>24</v>
      </c>
      <c r="I206" s="50">
        <f t="shared" si="124"/>
        <v>24</v>
      </c>
      <c r="J206" s="50">
        <f t="shared" si="125"/>
        <v>16.900000000000002</v>
      </c>
      <c r="K206" s="50">
        <f t="shared" si="126"/>
        <v>40.85</v>
      </c>
      <c r="L206" s="50">
        <f t="shared" si="127"/>
        <v>6</v>
      </c>
      <c r="M206" s="37">
        <f t="shared" si="128"/>
        <v>5.8079822507332253</v>
      </c>
      <c r="N206" s="37">
        <f t="shared" si="129"/>
        <v>6.5142857142857142</v>
      </c>
      <c r="O206" s="50">
        <f t="shared" si="130"/>
        <v>82.644535930037875</v>
      </c>
      <c r="P206" s="50">
        <f t="shared" si="131"/>
        <v>21</v>
      </c>
      <c r="Q206" s="8">
        <f t="shared" si="132"/>
        <v>23</v>
      </c>
      <c r="R206" s="48">
        <f t="shared" si="133"/>
        <v>4788</v>
      </c>
      <c r="S206" s="48">
        <f t="shared" si="134"/>
        <v>4069.7999999999997</v>
      </c>
      <c r="T206" s="48">
        <f t="shared" si="135"/>
        <v>405.6</v>
      </c>
      <c r="U206" s="48">
        <f t="shared" si="136"/>
        <v>17177.16</v>
      </c>
      <c r="V206" s="48">
        <f t="shared" si="137"/>
        <v>300000</v>
      </c>
      <c r="W206" s="48">
        <f t="shared" si="138"/>
        <v>1150000</v>
      </c>
      <c r="X206" s="48">
        <f t="shared" si="139"/>
        <v>478800</v>
      </c>
      <c r="Y206" s="48">
        <f t="shared" si="140"/>
        <v>677554.8</v>
      </c>
      <c r="Z206" s="48">
        <f t="shared" si="141"/>
        <v>2606354.7999999998</v>
      </c>
      <c r="AA206" s="37">
        <f t="shared" si="142"/>
        <v>0.32500000000000001</v>
      </c>
      <c r="AB206" s="49">
        <f t="shared" si="143"/>
        <v>0.39224702380952386</v>
      </c>
      <c r="AC206" s="49">
        <f t="shared" si="144"/>
        <v>0.78449404761904773</v>
      </c>
      <c r="AD206" s="50">
        <f t="shared" si="145"/>
        <v>16.029539999999997</v>
      </c>
      <c r="AE206" s="8">
        <f t="shared" si="146"/>
        <v>0</v>
      </c>
      <c r="AF206" s="51">
        <f t="shared" si="147"/>
        <v>2606354.7999999998</v>
      </c>
      <c r="AG206" s="8">
        <f t="shared" si="149"/>
        <v>9.9999999999999997E+98</v>
      </c>
      <c r="AH206" s="8" t="str">
        <f t="shared" si="148"/>
        <v>height duplicate</v>
      </c>
      <c r="AI206" s="52">
        <f t="shared" si="150"/>
        <v>1042500002606354.9</v>
      </c>
    </row>
    <row r="207" spans="1:35" ht="15" customHeight="1" x14ac:dyDescent="0.25">
      <c r="A207" s="8">
        <v>200</v>
      </c>
      <c r="B207" s="8">
        <f t="shared" si="118"/>
        <v>6</v>
      </c>
      <c r="C207" s="8">
        <v>20</v>
      </c>
      <c r="D207" s="49">
        <f t="shared" si="119"/>
        <v>0.59999999999999987</v>
      </c>
      <c r="E207" s="50">
        <f t="shared" si="120"/>
        <v>47.248809523809541</v>
      </c>
      <c r="F207" s="37">
        <f t="shared" si="121"/>
        <v>0.78748015873015886</v>
      </c>
      <c r="G207" s="8">
        <f t="shared" si="122"/>
        <v>2</v>
      </c>
      <c r="H207" s="8">
        <f t="shared" si="123"/>
        <v>23</v>
      </c>
      <c r="I207" s="50">
        <f t="shared" si="124"/>
        <v>23</v>
      </c>
      <c r="J207" s="50">
        <f t="shared" si="125"/>
        <v>16.900000000000002</v>
      </c>
      <c r="K207" s="50">
        <f t="shared" si="126"/>
        <v>43</v>
      </c>
      <c r="L207" s="50">
        <f t="shared" si="127"/>
        <v>5.75</v>
      </c>
      <c r="M207" s="37">
        <f t="shared" si="128"/>
        <v>5.7159380007651057</v>
      </c>
      <c r="N207" s="37">
        <f t="shared" si="129"/>
        <v>6.5142857142857142</v>
      </c>
      <c r="O207" s="50">
        <f t="shared" si="130"/>
        <v>82.460447430101638</v>
      </c>
      <c r="P207" s="50">
        <f t="shared" si="131"/>
        <v>22</v>
      </c>
      <c r="Q207" s="8">
        <f t="shared" si="132"/>
        <v>24</v>
      </c>
      <c r="R207" s="48">
        <f t="shared" si="133"/>
        <v>4800</v>
      </c>
      <c r="S207" s="48">
        <f t="shared" si="134"/>
        <v>4080</v>
      </c>
      <c r="T207" s="48">
        <f t="shared" si="135"/>
        <v>388.70000000000005</v>
      </c>
      <c r="U207" s="48">
        <f t="shared" si="136"/>
        <v>17297.150000000001</v>
      </c>
      <c r="V207" s="48">
        <f t="shared" si="137"/>
        <v>300000</v>
      </c>
      <c r="W207" s="48">
        <f t="shared" si="138"/>
        <v>1200000</v>
      </c>
      <c r="X207" s="48">
        <f t="shared" si="139"/>
        <v>480000</v>
      </c>
      <c r="Y207" s="48">
        <f t="shared" si="140"/>
        <v>674394.50000000012</v>
      </c>
      <c r="Z207" s="48">
        <f t="shared" si="141"/>
        <v>2654394.5</v>
      </c>
      <c r="AA207" s="37">
        <f t="shared" si="142"/>
        <v>0.33913043478260874</v>
      </c>
      <c r="AB207" s="49">
        <f t="shared" si="143"/>
        <v>0.39374007936507943</v>
      </c>
      <c r="AC207" s="49">
        <f t="shared" si="144"/>
        <v>0.78748015873015886</v>
      </c>
      <c r="AD207" s="50">
        <f t="shared" si="145"/>
        <v>16.310760000000005</v>
      </c>
      <c r="AE207" s="8">
        <f t="shared" si="146"/>
        <v>0</v>
      </c>
      <c r="AF207" s="51">
        <f t="shared" si="147"/>
        <v>2654394.5</v>
      </c>
      <c r="AG207" s="8">
        <f t="shared" si="149"/>
        <v>9.9999999999999997E+98</v>
      </c>
      <c r="AH207" s="8" t="str">
        <f t="shared" si="148"/>
        <v>height duplicate</v>
      </c>
      <c r="AI207" s="52">
        <f t="shared" si="150"/>
        <v>1150000002654394.5</v>
      </c>
    </row>
    <row r="208" spans="1:35" ht="15" customHeight="1" x14ac:dyDescent="0.25">
      <c r="A208" s="8">
        <v>201</v>
      </c>
      <c r="B208" s="8">
        <f t="shared" ref="B208:B227" si="151">$L$3</f>
        <v>6</v>
      </c>
      <c r="C208" s="8">
        <v>1</v>
      </c>
      <c r="D208" s="49">
        <f t="shared" si="119"/>
        <v>0</v>
      </c>
      <c r="E208" s="50">
        <f t="shared" si="120"/>
        <v>0</v>
      </c>
      <c r="F208" s="37">
        <f t="shared" si="121"/>
        <v>0</v>
      </c>
      <c r="G208" s="8">
        <f t="shared" si="122"/>
        <v>0</v>
      </c>
      <c r="H208" s="8">
        <f t="shared" si="123"/>
        <v>393</v>
      </c>
      <c r="I208" s="50">
        <f t="shared" si="124"/>
        <v>393</v>
      </c>
      <c r="J208" s="50">
        <f t="shared" si="125"/>
        <v>16.900000000000002</v>
      </c>
      <c r="K208" s="50">
        <f t="shared" si="126"/>
        <v>2.15</v>
      </c>
      <c r="L208" s="50">
        <f t="shared" si="127"/>
        <v>393</v>
      </c>
      <c r="M208" s="37">
        <f t="shared" si="128"/>
        <v>144.0847456395968</v>
      </c>
      <c r="N208" s="37">
        <f t="shared" si="129"/>
        <v>6.5142857142857142</v>
      </c>
      <c r="O208" s="50">
        <f t="shared" si="130"/>
        <v>359.19806270776502</v>
      </c>
      <c r="P208" s="50">
        <f t="shared" si="131"/>
        <v>14</v>
      </c>
      <c r="Q208" s="8">
        <f t="shared" si="132"/>
        <v>16</v>
      </c>
      <c r="R208" s="48">
        <f t="shared" si="133"/>
        <v>4716</v>
      </c>
      <c r="S208" s="48">
        <f t="shared" si="134"/>
        <v>4008.6</v>
      </c>
      <c r="T208" s="48">
        <f t="shared" si="135"/>
        <v>6641.7000000000007</v>
      </c>
      <c r="U208" s="48">
        <f t="shared" si="136"/>
        <v>24242.205000000002</v>
      </c>
      <c r="V208" s="48">
        <f t="shared" si="137"/>
        <v>0</v>
      </c>
      <c r="W208" s="48">
        <f t="shared" si="138"/>
        <v>800000</v>
      </c>
      <c r="X208" s="48">
        <f t="shared" si="139"/>
        <v>471600</v>
      </c>
      <c r="Y208" s="48">
        <f t="shared" si="140"/>
        <v>3383946.1500000004</v>
      </c>
      <c r="Z208" s="48">
        <f t="shared" si="141"/>
        <v>4655546.1500000004</v>
      </c>
      <c r="AA208" s="37">
        <f t="shared" si="142"/>
        <v>1.984732824427481E-2</v>
      </c>
      <c r="AB208" s="49">
        <f t="shared" si="143"/>
        <v>0</v>
      </c>
      <c r="AC208" s="49" t="str">
        <f t="shared" si="144"/>
        <v>n/a</v>
      </c>
      <c r="AD208" s="50">
        <f t="shared" si="145"/>
        <v>0</v>
      </c>
      <c r="AE208" s="8">
        <f t="shared" si="146"/>
        <v>0</v>
      </c>
      <c r="AF208" s="51">
        <f t="shared" si="147"/>
        <v>4655546.1500000004</v>
      </c>
      <c r="AG208" s="8">
        <f t="shared" si="149"/>
        <v>9.9999999999999997E+98</v>
      </c>
      <c r="AH208" s="8" t="str">
        <f t="shared" si="148"/>
        <v>footprint lanes&gt;300 duplicate</v>
      </c>
      <c r="AI208" s="52">
        <f t="shared" si="150"/>
        <v>5860000004655545</v>
      </c>
    </row>
    <row r="209" spans="1:35" ht="15" customHeight="1" x14ac:dyDescent="0.25">
      <c r="A209" s="8">
        <v>202</v>
      </c>
      <c r="B209" s="8">
        <f t="shared" si="151"/>
        <v>6</v>
      </c>
      <c r="C209" s="8">
        <v>2</v>
      </c>
      <c r="D209" s="49">
        <f t="shared" si="119"/>
        <v>0.5</v>
      </c>
      <c r="E209" s="50">
        <f t="shared" si="120"/>
        <v>41.157142857142851</v>
      </c>
      <c r="F209" s="37">
        <f t="shared" si="121"/>
        <v>0.57162698412698409</v>
      </c>
      <c r="G209" s="8">
        <f t="shared" si="122"/>
        <v>2</v>
      </c>
      <c r="H209" s="8">
        <f t="shared" si="123"/>
        <v>200</v>
      </c>
      <c r="I209" s="50">
        <f t="shared" si="124"/>
        <v>200</v>
      </c>
      <c r="J209" s="50">
        <f t="shared" si="125"/>
        <v>16.900000000000002</v>
      </c>
      <c r="K209" s="50">
        <f t="shared" si="126"/>
        <v>4.3</v>
      </c>
      <c r="L209" s="50">
        <f t="shared" si="127"/>
        <v>50</v>
      </c>
      <c r="M209" s="37">
        <f t="shared" si="128"/>
        <v>21.57810072723084</v>
      </c>
      <c r="N209" s="37">
        <f t="shared" si="129"/>
        <v>6.5142857142857142</v>
      </c>
      <c r="O209" s="50">
        <f t="shared" si="130"/>
        <v>114.18477288303311</v>
      </c>
      <c r="P209" s="50">
        <f t="shared" si="131"/>
        <v>6</v>
      </c>
      <c r="Q209" s="8">
        <f t="shared" si="132"/>
        <v>8</v>
      </c>
      <c r="R209" s="48">
        <f t="shared" si="133"/>
        <v>4728</v>
      </c>
      <c r="S209" s="48">
        <f t="shared" si="134"/>
        <v>4018.7999999999997</v>
      </c>
      <c r="T209" s="48">
        <f t="shared" si="135"/>
        <v>3380.0000000000005</v>
      </c>
      <c r="U209" s="48">
        <f t="shared" si="136"/>
        <v>19604.000000000004</v>
      </c>
      <c r="V209" s="48">
        <f t="shared" si="137"/>
        <v>300000</v>
      </c>
      <c r="W209" s="48">
        <f t="shared" si="138"/>
        <v>400000</v>
      </c>
      <c r="X209" s="48">
        <f t="shared" si="139"/>
        <v>472800</v>
      </c>
      <c r="Y209" s="48">
        <f t="shared" si="140"/>
        <v>1940120.0000000005</v>
      </c>
      <c r="Z209" s="48">
        <f t="shared" si="141"/>
        <v>3112920.0000000005</v>
      </c>
      <c r="AA209" s="37">
        <f t="shared" si="142"/>
        <v>3.9000000000000007E-2</v>
      </c>
      <c r="AB209" s="49">
        <f t="shared" si="143"/>
        <v>0.28581349206349205</v>
      </c>
      <c r="AC209" s="49">
        <f t="shared" si="144"/>
        <v>0.57162698412698409</v>
      </c>
      <c r="AD209" s="50">
        <f t="shared" si="145"/>
        <v>5.6243999999999996</v>
      </c>
      <c r="AE209" s="8">
        <f t="shared" si="146"/>
        <v>0</v>
      </c>
      <c r="AF209" s="51">
        <f t="shared" si="147"/>
        <v>3112920.0000000005</v>
      </c>
      <c r="AG209" s="8">
        <f t="shared" si="149"/>
        <v>9.9999999999999997E+98</v>
      </c>
      <c r="AH209" s="8" t="str">
        <f t="shared" si="148"/>
        <v>footprint duplicate</v>
      </c>
      <c r="AI209" s="52">
        <f t="shared" si="150"/>
        <v>2333333336446253.5</v>
      </c>
    </row>
    <row r="210" spans="1:35" ht="15" customHeight="1" x14ac:dyDescent="0.25">
      <c r="A210" s="8">
        <v>203</v>
      </c>
      <c r="B210" s="8">
        <f t="shared" si="151"/>
        <v>6</v>
      </c>
      <c r="C210" s="8">
        <v>3</v>
      </c>
      <c r="D210" s="49">
        <f t="shared" si="119"/>
        <v>0.52941176470588236</v>
      </c>
      <c r="E210" s="50">
        <f t="shared" si="120"/>
        <v>41.634920634920626</v>
      </c>
      <c r="F210" s="37">
        <f t="shared" si="121"/>
        <v>0.61227824463118574</v>
      </c>
      <c r="G210" s="8">
        <f t="shared" si="122"/>
        <v>2</v>
      </c>
      <c r="H210" s="8">
        <f t="shared" si="123"/>
        <v>134</v>
      </c>
      <c r="I210" s="50">
        <f t="shared" si="124"/>
        <v>134</v>
      </c>
      <c r="J210" s="50">
        <f t="shared" si="125"/>
        <v>16.900000000000002</v>
      </c>
      <c r="K210" s="50">
        <f t="shared" si="126"/>
        <v>6.4499999999999993</v>
      </c>
      <c r="L210" s="50">
        <f t="shared" si="127"/>
        <v>33.5</v>
      </c>
      <c r="M210" s="37">
        <f t="shared" si="128"/>
        <v>15.681493622732603</v>
      </c>
      <c r="N210" s="37">
        <f t="shared" si="129"/>
        <v>6.5142857142857142</v>
      </c>
      <c r="O210" s="50">
        <f t="shared" si="130"/>
        <v>102.39155867403663</v>
      </c>
      <c r="P210" s="50">
        <f t="shared" si="131"/>
        <v>5</v>
      </c>
      <c r="Q210" s="8">
        <f t="shared" si="132"/>
        <v>7</v>
      </c>
      <c r="R210" s="48">
        <f t="shared" si="133"/>
        <v>4716</v>
      </c>
      <c r="S210" s="48">
        <f t="shared" si="134"/>
        <v>4008.6</v>
      </c>
      <c r="T210" s="48">
        <f t="shared" si="135"/>
        <v>2264.6000000000004</v>
      </c>
      <c r="U210" s="48">
        <f t="shared" si="136"/>
        <v>18003.57</v>
      </c>
      <c r="V210" s="48">
        <f t="shared" si="137"/>
        <v>300000</v>
      </c>
      <c r="W210" s="48">
        <f t="shared" si="138"/>
        <v>350000</v>
      </c>
      <c r="X210" s="48">
        <f t="shared" si="139"/>
        <v>471600</v>
      </c>
      <c r="Y210" s="48">
        <f t="shared" si="140"/>
        <v>1445947.1</v>
      </c>
      <c r="Z210" s="48">
        <f t="shared" si="141"/>
        <v>2567547.1</v>
      </c>
      <c r="AA210" s="37">
        <f t="shared" si="142"/>
        <v>5.8208955223880601E-2</v>
      </c>
      <c r="AB210" s="49">
        <f t="shared" si="143"/>
        <v>0.30613912231559287</v>
      </c>
      <c r="AC210" s="49">
        <f t="shared" si="144"/>
        <v>0.61227824463118574</v>
      </c>
      <c r="AD210" s="50">
        <f t="shared" si="145"/>
        <v>6.6169411764705863</v>
      </c>
      <c r="AE210" s="8">
        <f t="shared" si="146"/>
        <v>0</v>
      </c>
      <c r="AF210" s="51">
        <f t="shared" si="147"/>
        <v>2567547.1</v>
      </c>
      <c r="AG210" s="8">
        <f t="shared" si="149"/>
        <v>9.9999999999999997E+98</v>
      </c>
      <c r="AH210" s="8" t="str">
        <f t="shared" si="148"/>
        <v>footprint duplicate</v>
      </c>
      <c r="AI210" s="52">
        <f t="shared" si="150"/>
        <v>1233333335900880.8</v>
      </c>
    </row>
    <row r="211" spans="1:35" ht="15" customHeight="1" x14ac:dyDescent="0.25">
      <c r="A211" s="8">
        <v>204</v>
      </c>
      <c r="B211" s="8">
        <f t="shared" si="151"/>
        <v>6</v>
      </c>
      <c r="C211" s="8">
        <v>4</v>
      </c>
      <c r="D211" s="49">
        <f t="shared" si="119"/>
        <v>0.55555555555555558</v>
      </c>
      <c r="E211" s="50">
        <f t="shared" si="120"/>
        <v>42.447142857142843</v>
      </c>
      <c r="F211" s="37">
        <f t="shared" si="121"/>
        <v>0.65504850088183397</v>
      </c>
      <c r="G211" s="8">
        <f t="shared" si="122"/>
        <v>2</v>
      </c>
      <c r="H211" s="8">
        <f t="shared" si="123"/>
        <v>102</v>
      </c>
      <c r="I211" s="50">
        <f t="shared" si="124"/>
        <v>102</v>
      </c>
      <c r="J211" s="50">
        <f t="shared" si="125"/>
        <v>16.900000000000002</v>
      </c>
      <c r="K211" s="50">
        <f t="shared" si="126"/>
        <v>8.6</v>
      </c>
      <c r="L211" s="50">
        <f t="shared" si="127"/>
        <v>25.5</v>
      </c>
      <c r="M211" s="37">
        <f t="shared" si="128"/>
        <v>12.820785739668324</v>
      </c>
      <c r="N211" s="37">
        <f t="shared" si="129"/>
        <v>6.5142857142857142</v>
      </c>
      <c r="O211" s="50">
        <f t="shared" si="130"/>
        <v>96.670142907908073</v>
      </c>
      <c r="P211" s="50">
        <f t="shared" si="131"/>
        <v>6</v>
      </c>
      <c r="Q211" s="8">
        <f t="shared" si="132"/>
        <v>8</v>
      </c>
      <c r="R211" s="48">
        <f t="shared" si="133"/>
        <v>4752</v>
      </c>
      <c r="S211" s="48">
        <f t="shared" si="134"/>
        <v>4039.2</v>
      </c>
      <c r="T211" s="48">
        <f t="shared" si="135"/>
        <v>1723.8000000000002</v>
      </c>
      <c r="U211" s="48">
        <f t="shared" si="136"/>
        <v>17410.38</v>
      </c>
      <c r="V211" s="48">
        <f t="shared" si="137"/>
        <v>300000</v>
      </c>
      <c r="W211" s="48">
        <f t="shared" si="138"/>
        <v>400000</v>
      </c>
      <c r="X211" s="48">
        <f t="shared" si="139"/>
        <v>475200</v>
      </c>
      <c r="Y211" s="48">
        <f t="shared" si="140"/>
        <v>1211831.4000000001</v>
      </c>
      <c r="Z211" s="48">
        <f t="shared" si="141"/>
        <v>2387031.4000000004</v>
      </c>
      <c r="AA211" s="37">
        <f t="shared" si="142"/>
        <v>7.6470588235294124E-2</v>
      </c>
      <c r="AB211" s="49">
        <f t="shared" si="143"/>
        <v>0.32752425044091699</v>
      </c>
      <c r="AC211" s="49">
        <f t="shared" si="144"/>
        <v>0.65504850088183397</v>
      </c>
      <c r="AD211" s="50">
        <f t="shared" si="145"/>
        <v>8.124133333333333</v>
      </c>
      <c r="AE211" s="8">
        <f t="shared" si="146"/>
        <v>0</v>
      </c>
      <c r="AF211" s="51">
        <f t="shared" si="147"/>
        <v>2387031.4000000004</v>
      </c>
      <c r="AG211" s="8">
        <f t="shared" si="149"/>
        <v>9.9999999999999997E+98</v>
      </c>
      <c r="AH211" s="8" t="str">
        <f t="shared" si="148"/>
        <v>footprint duplicate</v>
      </c>
      <c r="AI211" s="52">
        <f t="shared" si="150"/>
        <v>700000002387031.5</v>
      </c>
    </row>
    <row r="212" spans="1:35" ht="15" customHeight="1" x14ac:dyDescent="0.25">
      <c r="A212" s="8">
        <v>205</v>
      </c>
      <c r="B212" s="8">
        <f t="shared" si="151"/>
        <v>6</v>
      </c>
      <c r="C212" s="8">
        <v>5</v>
      </c>
      <c r="D212" s="49">
        <f t="shared" si="119"/>
        <v>0.57894736842105265</v>
      </c>
      <c r="E212" s="50">
        <f t="shared" si="120"/>
        <v>43.502597402597381</v>
      </c>
      <c r="F212" s="37">
        <f t="shared" si="121"/>
        <v>0.69960317460317434</v>
      </c>
      <c r="G212" s="8">
        <f t="shared" si="122"/>
        <v>2</v>
      </c>
      <c r="H212" s="8">
        <f t="shared" si="123"/>
        <v>82</v>
      </c>
      <c r="I212" s="50">
        <f t="shared" si="124"/>
        <v>82</v>
      </c>
      <c r="J212" s="50">
        <f t="shared" si="125"/>
        <v>16.900000000000002</v>
      </c>
      <c r="K212" s="50">
        <f t="shared" si="126"/>
        <v>10.75</v>
      </c>
      <c r="L212" s="50">
        <f t="shared" si="127"/>
        <v>20.5</v>
      </c>
      <c r="M212" s="37">
        <f t="shared" si="128"/>
        <v>11.03143034516234</v>
      </c>
      <c r="N212" s="37">
        <f t="shared" si="129"/>
        <v>6.5142857142857142</v>
      </c>
      <c r="O212" s="50">
        <f t="shared" si="130"/>
        <v>93.091432118896108</v>
      </c>
      <c r="P212" s="50">
        <f t="shared" si="131"/>
        <v>7</v>
      </c>
      <c r="Q212" s="8">
        <f t="shared" si="132"/>
        <v>9</v>
      </c>
      <c r="R212" s="48">
        <f t="shared" si="133"/>
        <v>4740</v>
      </c>
      <c r="S212" s="48">
        <f t="shared" si="134"/>
        <v>4029</v>
      </c>
      <c r="T212" s="48">
        <f t="shared" si="135"/>
        <v>1385.8000000000002</v>
      </c>
      <c r="U212" s="48">
        <f t="shared" si="136"/>
        <v>16976.050000000003</v>
      </c>
      <c r="V212" s="48">
        <f t="shared" si="137"/>
        <v>300000</v>
      </c>
      <c r="W212" s="48">
        <f t="shared" si="138"/>
        <v>450000</v>
      </c>
      <c r="X212" s="48">
        <f t="shared" si="139"/>
        <v>474000</v>
      </c>
      <c r="Y212" s="48">
        <f t="shared" si="140"/>
        <v>1063601.5000000002</v>
      </c>
      <c r="Z212" s="48">
        <f t="shared" si="141"/>
        <v>2287601.5</v>
      </c>
      <c r="AA212" s="37">
        <f t="shared" si="142"/>
        <v>9.512195121951221E-2</v>
      </c>
      <c r="AB212" s="49">
        <f t="shared" si="143"/>
        <v>0.34980158730158717</v>
      </c>
      <c r="AC212" s="49">
        <f t="shared" si="144"/>
        <v>0.69960317460317434</v>
      </c>
      <c r="AD212" s="50">
        <f t="shared" si="145"/>
        <v>10.064715789473683</v>
      </c>
      <c r="AE212" s="8">
        <f t="shared" si="146"/>
        <v>0</v>
      </c>
      <c r="AF212" s="51">
        <f t="shared" si="147"/>
        <v>2287601.5</v>
      </c>
      <c r="AG212" s="8">
        <f t="shared" si="149"/>
        <v>9.9999999999999997E+98</v>
      </c>
      <c r="AH212" s="8" t="str">
        <f t="shared" si="148"/>
        <v>footprint duplicate</v>
      </c>
      <c r="AI212" s="52">
        <f t="shared" si="150"/>
        <v>366666668954268.25</v>
      </c>
    </row>
    <row r="213" spans="1:35" ht="15" customHeight="1" x14ac:dyDescent="0.25">
      <c r="A213" s="8">
        <v>206</v>
      </c>
      <c r="B213" s="8">
        <f t="shared" si="151"/>
        <v>6</v>
      </c>
      <c r="C213" s="8">
        <v>6</v>
      </c>
      <c r="D213" s="49">
        <f t="shared" si="119"/>
        <v>0.60000000000000009</v>
      </c>
      <c r="E213" s="50">
        <f t="shared" si="120"/>
        <v>44.740476190476173</v>
      </c>
      <c r="F213" s="37">
        <f t="shared" si="121"/>
        <v>0.74567460317460299</v>
      </c>
      <c r="G213" s="8">
        <f t="shared" si="122"/>
        <v>2</v>
      </c>
      <c r="H213" s="8">
        <f t="shared" si="123"/>
        <v>69</v>
      </c>
      <c r="I213" s="50">
        <f t="shared" si="124"/>
        <v>69</v>
      </c>
      <c r="J213" s="50">
        <f t="shared" si="125"/>
        <v>16.900000000000002</v>
      </c>
      <c r="K213" s="50">
        <f t="shared" si="126"/>
        <v>12.899999999999999</v>
      </c>
      <c r="L213" s="50">
        <f t="shared" si="127"/>
        <v>17.25</v>
      </c>
      <c r="M213" s="37">
        <f t="shared" si="128"/>
        <v>9.8672174288264642</v>
      </c>
      <c r="N213" s="37">
        <f t="shared" si="129"/>
        <v>6.5142857142857142</v>
      </c>
      <c r="O213" s="50">
        <f t="shared" si="130"/>
        <v>90.763006286224353</v>
      </c>
      <c r="P213" s="50">
        <f t="shared" si="131"/>
        <v>8</v>
      </c>
      <c r="Q213" s="8">
        <f t="shared" si="132"/>
        <v>10</v>
      </c>
      <c r="R213" s="48">
        <f t="shared" si="133"/>
        <v>4752</v>
      </c>
      <c r="S213" s="48">
        <f t="shared" si="134"/>
        <v>4039.2</v>
      </c>
      <c r="T213" s="48">
        <f t="shared" si="135"/>
        <v>1166.1000000000001</v>
      </c>
      <c r="U213" s="48">
        <f t="shared" si="136"/>
        <v>16791.84</v>
      </c>
      <c r="V213" s="48">
        <f t="shared" si="137"/>
        <v>300000</v>
      </c>
      <c r="W213" s="48">
        <f t="shared" si="138"/>
        <v>500000</v>
      </c>
      <c r="X213" s="48">
        <f t="shared" si="139"/>
        <v>475200</v>
      </c>
      <c r="Y213" s="48">
        <f t="shared" si="140"/>
        <v>970195.20000000007</v>
      </c>
      <c r="Z213" s="48">
        <f t="shared" si="141"/>
        <v>2245395.2000000002</v>
      </c>
      <c r="AA213" s="37">
        <f t="shared" si="142"/>
        <v>0.11304347826086958</v>
      </c>
      <c r="AB213" s="49">
        <f t="shared" si="143"/>
        <v>0.3728373015873015</v>
      </c>
      <c r="AC213" s="49">
        <f t="shared" si="144"/>
        <v>0.74567460317460299</v>
      </c>
      <c r="AD213" s="50">
        <f t="shared" si="145"/>
        <v>12.373679999999997</v>
      </c>
      <c r="AE213" s="8">
        <f t="shared" si="146"/>
        <v>0</v>
      </c>
      <c r="AF213" s="51">
        <f t="shared" si="147"/>
        <v>2245395.2000000002</v>
      </c>
      <c r="AG213" s="8">
        <f t="shared" si="149"/>
        <v>9.9999999999999997E+98</v>
      </c>
      <c r="AH213" s="8" t="str">
        <f t="shared" si="148"/>
        <v>footprint duplicate</v>
      </c>
      <c r="AI213" s="52">
        <f t="shared" si="150"/>
        <v>150000002245395.16</v>
      </c>
    </row>
    <row r="214" spans="1:35" ht="15" customHeight="1" x14ac:dyDescent="0.25">
      <c r="A214" s="8">
        <v>207</v>
      </c>
      <c r="B214" s="8">
        <f t="shared" si="151"/>
        <v>6</v>
      </c>
      <c r="C214" s="8">
        <v>7</v>
      </c>
      <c r="D214" s="49">
        <f t="shared" si="119"/>
        <v>0.60000000000000009</v>
      </c>
      <c r="E214" s="50">
        <f t="shared" si="120"/>
        <v>44.919642857142833</v>
      </c>
      <c r="F214" s="37">
        <f t="shared" si="121"/>
        <v>0.7486607142857139</v>
      </c>
      <c r="G214" s="8">
        <f t="shared" si="122"/>
        <v>2</v>
      </c>
      <c r="H214" s="8">
        <f t="shared" si="123"/>
        <v>60</v>
      </c>
      <c r="I214" s="50">
        <f t="shared" si="124"/>
        <v>60</v>
      </c>
      <c r="J214" s="50">
        <f t="shared" si="125"/>
        <v>16.900000000000002</v>
      </c>
      <c r="K214" s="50">
        <f t="shared" si="126"/>
        <v>15.049999999999999</v>
      </c>
      <c r="L214" s="50">
        <f t="shared" si="127"/>
        <v>15</v>
      </c>
      <c r="M214" s="37">
        <f t="shared" si="128"/>
        <v>9.0603357574361478</v>
      </c>
      <c r="N214" s="37">
        <f t="shared" si="129"/>
        <v>6.5142857142857142</v>
      </c>
      <c r="O214" s="50">
        <f t="shared" si="130"/>
        <v>89.149242943443724</v>
      </c>
      <c r="P214" s="50">
        <f t="shared" si="131"/>
        <v>9</v>
      </c>
      <c r="Q214" s="8">
        <f t="shared" si="132"/>
        <v>11</v>
      </c>
      <c r="R214" s="48">
        <f t="shared" si="133"/>
        <v>4788</v>
      </c>
      <c r="S214" s="48">
        <f t="shared" si="134"/>
        <v>4069.7999999999997</v>
      </c>
      <c r="T214" s="48">
        <f t="shared" si="135"/>
        <v>1014.0000000000001</v>
      </c>
      <c r="U214" s="48">
        <f t="shared" si="136"/>
        <v>16781.7</v>
      </c>
      <c r="V214" s="48">
        <f t="shared" si="137"/>
        <v>300000</v>
      </c>
      <c r="W214" s="48">
        <f t="shared" si="138"/>
        <v>550000</v>
      </c>
      <c r="X214" s="48">
        <f t="shared" si="139"/>
        <v>478800</v>
      </c>
      <c r="Y214" s="48">
        <f t="shared" si="140"/>
        <v>909051</v>
      </c>
      <c r="Z214" s="48">
        <f t="shared" si="141"/>
        <v>2237851</v>
      </c>
      <c r="AA214" s="37">
        <f t="shared" si="142"/>
        <v>0.13</v>
      </c>
      <c r="AB214" s="49">
        <f t="shared" si="143"/>
        <v>0.37433035714285695</v>
      </c>
      <c r="AC214" s="49">
        <f t="shared" si="144"/>
        <v>0.7486607142857139</v>
      </c>
      <c r="AD214" s="50">
        <f t="shared" si="145"/>
        <v>12.654899999999998</v>
      </c>
      <c r="AE214" s="8">
        <f t="shared" si="146"/>
        <v>0</v>
      </c>
      <c r="AF214" s="51">
        <f t="shared" si="147"/>
        <v>2237851</v>
      </c>
      <c r="AG214" s="8">
        <f t="shared" si="149"/>
        <v>9.9999999999999997E+98</v>
      </c>
      <c r="AH214" s="8" t="str">
        <f t="shared" si="148"/>
        <v>duplicate</v>
      </c>
      <c r="AI214" s="52">
        <f t="shared" si="150"/>
        <v>2237851.0463235155</v>
      </c>
    </row>
    <row r="215" spans="1:35" ht="15" customHeight="1" x14ac:dyDescent="0.25">
      <c r="A215" s="8">
        <v>208</v>
      </c>
      <c r="B215" s="8">
        <f t="shared" si="151"/>
        <v>6</v>
      </c>
      <c r="C215" s="8">
        <v>8</v>
      </c>
      <c r="D215" s="49">
        <f t="shared" si="119"/>
        <v>0.60000000000000009</v>
      </c>
      <c r="E215" s="50">
        <f t="shared" si="120"/>
        <v>45.0988095238095</v>
      </c>
      <c r="F215" s="37">
        <f t="shared" si="121"/>
        <v>0.75164682539682504</v>
      </c>
      <c r="G215" s="8">
        <f t="shared" si="122"/>
        <v>2</v>
      </c>
      <c r="H215" s="8">
        <f t="shared" si="123"/>
        <v>53</v>
      </c>
      <c r="I215" s="50">
        <f t="shared" si="124"/>
        <v>53</v>
      </c>
      <c r="J215" s="50">
        <f t="shared" si="125"/>
        <v>16.900000000000002</v>
      </c>
      <c r="K215" s="50">
        <f t="shared" si="126"/>
        <v>17.2</v>
      </c>
      <c r="L215" s="50">
        <f t="shared" si="127"/>
        <v>13.25</v>
      </c>
      <c r="M215" s="37">
        <f t="shared" si="128"/>
        <v>8.4319838763428088</v>
      </c>
      <c r="N215" s="37">
        <f t="shared" si="129"/>
        <v>6.5142857142857142</v>
      </c>
      <c r="O215" s="50">
        <f t="shared" si="130"/>
        <v>87.89253918125705</v>
      </c>
      <c r="P215" s="50">
        <f t="shared" si="131"/>
        <v>10</v>
      </c>
      <c r="Q215" s="8">
        <f t="shared" si="132"/>
        <v>12</v>
      </c>
      <c r="R215" s="48">
        <f t="shared" si="133"/>
        <v>4800</v>
      </c>
      <c r="S215" s="48">
        <f t="shared" si="134"/>
        <v>4080</v>
      </c>
      <c r="T215" s="48">
        <f t="shared" si="135"/>
        <v>895.70000000000016</v>
      </c>
      <c r="U215" s="48">
        <f t="shared" si="136"/>
        <v>16749.590000000004</v>
      </c>
      <c r="V215" s="48">
        <f t="shared" si="137"/>
        <v>300000</v>
      </c>
      <c r="W215" s="48">
        <f t="shared" si="138"/>
        <v>600000</v>
      </c>
      <c r="X215" s="48">
        <f t="shared" si="139"/>
        <v>480000</v>
      </c>
      <c r="Y215" s="48">
        <f t="shared" si="140"/>
        <v>860767.70000000019</v>
      </c>
      <c r="Z215" s="48">
        <f t="shared" si="141"/>
        <v>2240767.7000000002</v>
      </c>
      <c r="AA215" s="37">
        <f t="shared" si="142"/>
        <v>0.14716981132075474</v>
      </c>
      <c r="AB215" s="49">
        <f t="shared" si="143"/>
        <v>0.37582341269841252</v>
      </c>
      <c r="AC215" s="49">
        <f t="shared" si="144"/>
        <v>0.75164682539682504</v>
      </c>
      <c r="AD215" s="50">
        <f t="shared" si="145"/>
        <v>12.936119999999995</v>
      </c>
      <c r="AE215" s="8">
        <f t="shared" si="146"/>
        <v>0</v>
      </c>
      <c r="AF215" s="51">
        <f t="shared" si="147"/>
        <v>2240767.7000000002</v>
      </c>
      <c r="AG215" s="8">
        <f t="shared" si="149"/>
        <v>9.9999999999999997E+98</v>
      </c>
      <c r="AH215" s="8" t="str">
        <f t="shared" si="148"/>
        <v>duplicate</v>
      </c>
      <c r="AI215" s="52">
        <f t="shared" si="150"/>
        <v>2240767.7466079681</v>
      </c>
    </row>
    <row r="216" spans="1:35" ht="15" customHeight="1" x14ac:dyDescent="0.25">
      <c r="A216" s="8">
        <v>209</v>
      </c>
      <c r="B216" s="8">
        <f t="shared" si="151"/>
        <v>6</v>
      </c>
      <c r="C216" s="8">
        <v>9</v>
      </c>
      <c r="D216" s="49">
        <f t="shared" si="119"/>
        <v>0.6</v>
      </c>
      <c r="E216" s="50">
        <f t="shared" si="120"/>
        <v>45.277976190476181</v>
      </c>
      <c r="F216" s="37">
        <f t="shared" si="121"/>
        <v>0.75463293650793628</v>
      </c>
      <c r="G216" s="8">
        <f t="shared" si="122"/>
        <v>2</v>
      </c>
      <c r="H216" s="8">
        <f t="shared" si="123"/>
        <v>47</v>
      </c>
      <c r="I216" s="50">
        <f t="shared" si="124"/>
        <v>47</v>
      </c>
      <c r="J216" s="50">
        <f t="shared" si="125"/>
        <v>16.900000000000002</v>
      </c>
      <c r="K216" s="50">
        <f t="shared" si="126"/>
        <v>19.349999999999998</v>
      </c>
      <c r="L216" s="50">
        <f t="shared" si="127"/>
        <v>11.75</v>
      </c>
      <c r="M216" s="37">
        <f t="shared" si="128"/>
        <v>7.8926018787938661</v>
      </c>
      <c r="N216" s="37">
        <f t="shared" si="129"/>
        <v>6.5142857142857142</v>
      </c>
      <c r="O216" s="50">
        <f t="shared" si="130"/>
        <v>86.813775186159162</v>
      </c>
      <c r="P216" s="50">
        <f t="shared" si="131"/>
        <v>11</v>
      </c>
      <c r="Q216" s="8">
        <f t="shared" si="132"/>
        <v>13</v>
      </c>
      <c r="R216" s="48">
        <f t="shared" si="133"/>
        <v>4752</v>
      </c>
      <c r="S216" s="48">
        <f t="shared" si="134"/>
        <v>4039.2</v>
      </c>
      <c r="T216" s="48">
        <f t="shared" si="135"/>
        <v>794.30000000000007</v>
      </c>
      <c r="U216" s="48">
        <f t="shared" si="136"/>
        <v>16561.154999999999</v>
      </c>
      <c r="V216" s="48">
        <f t="shared" si="137"/>
        <v>300000</v>
      </c>
      <c r="W216" s="48">
        <f t="shared" si="138"/>
        <v>650000</v>
      </c>
      <c r="X216" s="48">
        <f t="shared" si="139"/>
        <v>475200</v>
      </c>
      <c r="Y216" s="48">
        <f t="shared" si="140"/>
        <v>814554.64999999991</v>
      </c>
      <c r="Z216" s="48">
        <f t="shared" si="141"/>
        <v>2239754.65</v>
      </c>
      <c r="AA216" s="37">
        <f t="shared" si="142"/>
        <v>0.16595744680851066</v>
      </c>
      <c r="AB216" s="49">
        <f t="shared" si="143"/>
        <v>0.37731646825396814</v>
      </c>
      <c r="AC216" s="49">
        <f t="shared" si="144"/>
        <v>0.75463293650793628</v>
      </c>
      <c r="AD216" s="50">
        <f t="shared" si="145"/>
        <v>13.217339999999998</v>
      </c>
      <c r="AE216" s="8">
        <f t="shared" si="146"/>
        <v>0</v>
      </c>
      <c r="AF216" s="51">
        <f t="shared" si="147"/>
        <v>2239754.65</v>
      </c>
      <c r="AG216" s="8">
        <f t="shared" si="149"/>
        <v>9.9999999999999997E+98</v>
      </c>
      <c r="AH216" s="8" t="str">
        <f t="shared" si="148"/>
        <v>duplicate</v>
      </c>
      <c r="AI216" s="52">
        <f t="shared" si="150"/>
        <v>2239754.6968108718</v>
      </c>
    </row>
    <row r="217" spans="1:35" ht="15" customHeight="1" x14ac:dyDescent="0.25">
      <c r="A217" s="8">
        <v>210</v>
      </c>
      <c r="B217" s="8">
        <f t="shared" si="151"/>
        <v>6</v>
      </c>
      <c r="C217" s="8">
        <v>10</v>
      </c>
      <c r="D217" s="49">
        <f t="shared" si="119"/>
        <v>0.60000000000000009</v>
      </c>
      <c r="E217" s="50">
        <f t="shared" si="120"/>
        <v>45.457142857142834</v>
      </c>
      <c r="F217" s="37">
        <f t="shared" si="121"/>
        <v>0.7576190476190473</v>
      </c>
      <c r="G217" s="8">
        <f t="shared" si="122"/>
        <v>2</v>
      </c>
      <c r="H217" s="8">
        <f t="shared" si="123"/>
        <v>43</v>
      </c>
      <c r="I217" s="50">
        <f t="shared" si="124"/>
        <v>43</v>
      </c>
      <c r="J217" s="50">
        <f t="shared" si="125"/>
        <v>16.900000000000002</v>
      </c>
      <c r="K217" s="50">
        <f t="shared" si="126"/>
        <v>21.5</v>
      </c>
      <c r="L217" s="50">
        <f t="shared" si="127"/>
        <v>10.75</v>
      </c>
      <c r="M217" s="37">
        <f t="shared" si="128"/>
        <v>7.5324452429341591</v>
      </c>
      <c r="N217" s="37">
        <f t="shared" si="129"/>
        <v>6.5142857142857142</v>
      </c>
      <c r="O217" s="50">
        <f t="shared" si="130"/>
        <v>86.093461914439743</v>
      </c>
      <c r="P217" s="50">
        <f t="shared" si="131"/>
        <v>12</v>
      </c>
      <c r="Q217" s="8">
        <f t="shared" si="132"/>
        <v>14</v>
      </c>
      <c r="R217" s="48">
        <f t="shared" si="133"/>
        <v>4800</v>
      </c>
      <c r="S217" s="48">
        <f t="shared" si="134"/>
        <v>4080</v>
      </c>
      <c r="T217" s="48">
        <f t="shared" si="135"/>
        <v>726.7</v>
      </c>
      <c r="U217" s="48">
        <f t="shared" si="136"/>
        <v>16714.100000000002</v>
      </c>
      <c r="V217" s="48">
        <f t="shared" si="137"/>
        <v>300000</v>
      </c>
      <c r="W217" s="48">
        <f t="shared" si="138"/>
        <v>700000</v>
      </c>
      <c r="X217" s="48">
        <f t="shared" si="139"/>
        <v>480000</v>
      </c>
      <c r="Y217" s="48">
        <f t="shared" si="140"/>
        <v>792103</v>
      </c>
      <c r="Z217" s="48">
        <f t="shared" si="141"/>
        <v>2272103</v>
      </c>
      <c r="AA217" s="37">
        <f t="shared" si="142"/>
        <v>0.18139534883720931</v>
      </c>
      <c r="AB217" s="49">
        <f t="shared" si="143"/>
        <v>0.37880952380952365</v>
      </c>
      <c r="AC217" s="49">
        <f t="shared" si="144"/>
        <v>0.7576190476190473</v>
      </c>
      <c r="AD217" s="50">
        <f t="shared" si="145"/>
        <v>13.498559999999996</v>
      </c>
      <c r="AE217" s="8">
        <f t="shared" si="146"/>
        <v>0</v>
      </c>
      <c r="AF217" s="51">
        <f t="shared" si="147"/>
        <v>2272103</v>
      </c>
      <c r="AG217" s="8">
        <f t="shared" si="149"/>
        <v>9.9999999999999997E+98</v>
      </c>
      <c r="AH217" s="8" t="str">
        <f t="shared" si="148"/>
        <v>height duplicate</v>
      </c>
      <c r="AI217" s="52">
        <f t="shared" si="150"/>
        <v>75000002272103</v>
      </c>
    </row>
    <row r="218" spans="1:35" ht="15" customHeight="1" x14ac:dyDescent="0.25">
      <c r="A218" s="8">
        <v>211</v>
      </c>
      <c r="B218" s="8">
        <f t="shared" si="151"/>
        <v>6</v>
      </c>
      <c r="C218" s="8">
        <v>11</v>
      </c>
      <c r="D218" s="49">
        <f t="shared" si="119"/>
        <v>0.6</v>
      </c>
      <c r="E218" s="50">
        <f t="shared" si="120"/>
        <v>45.636309523809516</v>
      </c>
      <c r="F218" s="37">
        <f t="shared" si="121"/>
        <v>0.76060515873015866</v>
      </c>
      <c r="G218" s="8">
        <f t="shared" si="122"/>
        <v>2</v>
      </c>
      <c r="H218" s="8">
        <f t="shared" si="123"/>
        <v>39</v>
      </c>
      <c r="I218" s="50">
        <f t="shared" si="124"/>
        <v>39</v>
      </c>
      <c r="J218" s="50">
        <f t="shared" si="125"/>
        <v>16.900000000000002</v>
      </c>
      <c r="K218" s="50">
        <f t="shared" si="126"/>
        <v>23.65</v>
      </c>
      <c r="L218" s="50">
        <f t="shared" si="127"/>
        <v>9.75</v>
      </c>
      <c r="M218" s="37">
        <f t="shared" si="128"/>
        <v>7.171670396055613</v>
      </c>
      <c r="N218" s="37">
        <f t="shared" si="129"/>
        <v>6.5142857142857142</v>
      </c>
      <c r="O218" s="50">
        <f t="shared" si="130"/>
        <v>85.371912220682646</v>
      </c>
      <c r="P218" s="50">
        <f t="shared" si="131"/>
        <v>13</v>
      </c>
      <c r="Q218" s="8">
        <f t="shared" si="132"/>
        <v>15</v>
      </c>
      <c r="R218" s="48">
        <f t="shared" si="133"/>
        <v>4752</v>
      </c>
      <c r="S218" s="48">
        <f t="shared" si="134"/>
        <v>4039.2</v>
      </c>
      <c r="T218" s="48">
        <f t="shared" si="135"/>
        <v>659.10000000000014</v>
      </c>
      <c r="U218" s="48">
        <f t="shared" si="136"/>
        <v>16576.365000000002</v>
      </c>
      <c r="V218" s="48">
        <f t="shared" si="137"/>
        <v>300000</v>
      </c>
      <c r="W218" s="48">
        <f t="shared" si="138"/>
        <v>750000</v>
      </c>
      <c r="X218" s="48">
        <f t="shared" si="139"/>
        <v>475200</v>
      </c>
      <c r="Y218" s="48">
        <f t="shared" si="140"/>
        <v>760930.95000000019</v>
      </c>
      <c r="Z218" s="48">
        <f t="shared" si="141"/>
        <v>2286130.9500000002</v>
      </c>
      <c r="AA218" s="37">
        <f t="shared" si="142"/>
        <v>0.2</v>
      </c>
      <c r="AB218" s="49">
        <f t="shared" si="143"/>
        <v>0.38030257936507933</v>
      </c>
      <c r="AC218" s="49">
        <f t="shared" si="144"/>
        <v>0.76060515873015866</v>
      </c>
      <c r="AD218" s="50">
        <f t="shared" si="145"/>
        <v>13.779779999999999</v>
      </c>
      <c r="AE218" s="8">
        <f t="shared" si="146"/>
        <v>0</v>
      </c>
      <c r="AF218" s="51">
        <f t="shared" si="147"/>
        <v>2286130.9500000002</v>
      </c>
      <c r="AG218" s="8">
        <f t="shared" si="149"/>
        <v>9.9999999999999997E+98</v>
      </c>
      <c r="AH218" s="8" t="str">
        <f t="shared" si="148"/>
        <v>height duplicate</v>
      </c>
      <c r="AI218" s="52">
        <f t="shared" si="150"/>
        <v>182500002286130.88</v>
      </c>
    </row>
    <row r="219" spans="1:35" ht="15" customHeight="1" x14ac:dyDescent="0.25">
      <c r="A219" s="8">
        <v>212</v>
      </c>
      <c r="B219" s="8">
        <f t="shared" si="151"/>
        <v>6</v>
      </c>
      <c r="C219" s="8">
        <v>12</v>
      </c>
      <c r="D219" s="49">
        <f t="shared" si="119"/>
        <v>0.6</v>
      </c>
      <c r="E219" s="50">
        <f t="shared" si="120"/>
        <v>45.815476190476183</v>
      </c>
      <c r="F219" s="37">
        <f t="shared" si="121"/>
        <v>0.76359126984126979</v>
      </c>
      <c r="G219" s="8">
        <f t="shared" si="122"/>
        <v>2</v>
      </c>
      <c r="H219" s="8">
        <f t="shared" si="123"/>
        <v>36</v>
      </c>
      <c r="I219" s="50">
        <f t="shared" si="124"/>
        <v>36</v>
      </c>
      <c r="J219" s="50">
        <f t="shared" si="125"/>
        <v>16.900000000000002</v>
      </c>
      <c r="K219" s="50">
        <f t="shared" si="126"/>
        <v>25.799999999999997</v>
      </c>
      <c r="L219" s="50">
        <f t="shared" si="127"/>
        <v>9</v>
      </c>
      <c r="M219" s="37">
        <f t="shared" si="128"/>
        <v>6.9005595957269135</v>
      </c>
      <c r="N219" s="37">
        <f t="shared" si="129"/>
        <v>6.5142857142857142</v>
      </c>
      <c r="O219" s="50">
        <f t="shared" si="130"/>
        <v>84.829690620025247</v>
      </c>
      <c r="P219" s="50">
        <f t="shared" si="131"/>
        <v>14</v>
      </c>
      <c r="Q219" s="8">
        <f t="shared" si="132"/>
        <v>16</v>
      </c>
      <c r="R219" s="48">
        <f t="shared" si="133"/>
        <v>4752</v>
      </c>
      <c r="S219" s="48">
        <f t="shared" si="134"/>
        <v>4039.2</v>
      </c>
      <c r="T219" s="48">
        <f t="shared" si="135"/>
        <v>608.40000000000009</v>
      </c>
      <c r="U219" s="48">
        <f t="shared" si="136"/>
        <v>16609.32</v>
      </c>
      <c r="V219" s="48">
        <f t="shared" si="137"/>
        <v>300000</v>
      </c>
      <c r="W219" s="48">
        <f t="shared" si="138"/>
        <v>800000</v>
      </c>
      <c r="X219" s="48">
        <f t="shared" si="139"/>
        <v>475200</v>
      </c>
      <c r="Y219" s="48">
        <f t="shared" si="140"/>
        <v>741639.6</v>
      </c>
      <c r="Z219" s="48">
        <f t="shared" si="141"/>
        <v>2316839.6</v>
      </c>
      <c r="AA219" s="37">
        <f t="shared" si="142"/>
        <v>0.21666666666666667</v>
      </c>
      <c r="AB219" s="49">
        <f t="shared" si="143"/>
        <v>0.3817956349206349</v>
      </c>
      <c r="AC219" s="49">
        <f t="shared" si="144"/>
        <v>0.76359126984126979</v>
      </c>
      <c r="AD219" s="50">
        <f t="shared" si="145"/>
        <v>14.060999999999998</v>
      </c>
      <c r="AE219" s="8">
        <f t="shared" si="146"/>
        <v>0</v>
      </c>
      <c r="AF219" s="51">
        <f t="shared" si="147"/>
        <v>2316839.6</v>
      </c>
      <c r="AG219" s="8">
        <f t="shared" si="149"/>
        <v>9.9999999999999997E+98</v>
      </c>
      <c r="AH219" s="8" t="str">
        <f t="shared" si="148"/>
        <v>height duplicate</v>
      </c>
      <c r="AI219" s="52">
        <f t="shared" si="150"/>
        <v>290000002316839.44</v>
      </c>
    </row>
    <row r="220" spans="1:35" ht="15" customHeight="1" x14ac:dyDescent="0.25">
      <c r="A220" s="8">
        <v>213</v>
      </c>
      <c r="B220" s="8">
        <f t="shared" si="151"/>
        <v>6</v>
      </c>
      <c r="C220" s="8">
        <v>13</v>
      </c>
      <c r="D220" s="49">
        <f t="shared" si="119"/>
        <v>0.6</v>
      </c>
      <c r="E220" s="50">
        <f t="shared" si="120"/>
        <v>45.99464285714285</v>
      </c>
      <c r="F220" s="37">
        <f t="shared" si="121"/>
        <v>0.76657738095238082</v>
      </c>
      <c r="G220" s="8">
        <f t="shared" si="122"/>
        <v>2</v>
      </c>
      <c r="H220" s="8">
        <f t="shared" si="123"/>
        <v>34</v>
      </c>
      <c r="I220" s="50">
        <f t="shared" si="124"/>
        <v>34</v>
      </c>
      <c r="J220" s="50">
        <f t="shared" si="125"/>
        <v>16.900000000000002</v>
      </c>
      <c r="K220" s="50">
        <f t="shared" si="126"/>
        <v>27.95</v>
      </c>
      <c r="L220" s="50">
        <f t="shared" si="127"/>
        <v>8.5</v>
      </c>
      <c r="M220" s="37">
        <f t="shared" si="128"/>
        <v>6.7195000761478241</v>
      </c>
      <c r="N220" s="37">
        <f t="shared" si="129"/>
        <v>6.5142857142857142</v>
      </c>
      <c r="O220" s="50">
        <f t="shared" si="130"/>
        <v>84.467571580867073</v>
      </c>
      <c r="P220" s="50">
        <f t="shared" si="131"/>
        <v>15</v>
      </c>
      <c r="Q220" s="8">
        <f t="shared" si="132"/>
        <v>17</v>
      </c>
      <c r="R220" s="48">
        <f t="shared" si="133"/>
        <v>4836</v>
      </c>
      <c r="S220" s="48">
        <f t="shared" si="134"/>
        <v>4110.5999999999995</v>
      </c>
      <c r="T220" s="48">
        <f t="shared" si="135"/>
        <v>574.6</v>
      </c>
      <c r="U220" s="48">
        <f t="shared" si="136"/>
        <v>16921.97</v>
      </c>
      <c r="V220" s="48">
        <f t="shared" si="137"/>
        <v>300000</v>
      </c>
      <c r="W220" s="48">
        <f t="shared" si="138"/>
        <v>850000</v>
      </c>
      <c r="X220" s="48">
        <f t="shared" si="139"/>
        <v>483600</v>
      </c>
      <c r="Y220" s="48">
        <f t="shared" si="140"/>
        <v>737499.10000000009</v>
      </c>
      <c r="Z220" s="48">
        <f t="shared" si="141"/>
        <v>2371099.1</v>
      </c>
      <c r="AA220" s="37">
        <f t="shared" si="142"/>
        <v>0.22941176470588237</v>
      </c>
      <c r="AB220" s="49">
        <f t="shared" si="143"/>
        <v>0.38328869047619041</v>
      </c>
      <c r="AC220" s="49">
        <f t="shared" si="144"/>
        <v>0.76657738095238082</v>
      </c>
      <c r="AD220" s="50">
        <f t="shared" si="145"/>
        <v>14.342219999999999</v>
      </c>
      <c r="AE220" s="8">
        <f t="shared" si="146"/>
        <v>0</v>
      </c>
      <c r="AF220" s="51">
        <f t="shared" si="147"/>
        <v>2371099.1</v>
      </c>
      <c r="AG220" s="8">
        <f t="shared" si="149"/>
        <v>9.9999999999999997E+98</v>
      </c>
      <c r="AH220" s="8" t="str">
        <f t="shared" si="148"/>
        <v>height duplicate</v>
      </c>
      <c r="AI220" s="52">
        <f t="shared" si="150"/>
        <v>397500002371099.06</v>
      </c>
    </row>
    <row r="221" spans="1:35" ht="15" customHeight="1" x14ac:dyDescent="0.25">
      <c r="A221" s="8">
        <v>214</v>
      </c>
      <c r="B221" s="8">
        <f t="shared" si="151"/>
        <v>6</v>
      </c>
      <c r="C221" s="8">
        <v>14</v>
      </c>
      <c r="D221" s="49">
        <f t="shared" si="119"/>
        <v>0.6</v>
      </c>
      <c r="E221" s="50">
        <f t="shared" si="120"/>
        <v>46.173809523809517</v>
      </c>
      <c r="F221" s="37">
        <f t="shared" si="121"/>
        <v>0.76956349206349195</v>
      </c>
      <c r="G221" s="8">
        <f t="shared" si="122"/>
        <v>2</v>
      </c>
      <c r="H221" s="8">
        <f t="shared" si="123"/>
        <v>32</v>
      </c>
      <c r="I221" s="50">
        <f t="shared" si="124"/>
        <v>32</v>
      </c>
      <c r="J221" s="50">
        <f t="shared" si="125"/>
        <v>16.900000000000002</v>
      </c>
      <c r="K221" s="50">
        <f t="shared" si="126"/>
        <v>30.099999999999998</v>
      </c>
      <c r="L221" s="50">
        <f t="shared" si="127"/>
        <v>8</v>
      </c>
      <c r="M221" s="37">
        <f t="shared" si="128"/>
        <v>6.5381295451927768</v>
      </c>
      <c r="N221" s="37">
        <f t="shared" si="129"/>
        <v>6.5142857142857142</v>
      </c>
      <c r="O221" s="50">
        <f t="shared" si="130"/>
        <v>84.104830518956973</v>
      </c>
      <c r="P221" s="50">
        <f t="shared" si="131"/>
        <v>16</v>
      </c>
      <c r="Q221" s="8">
        <f t="shared" si="132"/>
        <v>18</v>
      </c>
      <c r="R221" s="48">
        <f t="shared" si="133"/>
        <v>4872</v>
      </c>
      <c r="S221" s="48">
        <f t="shared" si="134"/>
        <v>4141.2</v>
      </c>
      <c r="T221" s="48">
        <f t="shared" si="135"/>
        <v>540.80000000000007</v>
      </c>
      <c r="U221" s="48">
        <f t="shared" si="136"/>
        <v>17089.280000000002</v>
      </c>
      <c r="V221" s="48">
        <f t="shared" si="137"/>
        <v>300000</v>
      </c>
      <c r="W221" s="48">
        <f t="shared" si="138"/>
        <v>900000</v>
      </c>
      <c r="X221" s="48">
        <f t="shared" si="139"/>
        <v>487200</v>
      </c>
      <c r="Y221" s="48">
        <f t="shared" si="140"/>
        <v>728998.40000000014</v>
      </c>
      <c r="Z221" s="48">
        <f t="shared" si="141"/>
        <v>2416198.4000000004</v>
      </c>
      <c r="AA221" s="37">
        <f t="shared" si="142"/>
        <v>0.24375000000000002</v>
      </c>
      <c r="AB221" s="49">
        <f t="shared" si="143"/>
        <v>0.38478174603174597</v>
      </c>
      <c r="AC221" s="49">
        <f t="shared" si="144"/>
        <v>0.76956349206349195</v>
      </c>
      <c r="AD221" s="50">
        <f t="shared" si="145"/>
        <v>14.623439999999999</v>
      </c>
      <c r="AE221" s="8">
        <f t="shared" si="146"/>
        <v>0</v>
      </c>
      <c r="AF221" s="51">
        <f t="shared" si="147"/>
        <v>2416198.4000000004</v>
      </c>
      <c r="AG221" s="8">
        <f t="shared" si="149"/>
        <v>9.9999999999999997E+98</v>
      </c>
      <c r="AH221" s="8" t="str">
        <f t="shared" si="148"/>
        <v>height duplicate</v>
      </c>
      <c r="AI221" s="52">
        <f t="shared" si="150"/>
        <v>505000002416198.31</v>
      </c>
    </row>
    <row r="222" spans="1:35" ht="15" customHeight="1" x14ac:dyDescent="0.25">
      <c r="A222" s="8">
        <v>215</v>
      </c>
      <c r="B222" s="8">
        <f t="shared" si="151"/>
        <v>6</v>
      </c>
      <c r="C222" s="8">
        <v>15</v>
      </c>
      <c r="D222" s="49">
        <f t="shared" si="119"/>
        <v>0.60000000000000009</v>
      </c>
      <c r="E222" s="50">
        <f t="shared" si="120"/>
        <v>46.352976190476163</v>
      </c>
      <c r="F222" s="37">
        <f t="shared" si="121"/>
        <v>0.77254960317460286</v>
      </c>
      <c r="G222" s="8">
        <f t="shared" si="122"/>
        <v>2</v>
      </c>
      <c r="H222" s="8">
        <f t="shared" si="123"/>
        <v>30</v>
      </c>
      <c r="I222" s="50">
        <f t="shared" si="124"/>
        <v>30</v>
      </c>
      <c r="J222" s="50">
        <f t="shared" si="125"/>
        <v>16.900000000000002</v>
      </c>
      <c r="K222" s="50">
        <f t="shared" si="126"/>
        <v>32.25</v>
      </c>
      <c r="L222" s="50">
        <f t="shared" si="127"/>
        <v>7.5</v>
      </c>
      <c r="M222" s="37">
        <f t="shared" si="128"/>
        <v>6.3563858005865805</v>
      </c>
      <c r="N222" s="37">
        <f t="shared" si="129"/>
        <v>6.5142857142857142</v>
      </c>
      <c r="O222" s="50">
        <f t="shared" si="130"/>
        <v>83.741343029744584</v>
      </c>
      <c r="P222" s="50">
        <f t="shared" si="131"/>
        <v>17</v>
      </c>
      <c r="Q222" s="8">
        <f t="shared" si="132"/>
        <v>19</v>
      </c>
      <c r="R222" s="48">
        <f t="shared" si="133"/>
        <v>4860</v>
      </c>
      <c r="S222" s="48">
        <f t="shared" si="134"/>
        <v>4131</v>
      </c>
      <c r="T222" s="48">
        <f t="shared" si="135"/>
        <v>507.00000000000006</v>
      </c>
      <c r="U222" s="48">
        <f t="shared" si="136"/>
        <v>17111.250000000004</v>
      </c>
      <c r="V222" s="48">
        <f t="shared" si="137"/>
        <v>300000</v>
      </c>
      <c r="W222" s="48">
        <f t="shared" si="138"/>
        <v>950000</v>
      </c>
      <c r="X222" s="48">
        <f t="shared" si="139"/>
        <v>486000</v>
      </c>
      <c r="Y222" s="48">
        <f t="shared" si="140"/>
        <v>716137.50000000012</v>
      </c>
      <c r="Z222" s="48">
        <f t="shared" si="141"/>
        <v>2452137.5</v>
      </c>
      <c r="AA222" s="37">
        <f t="shared" si="142"/>
        <v>0.26</v>
      </c>
      <c r="AB222" s="49">
        <f t="shared" si="143"/>
        <v>0.38627480158730143</v>
      </c>
      <c r="AC222" s="49">
        <f t="shared" si="144"/>
        <v>0.77254960317460286</v>
      </c>
      <c r="AD222" s="50">
        <f t="shared" si="145"/>
        <v>14.904659999999998</v>
      </c>
      <c r="AE222" s="8">
        <f t="shared" si="146"/>
        <v>0</v>
      </c>
      <c r="AF222" s="51">
        <f t="shared" si="147"/>
        <v>2452137.5</v>
      </c>
      <c r="AG222" s="8">
        <f t="shared" si="149"/>
        <v>9.9999999999999997E+98</v>
      </c>
      <c r="AH222" s="8" t="str">
        <f t="shared" si="148"/>
        <v>height duplicate</v>
      </c>
      <c r="AI222" s="52">
        <f t="shared" si="150"/>
        <v>612500002452137.5</v>
      </c>
    </row>
    <row r="223" spans="1:35" ht="15" customHeight="1" x14ac:dyDescent="0.25">
      <c r="A223" s="8">
        <v>216</v>
      </c>
      <c r="B223" s="8">
        <f t="shared" si="151"/>
        <v>6</v>
      </c>
      <c r="C223" s="8">
        <v>16</v>
      </c>
      <c r="D223" s="49">
        <f t="shared" si="119"/>
        <v>0.59999999999999987</v>
      </c>
      <c r="E223" s="50">
        <f t="shared" si="120"/>
        <v>46.532142857142851</v>
      </c>
      <c r="F223" s="37">
        <f t="shared" si="121"/>
        <v>0.775535714285714</v>
      </c>
      <c r="G223" s="8">
        <f t="shared" si="122"/>
        <v>2</v>
      </c>
      <c r="H223" s="8">
        <f t="shared" si="123"/>
        <v>28</v>
      </c>
      <c r="I223" s="50">
        <f t="shared" si="124"/>
        <v>28</v>
      </c>
      <c r="J223" s="50">
        <f t="shared" si="125"/>
        <v>16.900000000000002</v>
      </c>
      <c r="K223" s="50">
        <f t="shared" si="126"/>
        <v>34.4</v>
      </c>
      <c r="L223" s="50">
        <f t="shared" si="127"/>
        <v>7</v>
      </c>
      <c r="M223" s="37">
        <f t="shared" si="128"/>
        <v>6.1741888679754187</v>
      </c>
      <c r="N223" s="37">
        <f t="shared" si="129"/>
        <v>6.5142857142857142</v>
      </c>
      <c r="O223" s="50">
        <f t="shared" si="130"/>
        <v>83.376949164522259</v>
      </c>
      <c r="P223" s="50">
        <f t="shared" si="131"/>
        <v>18</v>
      </c>
      <c r="Q223" s="8">
        <f t="shared" si="132"/>
        <v>20</v>
      </c>
      <c r="R223" s="48">
        <f t="shared" si="133"/>
        <v>4800</v>
      </c>
      <c r="S223" s="48">
        <f t="shared" si="134"/>
        <v>4080</v>
      </c>
      <c r="T223" s="48">
        <f t="shared" si="135"/>
        <v>473.20000000000005</v>
      </c>
      <c r="U223" s="48">
        <f t="shared" si="136"/>
        <v>16987.88</v>
      </c>
      <c r="V223" s="48">
        <f t="shared" si="137"/>
        <v>300000</v>
      </c>
      <c r="W223" s="48">
        <f t="shared" si="138"/>
        <v>1000000</v>
      </c>
      <c r="X223" s="48">
        <f t="shared" si="139"/>
        <v>480000</v>
      </c>
      <c r="Y223" s="48">
        <f t="shared" si="140"/>
        <v>698916.4</v>
      </c>
      <c r="Z223" s="48">
        <f t="shared" si="141"/>
        <v>2478916.4</v>
      </c>
      <c r="AA223" s="37">
        <f t="shared" si="142"/>
        <v>0.27857142857142858</v>
      </c>
      <c r="AB223" s="49">
        <f t="shared" si="143"/>
        <v>0.387767857142857</v>
      </c>
      <c r="AC223" s="49">
        <f t="shared" si="144"/>
        <v>0.775535714285714</v>
      </c>
      <c r="AD223" s="50">
        <f t="shared" si="145"/>
        <v>15.185879999999999</v>
      </c>
      <c r="AE223" s="8">
        <f t="shared" si="146"/>
        <v>0</v>
      </c>
      <c r="AF223" s="51">
        <f t="shared" si="147"/>
        <v>2478916.4</v>
      </c>
      <c r="AG223" s="8">
        <f t="shared" si="149"/>
        <v>9.9999999999999997E+98</v>
      </c>
      <c r="AH223" s="8" t="str">
        <f t="shared" si="148"/>
        <v>height duplicate</v>
      </c>
      <c r="AI223" s="52">
        <f t="shared" si="150"/>
        <v>720000002478916.5</v>
      </c>
    </row>
    <row r="224" spans="1:35" ht="15" customHeight="1" x14ac:dyDescent="0.25">
      <c r="A224" s="8">
        <v>217</v>
      </c>
      <c r="B224" s="8">
        <f t="shared" si="151"/>
        <v>6</v>
      </c>
      <c r="C224" s="8">
        <v>17</v>
      </c>
      <c r="D224" s="49">
        <f t="shared" si="119"/>
        <v>0.6</v>
      </c>
      <c r="E224" s="50">
        <f t="shared" si="120"/>
        <v>46.711309523809518</v>
      </c>
      <c r="F224" s="37">
        <f t="shared" si="121"/>
        <v>0.77852182539682535</v>
      </c>
      <c r="G224" s="8">
        <f t="shared" si="122"/>
        <v>2</v>
      </c>
      <c r="H224" s="8">
        <f t="shared" si="123"/>
        <v>27</v>
      </c>
      <c r="I224" s="50">
        <f t="shared" si="124"/>
        <v>27</v>
      </c>
      <c r="J224" s="50">
        <f t="shared" si="125"/>
        <v>16.900000000000002</v>
      </c>
      <c r="K224" s="50">
        <f t="shared" si="126"/>
        <v>36.549999999999997</v>
      </c>
      <c r="L224" s="50">
        <f t="shared" si="127"/>
        <v>6.75</v>
      </c>
      <c r="M224" s="37">
        <f t="shared" si="128"/>
        <v>6.0828889847787408</v>
      </c>
      <c r="N224" s="37">
        <f t="shared" si="129"/>
        <v>6.5142857142857142</v>
      </c>
      <c r="O224" s="50">
        <f t="shared" si="130"/>
        <v>83.194349398128907</v>
      </c>
      <c r="P224" s="50">
        <f t="shared" si="131"/>
        <v>19</v>
      </c>
      <c r="Q224" s="8">
        <f t="shared" si="132"/>
        <v>21</v>
      </c>
      <c r="R224" s="48">
        <f t="shared" si="133"/>
        <v>4896</v>
      </c>
      <c r="S224" s="48">
        <f t="shared" si="134"/>
        <v>4161.5999999999995</v>
      </c>
      <c r="T224" s="48">
        <f t="shared" si="135"/>
        <v>456.30000000000007</v>
      </c>
      <c r="U224" s="48">
        <f t="shared" si="136"/>
        <v>17362.215</v>
      </c>
      <c r="V224" s="48">
        <f t="shared" si="137"/>
        <v>300000</v>
      </c>
      <c r="W224" s="48">
        <f t="shared" si="138"/>
        <v>1050000</v>
      </c>
      <c r="X224" s="48">
        <f t="shared" si="139"/>
        <v>489600</v>
      </c>
      <c r="Y224" s="48">
        <f t="shared" si="140"/>
        <v>703386.45000000007</v>
      </c>
      <c r="Z224" s="48">
        <f t="shared" si="141"/>
        <v>2542986.4500000002</v>
      </c>
      <c r="AA224" s="37">
        <f t="shared" si="142"/>
        <v>0.28888888888888892</v>
      </c>
      <c r="AB224" s="49">
        <f t="shared" si="143"/>
        <v>0.38926091269841268</v>
      </c>
      <c r="AC224" s="49">
        <f t="shared" si="144"/>
        <v>0.77852182539682535</v>
      </c>
      <c r="AD224" s="50">
        <f t="shared" si="145"/>
        <v>15.4671</v>
      </c>
      <c r="AE224" s="8">
        <f t="shared" si="146"/>
        <v>0</v>
      </c>
      <c r="AF224" s="51">
        <f t="shared" si="147"/>
        <v>2542986.4500000002</v>
      </c>
      <c r="AG224" s="8">
        <f t="shared" si="149"/>
        <v>9.9999999999999997E+98</v>
      </c>
      <c r="AH224" s="8" t="str">
        <f t="shared" si="148"/>
        <v>height duplicate</v>
      </c>
      <c r="AI224" s="52">
        <f t="shared" si="150"/>
        <v>827500002542986.38</v>
      </c>
    </row>
    <row r="225" spans="1:35" ht="15" customHeight="1" x14ac:dyDescent="0.25">
      <c r="A225" s="8">
        <v>218</v>
      </c>
      <c r="B225" s="8">
        <f t="shared" si="151"/>
        <v>6</v>
      </c>
      <c r="C225" s="8">
        <v>18</v>
      </c>
      <c r="D225" s="49">
        <f t="shared" si="119"/>
        <v>0.6</v>
      </c>
      <c r="E225" s="50">
        <f t="shared" si="120"/>
        <v>46.890476190476186</v>
      </c>
      <c r="F225" s="37">
        <f t="shared" si="121"/>
        <v>0.78150793650793637</v>
      </c>
      <c r="G225" s="8">
        <f t="shared" si="122"/>
        <v>2</v>
      </c>
      <c r="H225" s="8">
        <f t="shared" si="123"/>
        <v>25</v>
      </c>
      <c r="I225" s="50">
        <f t="shared" si="124"/>
        <v>25</v>
      </c>
      <c r="J225" s="50">
        <f t="shared" si="125"/>
        <v>16.900000000000002</v>
      </c>
      <c r="K225" s="50">
        <f t="shared" si="126"/>
        <v>38.699999999999996</v>
      </c>
      <c r="L225" s="50">
        <f t="shared" si="127"/>
        <v>6.25</v>
      </c>
      <c r="M225" s="37">
        <f t="shared" si="128"/>
        <v>5.8998058178467536</v>
      </c>
      <c r="N225" s="37">
        <f t="shared" si="129"/>
        <v>6.5142857142857142</v>
      </c>
      <c r="O225" s="50">
        <f t="shared" si="130"/>
        <v>82.828183064264934</v>
      </c>
      <c r="P225" s="50">
        <f t="shared" si="131"/>
        <v>20</v>
      </c>
      <c r="Q225" s="8">
        <f t="shared" si="132"/>
        <v>22</v>
      </c>
      <c r="R225" s="48">
        <f t="shared" si="133"/>
        <v>4752</v>
      </c>
      <c r="S225" s="48">
        <f t="shared" si="134"/>
        <v>4039.2</v>
      </c>
      <c r="T225" s="48">
        <f t="shared" si="135"/>
        <v>422.50000000000006</v>
      </c>
      <c r="U225" s="48">
        <f t="shared" si="136"/>
        <v>16984.5</v>
      </c>
      <c r="V225" s="48">
        <f t="shared" si="137"/>
        <v>300000</v>
      </c>
      <c r="W225" s="48">
        <f t="shared" si="138"/>
        <v>1100000</v>
      </c>
      <c r="X225" s="48">
        <f t="shared" si="139"/>
        <v>475200</v>
      </c>
      <c r="Y225" s="48">
        <f t="shared" si="140"/>
        <v>678535</v>
      </c>
      <c r="Z225" s="48">
        <f t="shared" si="141"/>
        <v>2553735</v>
      </c>
      <c r="AA225" s="37">
        <f t="shared" si="142"/>
        <v>0.31200000000000006</v>
      </c>
      <c r="AB225" s="49">
        <f t="shared" si="143"/>
        <v>0.39075396825396819</v>
      </c>
      <c r="AC225" s="49">
        <f t="shared" si="144"/>
        <v>0.78150793650793637</v>
      </c>
      <c r="AD225" s="50">
        <f t="shared" si="145"/>
        <v>15.748319999999998</v>
      </c>
      <c r="AE225" s="8">
        <f t="shared" si="146"/>
        <v>0</v>
      </c>
      <c r="AF225" s="51">
        <f t="shared" si="147"/>
        <v>2553735</v>
      </c>
      <c r="AG225" s="8">
        <f t="shared" si="149"/>
        <v>9.9999999999999997E+98</v>
      </c>
      <c r="AH225" s="8" t="str">
        <f t="shared" si="148"/>
        <v>height duplicate</v>
      </c>
      <c r="AI225" s="52">
        <f t="shared" si="150"/>
        <v>935000002553734.88</v>
      </c>
    </row>
    <row r="226" spans="1:35" ht="15" customHeight="1" x14ac:dyDescent="0.25">
      <c r="A226" s="8">
        <v>219</v>
      </c>
      <c r="B226" s="8">
        <f t="shared" si="151"/>
        <v>6</v>
      </c>
      <c r="C226" s="8">
        <v>19</v>
      </c>
      <c r="D226" s="49">
        <f t="shared" si="119"/>
        <v>0.6</v>
      </c>
      <c r="E226" s="50">
        <f t="shared" si="120"/>
        <v>47.069642857142867</v>
      </c>
      <c r="F226" s="37">
        <f t="shared" si="121"/>
        <v>0.78449404761904773</v>
      </c>
      <c r="G226" s="8">
        <f t="shared" si="122"/>
        <v>2</v>
      </c>
      <c r="H226" s="8">
        <f t="shared" si="123"/>
        <v>24</v>
      </c>
      <c r="I226" s="50">
        <f t="shared" si="124"/>
        <v>24</v>
      </c>
      <c r="J226" s="50">
        <f t="shared" si="125"/>
        <v>16.900000000000002</v>
      </c>
      <c r="K226" s="50">
        <f t="shared" si="126"/>
        <v>40.85</v>
      </c>
      <c r="L226" s="50">
        <f t="shared" si="127"/>
        <v>6</v>
      </c>
      <c r="M226" s="37">
        <f t="shared" si="128"/>
        <v>5.8079822507332253</v>
      </c>
      <c r="N226" s="37">
        <f t="shared" si="129"/>
        <v>6.5142857142857142</v>
      </c>
      <c r="O226" s="50">
        <f t="shared" si="130"/>
        <v>82.644535930037875</v>
      </c>
      <c r="P226" s="50">
        <f t="shared" si="131"/>
        <v>21</v>
      </c>
      <c r="Q226" s="8">
        <f t="shared" si="132"/>
        <v>23</v>
      </c>
      <c r="R226" s="48">
        <f t="shared" si="133"/>
        <v>4788</v>
      </c>
      <c r="S226" s="48">
        <f t="shared" si="134"/>
        <v>4069.7999999999997</v>
      </c>
      <c r="T226" s="48">
        <f t="shared" si="135"/>
        <v>405.6</v>
      </c>
      <c r="U226" s="48">
        <f t="shared" si="136"/>
        <v>17177.16</v>
      </c>
      <c r="V226" s="48">
        <f t="shared" si="137"/>
        <v>300000</v>
      </c>
      <c r="W226" s="48">
        <f t="shared" si="138"/>
        <v>1150000</v>
      </c>
      <c r="X226" s="48">
        <f t="shared" si="139"/>
        <v>478800</v>
      </c>
      <c r="Y226" s="48">
        <f t="shared" si="140"/>
        <v>677554.8</v>
      </c>
      <c r="Z226" s="48">
        <f t="shared" si="141"/>
        <v>2606354.7999999998</v>
      </c>
      <c r="AA226" s="37">
        <f t="shared" si="142"/>
        <v>0.32500000000000001</v>
      </c>
      <c r="AB226" s="49">
        <f t="shared" si="143"/>
        <v>0.39224702380952386</v>
      </c>
      <c r="AC226" s="49">
        <f t="shared" si="144"/>
        <v>0.78449404761904773</v>
      </c>
      <c r="AD226" s="50">
        <f t="shared" si="145"/>
        <v>16.029539999999997</v>
      </c>
      <c r="AE226" s="8">
        <f t="shared" si="146"/>
        <v>0</v>
      </c>
      <c r="AF226" s="51">
        <f t="shared" si="147"/>
        <v>2606354.7999999998</v>
      </c>
      <c r="AG226" s="8">
        <f t="shared" si="149"/>
        <v>9.9999999999999997E+98</v>
      </c>
      <c r="AH226" s="8" t="str">
        <f t="shared" si="148"/>
        <v>height duplicate</v>
      </c>
      <c r="AI226" s="52">
        <f t="shared" si="150"/>
        <v>1042500002606354.9</v>
      </c>
    </row>
    <row r="227" spans="1:35" ht="15" customHeight="1" x14ac:dyDescent="0.25">
      <c r="A227" s="8">
        <v>220</v>
      </c>
      <c r="B227" s="8">
        <f t="shared" si="151"/>
        <v>6</v>
      </c>
      <c r="C227" s="8">
        <v>20</v>
      </c>
      <c r="D227" s="49">
        <f t="shared" si="119"/>
        <v>0.59999999999999987</v>
      </c>
      <c r="E227" s="50">
        <f t="shared" si="120"/>
        <v>47.248809523809541</v>
      </c>
      <c r="F227" s="37">
        <f t="shared" si="121"/>
        <v>0.78748015873015886</v>
      </c>
      <c r="G227" s="8">
        <f t="shared" si="122"/>
        <v>2</v>
      </c>
      <c r="H227" s="8">
        <f t="shared" si="123"/>
        <v>23</v>
      </c>
      <c r="I227" s="50">
        <f t="shared" si="124"/>
        <v>23</v>
      </c>
      <c r="J227" s="50">
        <f t="shared" si="125"/>
        <v>16.900000000000002</v>
      </c>
      <c r="K227" s="50">
        <f t="shared" si="126"/>
        <v>43</v>
      </c>
      <c r="L227" s="50">
        <f t="shared" si="127"/>
        <v>5.75</v>
      </c>
      <c r="M227" s="37">
        <f t="shared" si="128"/>
        <v>5.7159380007651057</v>
      </c>
      <c r="N227" s="37">
        <f t="shared" si="129"/>
        <v>6.5142857142857142</v>
      </c>
      <c r="O227" s="50">
        <f t="shared" si="130"/>
        <v>82.460447430101638</v>
      </c>
      <c r="P227" s="50">
        <f t="shared" si="131"/>
        <v>22</v>
      </c>
      <c r="Q227" s="8">
        <f t="shared" si="132"/>
        <v>24</v>
      </c>
      <c r="R227" s="48">
        <f t="shared" si="133"/>
        <v>4800</v>
      </c>
      <c r="S227" s="48">
        <f t="shared" si="134"/>
        <v>4080</v>
      </c>
      <c r="T227" s="48">
        <f t="shared" si="135"/>
        <v>388.70000000000005</v>
      </c>
      <c r="U227" s="48">
        <f t="shared" si="136"/>
        <v>17297.150000000001</v>
      </c>
      <c r="V227" s="48">
        <f t="shared" si="137"/>
        <v>300000</v>
      </c>
      <c r="W227" s="48">
        <f t="shared" si="138"/>
        <v>1200000</v>
      </c>
      <c r="X227" s="48">
        <f t="shared" si="139"/>
        <v>480000</v>
      </c>
      <c r="Y227" s="48">
        <f t="shared" si="140"/>
        <v>674394.50000000012</v>
      </c>
      <c r="Z227" s="48">
        <f t="shared" si="141"/>
        <v>2654394.5</v>
      </c>
      <c r="AA227" s="37">
        <f t="shared" si="142"/>
        <v>0.33913043478260874</v>
      </c>
      <c r="AB227" s="49">
        <f t="shared" si="143"/>
        <v>0.39374007936507943</v>
      </c>
      <c r="AC227" s="49">
        <f t="shared" si="144"/>
        <v>0.78748015873015886</v>
      </c>
      <c r="AD227" s="50">
        <f t="shared" si="145"/>
        <v>16.310760000000005</v>
      </c>
      <c r="AE227" s="8">
        <f t="shared" si="146"/>
        <v>0</v>
      </c>
      <c r="AF227" s="51">
        <f t="shared" si="147"/>
        <v>2654394.5</v>
      </c>
      <c r="AG227" s="8">
        <f t="shared" si="149"/>
        <v>9.9999999999999997E+98</v>
      </c>
      <c r="AH227" s="8" t="str">
        <f t="shared" si="148"/>
        <v>height duplicate</v>
      </c>
      <c r="AI227" s="52">
        <f t="shared" si="150"/>
        <v>1150000002654394.5</v>
      </c>
    </row>
  </sheetData>
  <conditionalFormatting sqref="AK7:AU26">
    <cfRule type="expression" dxfId="0" priority="2">
      <formula>ISNA(AK7)</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52"/>
  <sheetViews>
    <sheetView showGridLines="0" zoomScaleNormal="100" workbookViewId="0"/>
  </sheetViews>
  <sheetFormatPr defaultColWidth="8.7109375" defaultRowHeight="15" x14ac:dyDescent="0.25"/>
  <cols>
    <col min="1" max="1" width="30" customWidth="1"/>
  </cols>
  <sheetData>
    <row r="1" spans="1:28" ht="18" customHeight="1" x14ac:dyDescent="0.3">
      <c r="A1" s="3" t="s">
        <v>209</v>
      </c>
    </row>
    <row r="3" spans="1:28" ht="15" customHeight="1" x14ac:dyDescent="0.25">
      <c r="A3" t="s">
        <v>210</v>
      </c>
    </row>
    <row r="4" spans="1:28" ht="15" customHeight="1" x14ac:dyDescent="0.25">
      <c r="A4" t="s">
        <v>211</v>
      </c>
      <c r="C4">
        <v>1</v>
      </c>
      <c r="D4">
        <v>2</v>
      </c>
      <c r="E4">
        <v>3</v>
      </c>
      <c r="F4">
        <v>4</v>
      </c>
      <c r="G4">
        <v>5</v>
      </c>
      <c r="H4">
        <v>6</v>
      </c>
      <c r="I4">
        <v>7</v>
      </c>
      <c r="J4">
        <v>8</v>
      </c>
      <c r="K4">
        <v>9</v>
      </c>
      <c r="L4">
        <v>10</v>
      </c>
      <c r="M4">
        <v>11</v>
      </c>
      <c r="N4">
        <v>12</v>
      </c>
      <c r="O4">
        <v>13</v>
      </c>
      <c r="P4">
        <v>14</v>
      </c>
      <c r="Q4">
        <v>15</v>
      </c>
      <c r="R4">
        <v>16</v>
      </c>
      <c r="S4">
        <v>17</v>
      </c>
      <c r="T4">
        <v>18</v>
      </c>
      <c r="U4">
        <v>19</v>
      </c>
      <c r="V4">
        <v>20</v>
      </c>
    </row>
    <row r="5" spans="1:28" ht="15" customHeight="1" x14ac:dyDescent="0.25">
      <c r="A5" t="s">
        <v>212</v>
      </c>
      <c r="C5">
        <f t="shared" ref="C5:V5" si="0">(C4-1)*u_h</f>
        <v>0</v>
      </c>
      <c r="D5">
        <f t="shared" si="0"/>
        <v>2.15</v>
      </c>
      <c r="E5">
        <f t="shared" si="0"/>
        <v>4.3</v>
      </c>
      <c r="F5">
        <f t="shared" si="0"/>
        <v>6.4499999999999993</v>
      </c>
      <c r="G5">
        <f t="shared" si="0"/>
        <v>8.6</v>
      </c>
      <c r="H5">
        <f t="shared" si="0"/>
        <v>10.75</v>
      </c>
      <c r="I5">
        <f t="shared" si="0"/>
        <v>12.899999999999999</v>
      </c>
      <c r="J5">
        <f t="shared" si="0"/>
        <v>15.049999999999999</v>
      </c>
      <c r="K5">
        <f t="shared" si="0"/>
        <v>17.2</v>
      </c>
      <c r="L5">
        <f t="shared" si="0"/>
        <v>19.349999999999998</v>
      </c>
      <c r="M5">
        <f t="shared" si="0"/>
        <v>21.5</v>
      </c>
      <c r="N5">
        <f t="shared" si="0"/>
        <v>23.65</v>
      </c>
      <c r="O5">
        <f t="shared" si="0"/>
        <v>25.799999999999997</v>
      </c>
      <c r="P5">
        <f t="shared" si="0"/>
        <v>27.95</v>
      </c>
      <c r="Q5">
        <f t="shared" si="0"/>
        <v>30.099999999999998</v>
      </c>
      <c r="R5">
        <f t="shared" si="0"/>
        <v>32.25</v>
      </c>
      <c r="S5">
        <f t="shared" si="0"/>
        <v>34.4</v>
      </c>
      <c r="T5">
        <f t="shared" si="0"/>
        <v>36.549999999999997</v>
      </c>
      <c r="U5">
        <f t="shared" si="0"/>
        <v>38.699999999999996</v>
      </c>
      <c r="V5">
        <f t="shared" si="0"/>
        <v>40.85</v>
      </c>
    </row>
    <row r="6" spans="1:28" ht="15" customHeight="1" x14ac:dyDescent="0.25">
      <c r="A6" t="s">
        <v>213</v>
      </c>
      <c r="C6">
        <f t="shared" ref="C6:V6" si="1">IF((C5)&lt;=0,0,IF((C5)&gt;=v_lift^2/a_lift,(C5)/v_lift+v_lift/a_lift,2*SQRT((C5)/a_lift)))</f>
        <v>0</v>
      </c>
      <c r="D6">
        <f t="shared" si="1"/>
        <v>3.5785714285714283</v>
      </c>
      <c r="E6">
        <f t="shared" si="1"/>
        <v>5.7285714285714286</v>
      </c>
      <c r="F6">
        <f t="shared" si="1"/>
        <v>7.8785714285714281</v>
      </c>
      <c r="G6">
        <f t="shared" si="1"/>
        <v>10.028571428571428</v>
      </c>
      <c r="H6">
        <f t="shared" si="1"/>
        <v>12.178571428571429</v>
      </c>
      <c r="I6">
        <f t="shared" si="1"/>
        <v>14.328571428571427</v>
      </c>
      <c r="J6">
        <f t="shared" si="1"/>
        <v>16.478571428571428</v>
      </c>
      <c r="K6">
        <f t="shared" si="1"/>
        <v>18.628571428571426</v>
      </c>
      <c r="L6">
        <f t="shared" si="1"/>
        <v>20.778571428571425</v>
      </c>
      <c r="M6">
        <f t="shared" si="1"/>
        <v>22.928571428571427</v>
      </c>
      <c r="N6">
        <f t="shared" si="1"/>
        <v>25.078571428571426</v>
      </c>
      <c r="O6">
        <f t="shared" si="1"/>
        <v>27.228571428571424</v>
      </c>
      <c r="P6">
        <f t="shared" si="1"/>
        <v>29.378571428571426</v>
      </c>
      <c r="Q6">
        <f t="shared" si="1"/>
        <v>31.528571428571425</v>
      </c>
      <c r="R6">
        <f t="shared" si="1"/>
        <v>33.678571428571431</v>
      </c>
      <c r="S6">
        <f t="shared" si="1"/>
        <v>35.828571428571429</v>
      </c>
      <c r="T6">
        <f t="shared" si="1"/>
        <v>37.978571428571428</v>
      </c>
      <c r="U6">
        <f t="shared" si="1"/>
        <v>40.128571428571426</v>
      </c>
      <c r="V6">
        <f t="shared" si="1"/>
        <v>42.278571428571432</v>
      </c>
    </row>
    <row r="7" spans="1:28" ht="15" customHeight="1" x14ac:dyDescent="0.25">
      <c r="A7" t="s">
        <v>214</v>
      </c>
      <c r="C7">
        <f t="shared" ref="C7:V7" si="2">IF(C4&gt;=2,t_ch+t_I+2*C6+2*t_pos,0)</f>
        <v>0</v>
      </c>
      <c r="D7">
        <f t="shared" si="2"/>
        <v>41.157142857142858</v>
      </c>
      <c r="E7">
        <f t="shared" si="2"/>
        <v>45.457142857142856</v>
      </c>
      <c r="F7">
        <f t="shared" si="2"/>
        <v>49.757142857142853</v>
      </c>
      <c r="G7">
        <f t="shared" si="2"/>
        <v>54.057142857142857</v>
      </c>
      <c r="H7">
        <f t="shared" si="2"/>
        <v>58.357142857142861</v>
      </c>
      <c r="I7">
        <f t="shared" si="2"/>
        <v>62.657142857142858</v>
      </c>
      <c r="J7">
        <f t="shared" si="2"/>
        <v>66.957142857142856</v>
      </c>
      <c r="K7">
        <f t="shared" si="2"/>
        <v>71.257142857142853</v>
      </c>
      <c r="L7">
        <f t="shared" si="2"/>
        <v>75.55714285714285</v>
      </c>
      <c r="M7">
        <f t="shared" si="2"/>
        <v>79.857142857142861</v>
      </c>
      <c r="N7">
        <f t="shared" si="2"/>
        <v>84.157142857142844</v>
      </c>
      <c r="O7">
        <f t="shared" si="2"/>
        <v>88.457142857142856</v>
      </c>
      <c r="P7">
        <f t="shared" si="2"/>
        <v>92.757142857142853</v>
      </c>
      <c r="Q7">
        <f t="shared" si="2"/>
        <v>97.05714285714285</v>
      </c>
      <c r="R7">
        <f t="shared" si="2"/>
        <v>101.35714285714286</v>
      </c>
      <c r="S7">
        <f t="shared" si="2"/>
        <v>105.65714285714286</v>
      </c>
      <c r="T7">
        <f t="shared" si="2"/>
        <v>109.95714285714286</v>
      </c>
      <c r="U7">
        <f t="shared" si="2"/>
        <v>114.25714285714285</v>
      </c>
      <c r="V7">
        <f t="shared" si="2"/>
        <v>118.55714285714286</v>
      </c>
    </row>
    <row r="9" spans="1:28" ht="30" customHeight="1" x14ac:dyDescent="0.25">
      <c r="A9" s="28" t="s">
        <v>215</v>
      </c>
      <c r="X9" s="5" t="s">
        <v>216</v>
      </c>
      <c r="Y9" s="5" t="s">
        <v>217</v>
      </c>
      <c r="Z9" s="5" t="s">
        <v>186</v>
      </c>
      <c r="AA9" s="5" t="s">
        <v>218</v>
      </c>
      <c r="AB9" s="5" t="s">
        <v>219</v>
      </c>
    </row>
    <row r="10" spans="1:28" ht="15" customHeight="1" x14ac:dyDescent="0.25">
      <c r="A10">
        <v>1</v>
      </c>
      <c r="C10">
        <f t="shared" ref="C10:L19" si="3">IF(C$4&gt;$A10,0,IF(OR(dist_mode="Uniform",shareA+shareB+shareC&lt;=0),1,IF(C$4&lt;=nA,shareA/nA,IF(C$4&lt;=nA+nB,shareB/nB,IF($A10-nA-nB&gt;0,shareC/($A10-nA-nB),0)))))</f>
        <v>0.4</v>
      </c>
      <c r="D10">
        <f t="shared" si="3"/>
        <v>0</v>
      </c>
      <c r="E10">
        <f t="shared" si="3"/>
        <v>0</v>
      </c>
      <c r="F10">
        <f t="shared" si="3"/>
        <v>0</v>
      </c>
      <c r="G10">
        <f t="shared" si="3"/>
        <v>0</v>
      </c>
      <c r="H10">
        <f t="shared" si="3"/>
        <v>0</v>
      </c>
      <c r="I10">
        <f t="shared" si="3"/>
        <v>0</v>
      </c>
      <c r="J10">
        <f t="shared" si="3"/>
        <v>0</v>
      </c>
      <c r="K10">
        <f t="shared" si="3"/>
        <v>0</v>
      </c>
      <c r="L10">
        <f t="shared" si="3"/>
        <v>0</v>
      </c>
      <c r="M10">
        <f t="shared" ref="M10:V19" si="4">IF(M$4&gt;$A10,0,IF(OR(dist_mode="Uniform",shareA+shareB+shareC&lt;=0),1,IF(M$4&lt;=nA,shareA/nA,IF(M$4&lt;=nA+nB,shareB/nB,IF($A10-nA-nB&gt;0,shareC/($A10-nA-nB),0)))))</f>
        <v>0</v>
      </c>
      <c r="N10">
        <f t="shared" si="4"/>
        <v>0</v>
      </c>
      <c r="O10">
        <f t="shared" si="4"/>
        <v>0</v>
      </c>
      <c r="P10">
        <f t="shared" si="4"/>
        <v>0</v>
      </c>
      <c r="Q10">
        <f t="shared" si="4"/>
        <v>0</v>
      </c>
      <c r="R10">
        <f t="shared" si="4"/>
        <v>0</v>
      </c>
      <c r="S10">
        <f t="shared" si="4"/>
        <v>0</v>
      </c>
      <c r="T10">
        <f t="shared" si="4"/>
        <v>0</v>
      </c>
      <c r="U10">
        <f t="shared" si="4"/>
        <v>0</v>
      </c>
      <c r="V10">
        <f t="shared" si="4"/>
        <v>0</v>
      </c>
      <c r="X10" s="53">
        <f t="shared" ref="X10:X29" si="5">SUM(C10:V10)</f>
        <v>0.4</v>
      </c>
      <c r="Y10" s="53">
        <f t="shared" ref="Y10:Y29" si="6">C10/X10</f>
        <v>1</v>
      </c>
      <c r="Z10" s="53">
        <f t="shared" ref="Z10:Z29" si="7">1-Y10</f>
        <v>0</v>
      </c>
      <c r="AA10" s="54">
        <f t="shared" ref="AA10:AA29" si="8">IF(Z10&lt;=0.000000000001,0,SUMPRODUCT(D10:V10,D$7:V$7)/(X10-C10))</f>
        <v>0</v>
      </c>
      <c r="AB10" s="55">
        <f t="shared" ref="AB10:AB29" si="9">SUMPRODUCT(C10:V10,C$5:V$5)/X10</f>
        <v>0</v>
      </c>
    </row>
    <row r="11" spans="1:28" ht="15" customHeight="1" x14ac:dyDescent="0.25">
      <c r="A11">
        <v>2</v>
      </c>
      <c r="C11">
        <f t="shared" si="3"/>
        <v>0.4</v>
      </c>
      <c r="D11">
        <f t="shared" si="3"/>
        <v>0.4</v>
      </c>
      <c r="E11">
        <f t="shared" si="3"/>
        <v>0</v>
      </c>
      <c r="F11">
        <f t="shared" si="3"/>
        <v>0</v>
      </c>
      <c r="G11">
        <f t="shared" si="3"/>
        <v>0</v>
      </c>
      <c r="H11">
        <f t="shared" si="3"/>
        <v>0</v>
      </c>
      <c r="I11">
        <f t="shared" si="3"/>
        <v>0</v>
      </c>
      <c r="J11">
        <f t="shared" si="3"/>
        <v>0</v>
      </c>
      <c r="K11">
        <f t="shared" si="3"/>
        <v>0</v>
      </c>
      <c r="L11">
        <f t="shared" si="3"/>
        <v>0</v>
      </c>
      <c r="M11">
        <f t="shared" si="4"/>
        <v>0</v>
      </c>
      <c r="N11">
        <f t="shared" si="4"/>
        <v>0</v>
      </c>
      <c r="O11">
        <f t="shared" si="4"/>
        <v>0</v>
      </c>
      <c r="P11">
        <f t="shared" si="4"/>
        <v>0</v>
      </c>
      <c r="Q11">
        <f t="shared" si="4"/>
        <v>0</v>
      </c>
      <c r="R11">
        <f t="shared" si="4"/>
        <v>0</v>
      </c>
      <c r="S11">
        <f t="shared" si="4"/>
        <v>0</v>
      </c>
      <c r="T11">
        <f t="shared" si="4"/>
        <v>0</v>
      </c>
      <c r="U11">
        <f t="shared" si="4"/>
        <v>0</v>
      </c>
      <c r="V11">
        <f t="shared" si="4"/>
        <v>0</v>
      </c>
      <c r="X11" s="53">
        <f t="shared" si="5"/>
        <v>0.8</v>
      </c>
      <c r="Y11" s="53">
        <f t="shared" si="6"/>
        <v>0.5</v>
      </c>
      <c r="Z11" s="53">
        <f t="shared" si="7"/>
        <v>0.5</v>
      </c>
      <c r="AA11" s="54">
        <f t="shared" si="8"/>
        <v>41.157142857142851</v>
      </c>
      <c r="AB11" s="55">
        <f t="shared" si="9"/>
        <v>1.075</v>
      </c>
    </row>
    <row r="12" spans="1:28" ht="15" customHeight="1" x14ac:dyDescent="0.25">
      <c r="A12">
        <v>3</v>
      </c>
      <c r="C12">
        <f t="shared" si="3"/>
        <v>0.4</v>
      </c>
      <c r="D12">
        <f t="shared" si="3"/>
        <v>0.4</v>
      </c>
      <c r="E12">
        <f t="shared" si="3"/>
        <v>4.9999999999999996E-2</v>
      </c>
      <c r="F12">
        <f t="shared" si="3"/>
        <v>0</v>
      </c>
      <c r="G12">
        <f t="shared" si="3"/>
        <v>0</v>
      </c>
      <c r="H12">
        <f t="shared" si="3"/>
        <v>0</v>
      </c>
      <c r="I12">
        <f t="shared" si="3"/>
        <v>0</v>
      </c>
      <c r="J12">
        <f t="shared" si="3"/>
        <v>0</v>
      </c>
      <c r="K12">
        <f t="shared" si="3"/>
        <v>0</v>
      </c>
      <c r="L12">
        <f t="shared" si="3"/>
        <v>0</v>
      </c>
      <c r="M12">
        <f t="shared" si="4"/>
        <v>0</v>
      </c>
      <c r="N12">
        <f t="shared" si="4"/>
        <v>0</v>
      </c>
      <c r="O12">
        <f t="shared" si="4"/>
        <v>0</v>
      </c>
      <c r="P12">
        <f t="shared" si="4"/>
        <v>0</v>
      </c>
      <c r="Q12">
        <f t="shared" si="4"/>
        <v>0</v>
      </c>
      <c r="R12">
        <f t="shared" si="4"/>
        <v>0</v>
      </c>
      <c r="S12">
        <f t="shared" si="4"/>
        <v>0</v>
      </c>
      <c r="T12">
        <f t="shared" si="4"/>
        <v>0</v>
      </c>
      <c r="U12">
        <f t="shared" si="4"/>
        <v>0</v>
      </c>
      <c r="V12">
        <f t="shared" si="4"/>
        <v>0</v>
      </c>
      <c r="X12" s="53">
        <f t="shared" si="5"/>
        <v>0.85000000000000009</v>
      </c>
      <c r="Y12" s="53">
        <f t="shared" si="6"/>
        <v>0.47058823529411764</v>
      </c>
      <c r="Z12" s="53">
        <f t="shared" si="7"/>
        <v>0.52941176470588236</v>
      </c>
      <c r="AA12" s="54">
        <f t="shared" si="8"/>
        <v>41.634920634920626</v>
      </c>
      <c r="AB12" s="55">
        <f t="shared" si="9"/>
        <v>1.2647058823529409</v>
      </c>
    </row>
    <row r="13" spans="1:28" ht="15" customHeight="1" x14ac:dyDescent="0.25">
      <c r="A13">
        <v>4</v>
      </c>
      <c r="C13">
        <f t="shared" si="3"/>
        <v>0.4</v>
      </c>
      <c r="D13">
        <f t="shared" si="3"/>
        <v>0.4</v>
      </c>
      <c r="E13">
        <f t="shared" si="3"/>
        <v>4.9999999999999996E-2</v>
      </c>
      <c r="F13">
        <f t="shared" si="3"/>
        <v>4.9999999999999996E-2</v>
      </c>
      <c r="G13">
        <f t="shared" si="3"/>
        <v>0</v>
      </c>
      <c r="H13">
        <f t="shared" si="3"/>
        <v>0</v>
      </c>
      <c r="I13">
        <f t="shared" si="3"/>
        <v>0</v>
      </c>
      <c r="J13">
        <f t="shared" si="3"/>
        <v>0</v>
      </c>
      <c r="K13">
        <f t="shared" si="3"/>
        <v>0</v>
      </c>
      <c r="L13">
        <f t="shared" si="3"/>
        <v>0</v>
      </c>
      <c r="M13">
        <f t="shared" si="4"/>
        <v>0</v>
      </c>
      <c r="N13">
        <f t="shared" si="4"/>
        <v>0</v>
      </c>
      <c r="O13">
        <f t="shared" si="4"/>
        <v>0</v>
      </c>
      <c r="P13">
        <f t="shared" si="4"/>
        <v>0</v>
      </c>
      <c r="Q13">
        <f t="shared" si="4"/>
        <v>0</v>
      </c>
      <c r="R13">
        <f t="shared" si="4"/>
        <v>0</v>
      </c>
      <c r="S13">
        <f t="shared" si="4"/>
        <v>0</v>
      </c>
      <c r="T13">
        <f t="shared" si="4"/>
        <v>0</v>
      </c>
      <c r="U13">
        <f t="shared" si="4"/>
        <v>0</v>
      </c>
      <c r="V13">
        <f t="shared" si="4"/>
        <v>0</v>
      </c>
      <c r="X13" s="53">
        <f t="shared" si="5"/>
        <v>0.90000000000000013</v>
      </c>
      <c r="Y13" s="53">
        <f t="shared" si="6"/>
        <v>0.44444444444444442</v>
      </c>
      <c r="Z13" s="53">
        <f t="shared" si="7"/>
        <v>0.55555555555555558</v>
      </c>
      <c r="AA13" s="54">
        <f t="shared" si="8"/>
        <v>42.447142857142843</v>
      </c>
      <c r="AB13" s="55">
        <f t="shared" si="9"/>
        <v>1.5527777777777776</v>
      </c>
    </row>
    <row r="14" spans="1:28" ht="15" customHeight="1" x14ac:dyDescent="0.25">
      <c r="A14">
        <v>5</v>
      </c>
      <c r="C14">
        <f t="shared" si="3"/>
        <v>0.4</v>
      </c>
      <c r="D14">
        <f t="shared" si="3"/>
        <v>0.4</v>
      </c>
      <c r="E14">
        <f t="shared" si="3"/>
        <v>4.9999999999999996E-2</v>
      </c>
      <c r="F14">
        <f t="shared" si="3"/>
        <v>4.9999999999999996E-2</v>
      </c>
      <c r="G14">
        <f t="shared" si="3"/>
        <v>4.9999999999999996E-2</v>
      </c>
      <c r="H14">
        <f t="shared" si="3"/>
        <v>0</v>
      </c>
      <c r="I14">
        <f t="shared" si="3"/>
        <v>0</v>
      </c>
      <c r="J14">
        <f t="shared" si="3"/>
        <v>0</v>
      </c>
      <c r="K14">
        <f t="shared" si="3"/>
        <v>0</v>
      </c>
      <c r="L14">
        <f t="shared" si="3"/>
        <v>0</v>
      </c>
      <c r="M14">
        <f t="shared" si="4"/>
        <v>0</v>
      </c>
      <c r="N14">
        <f t="shared" si="4"/>
        <v>0</v>
      </c>
      <c r="O14">
        <f t="shared" si="4"/>
        <v>0</v>
      </c>
      <c r="P14">
        <f t="shared" si="4"/>
        <v>0</v>
      </c>
      <c r="Q14">
        <f t="shared" si="4"/>
        <v>0</v>
      </c>
      <c r="R14">
        <f t="shared" si="4"/>
        <v>0</v>
      </c>
      <c r="S14">
        <f t="shared" si="4"/>
        <v>0</v>
      </c>
      <c r="T14">
        <f t="shared" si="4"/>
        <v>0</v>
      </c>
      <c r="U14">
        <f t="shared" si="4"/>
        <v>0</v>
      </c>
      <c r="V14">
        <f t="shared" si="4"/>
        <v>0</v>
      </c>
      <c r="X14" s="53">
        <f t="shared" si="5"/>
        <v>0.95000000000000018</v>
      </c>
      <c r="Y14" s="53">
        <f t="shared" si="6"/>
        <v>0.42105263157894729</v>
      </c>
      <c r="Z14" s="53">
        <f t="shared" si="7"/>
        <v>0.57894736842105265</v>
      </c>
      <c r="AA14" s="54">
        <f t="shared" si="8"/>
        <v>43.502597402597381</v>
      </c>
      <c r="AB14" s="55">
        <f t="shared" si="9"/>
        <v>1.9236842105263152</v>
      </c>
    </row>
    <row r="15" spans="1:28" ht="15" customHeight="1" x14ac:dyDescent="0.25">
      <c r="A15">
        <v>6</v>
      </c>
      <c r="C15">
        <f t="shared" si="3"/>
        <v>0.4</v>
      </c>
      <c r="D15">
        <f t="shared" si="3"/>
        <v>0.4</v>
      </c>
      <c r="E15">
        <f t="shared" si="3"/>
        <v>4.9999999999999996E-2</v>
      </c>
      <c r="F15">
        <f t="shared" si="3"/>
        <v>4.9999999999999996E-2</v>
      </c>
      <c r="G15">
        <f t="shared" si="3"/>
        <v>4.9999999999999996E-2</v>
      </c>
      <c r="H15">
        <f t="shared" si="3"/>
        <v>0.05</v>
      </c>
      <c r="I15">
        <f t="shared" si="3"/>
        <v>0</v>
      </c>
      <c r="J15">
        <f t="shared" si="3"/>
        <v>0</v>
      </c>
      <c r="K15">
        <f t="shared" si="3"/>
        <v>0</v>
      </c>
      <c r="L15">
        <f t="shared" si="3"/>
        <v>0</v>
      </c>
      <c r="M15">
        <f t="shared" si="4"/>
        <v>0</v>
      </c>
      <c r="N15">
        <f t="shared" si="4"/>
        <v>0</v>
      </c>
      <c r="O15">
        <f t="shared" si="4"/>
        <v>0</v>
      </c>
      <c r="P15">
        <f t="shared" si="4"/>
        <v>0</v>
      </c>
      <c r="Q15">
        <f t="shared" si="4"/>
        <v>0</v>
      </c>
      <c r="R15">
        <f t="shared" si="4"/>
        <v>0</v>
      </c>
      <c r="S15">
        <f t="shared" si="4"/>
        <v>0</v>
      </c>
      <c r="T15">
        <f t="shared" si="4"/>
        <v>0</v>
      </c>
      <c r="U15">
        <f t="shared" si="4"/>
        <v>0</v>
      </c>
      <c r="V15">
        <f t="shared" si="4"/>
        <v>0</v>
      </c>
      <c r="X15" s="53">
        <f t="shared" si="5"/>
        <v>1.0000000000000002</v>
      </c>
      <c r="Y15" s="53">
        <f t="shared" si="6"/>
        <v>0.39999999999999991</v>
      </c>
      <c r="Z15" s="53">
        <f t="shared" si="7"/>
        <v>0.60000000000000009</v>
      </c>
      <c r="AA15" s="54">
        <f t="shared" si="8"/>
        <v>44.740476190476173</v>
      </c>
      <c r="AB15" s="55">
        <f t="shared" si="9"/>
        <v>2.3649999999999993</v>
      </c>
    </row>
    <row r="16" spans="1:28" ht="15" customHeight="1" x14ac:dyDescent="0.25">
      <c r="A16">
        <v>7</v>
      </c>
      <c r="C16">
        <f t="shared" si="3"/>
        <v>0.4</v>
      </c>
      <c r="D16">
        <f t="shared" si="3"/>
        <v>0.4</v>
      </c>
      <c r="E16">
        <f t="shared" si="3"/>
        <v>4.9999999999999996E-2</v>
      </c>
      <c r="F16">
        <f t="shared" si="3"/>
        <v>4.9999999999999996E-2</v>
      </c>
      <c r="G16">
        <f t="shared" si="3"/>
        <v>4.9999999999999996E-2</v>
      </c>
      <c r="H16">
        <f t="shared" si="3"/>
        <v>2.5000000000000001E-2</v>
      </c>
      <c r="I16">
        <f t="shared" si="3"/>
        <v>2.5000000000000001E-2</v>
      </c>
      <c r="J16">
        <f t="shared" si="3"/>
        <v>0</v>
      </c>
      <c r="K16">
        <f t="shared" si="3"/>
        <v>0</v>
      </c>
      <c r="L16">
        <f t="shared" si="3"/>
        <v>0</v>
      </c>
      <c r="M16">
        <f t="shared" si="4"/>
        <v>0</v>
      </c>
      <c r="N16">
        <f t="shared" si="4"/>
        <v>0</v>
      </c>
      <c r="O16">
        <f t="shared" si="4"/>
        <v>0</v>
      </c>
      <c r="P16">
        <f t="shared" si="4"/>
        <v>0</v>
      </c>
      <c r="Q16">
        <f t="shared" si="4"/>
        <v>0</v>
      </c>
      <c r="R16">
        <f t="shared" si="4"/>
        <v>0</v>
      </c>
      <c r="S16">
        <f t="shared" si="4"/>
        <v>0</v>
      </c>
      <c r="T16">
        <f t="shared" si="4"/>
        <v>0</v>
      </c>
      <c r="U16">
        <f t="shared" si="4"/>
        <v>0</v>
      </c>
      <c r="V16">
        <f t="shared" si="4"/>
        <v>0</v>
      </c>
      <c r="X16" s="53">
        <f t="shared" si="5"/>
        <v>1.0000000000000002</v>
      </c>
      <c r="Y16" s="53">
        <f t="shared" si="6"/>
        <v>0.39999999999999991</v>
      </c>
      <c r="Z16" s="53">
        <f t="shared" si="7"/>
        <v>0.60000000000000009</v>
      </c>
      <c r="AA16" s="54">
        <f t="shared" si="8"/>
        <v>44.919642857142833</v>
      </c>
      <c r="AB16" s="55">
        <f t="shared" si="9"/>
        <v>2.4187499999999997</v>
      </c>
    </row>
    <row r="17" spans="1:28" ht="15" customHeight="1" x14ac:dyDescent="0.25">
      <c r="A17">
        <v>8</v>
      </c>
      <c r="C17">
        <f t="shared" si="3"/>
        <v>0.4</v>
      </c>
      <c r="D17">
        <f t="shared" si="3"/>
        <v>0.4</v>
      </c>
      <c r="E17">
        <f t="shared" si="3"/>
        <v>4.9999999999999996E-2</v>
      </c>
      <c r="F17">
        <f t="shared" si="3"/>
        <v>4.9999999999999996E-2</v>
      </c>
      <c r="G17">
        <f t="shared" si="3"/>
        <v>4.9999999999999996E-2</v>
      </c>
      <c r="H17">
        <f t="shared" si="3"/>
        <v>1.6666666666666666E-2</v>
      </c>
      <c r="I17">
        <f t="shared" si="3"/>
        <v>1.6666666666666666E-2</v>
      </c>
      <c r="J17">
        <f t="shared" si="3"/>
        <v>1.6666666666666666E-2</v>
      </c>
      <c r="K17">
        <f t="shared" si="3"/>
        <v>0</v>
      </c>
      <c r="L17">
        <f t="shared" si="3"/>
        <v>0</v>
      </c>
      <c r="M17">
        <f t="shared" si="4"/>
        <v>0</v>
      </c>
      <c r="N17">
        <f t="shared" si="4"/>
        <v>0</v>
      </c>
      <c r="O17">
        <f t="shared" si="4"/>
        <v>0</v>
      </c>
      <c r="P17">
        <f t="shared" si="4"/>
        <v>0</v>
      </c>
      <c r="Q17">
        <f t="shared" si="4"/>
        <v>0</v>
      </c>
      <c r="R17">
        <f t="shared" si="4"/>
        <v>0</v>
      </c>
      <c r="S17">
        <f t="shared" si="4"/>
        <v>0</v>
      </c>
      <c r="T17">
        <f t="shared" si="4"/>
        <v>0</v>
      </c>
      <c r="U17">
        <f t="shared" si="4"/>
        <v>0</v>
      </c>
      <c r="V17">
        <f t="shared" si="4"/>
        <v>0</v>
      </c>
      <c r="X17" s="53">
        <f t="shared" si="5"/>
        <v>1.0000000000000002</v>
      </c>
      <c r="Y17" s="53">
        <f t="shared" si="6"/>
        <v>0.39999999999999991</v>
      </c>
      <c r="Z17" s="53">
        <f t="shared" si="7"/>
        <v>0.60000000000000009</v>
      </c>
      <c r="AA17" s="54">
        <f t="shared" si="8"/>
        <v>45.0988095238095</v>
      </c>
      <c r="AB17" s="55">
        <f t="shared" si="9"/>
        <v>2.4724999999999993</v>
      </c>
    </row>
    <row r="18" spans="1:28" ht="15" customHeight="1" x14ac:dyDescent="0.25">
      <c r="A18">
        <v>9</v>
      </c>
      <c r="C18">
        <f t="shared" si="3"/>
        <v>0.4</v>
      </c>
      <c r="D18">
        <f t="shared" si="3"/>
        <v>0.4</v>
      </c>
      <c r="E18">
        <f t="shared" si="3"/>
        <v>4.9999999999999996E-2</v>
      </c>
      <c r="F18">
        <f t="shared" si="3"/>
        <v>4.9999999999999996E-2</v>
      </c>
      <c r="G18">
        <f t="shared" si="3"/>
        <v>4.9999999999999996E-2</v>
      </c>
      <c r="H18">
        <f t="shared" si="3"/>
        <v>1.2500000000000001E-2</v>
      </c>
      <c r="I18">
        <f t="shared" si="3"/>
        <v>1.2500000000000001E-2</v>
      </c>
      <c r="J18">
        <f t="shared" si="3"/>
        <v>1.2500000000000001E-2</v>
      </c>
      <c r="K18">
        <f t="shared" si="3"/>
        <v>1.2500000000000001E-2</v>
      </c>
      <c r="L18">
        <f t="shared" si="3"/>
        <v>0</v>
      </c>
      <c r="M18">
        <f t="shared" si="4"/>
        <v>0</v>
      </c>
      <c r="N18">
        <f t="shared" si="4"/>
        <v>0</v>
      </c>
      <c r="O18">
        <f t="shared" si="4"/>
        <v>0</v>
      </c>
      <c r="P18">
        <f t="shared" si="4"/>
        <v>0</v>
      </c>
      <c r="Q18">
        <f t="shared" si="4"/>
        <v>0</v>
      </c>
      <c r="R18">
        <f t="shared" si="4"/>
        <v>0</v>
      </c>
      <c r="S18">
        <f t="shared" si="4"/>
        <v>0</v>
      </c>
      <c r="T18">
        <f t="shared" si="4"/>
        <v>0</v>
      </c>
      <c r="U18">
        <f t="shared" si="4"/>
        <v>0</v>
      </c>
      <c r="V18">
        <f t="shared" si="4"/>
        <v>0</v>
      </c>
      <c r="X18" s="53">
        <f t="shared" si="5"/>
        <v>1</v>
      </c>
      <c r="Y18" s="53">
        <f t="shared" si="6"/>
        <v>0.4</v>
      </c>
      <c r="Z18" s="53">
        <f t="shared" si="7"/>
        <v>0.6</v>
      </c>
      <c r="AA18" s="54">
        <f t="shared" si="8"/>
        <v>45.277976190476181</v>
      </c>
      <c r="AB18" s="55">
        <f t="shared" si="9"/>
        <v>2.5262499999999997</v>
      </c>
    </row>
    <row r="19" spans="1:28" ht="15" customHeight="1" x14ac:dyDescent="0.25">
      <c r="A19">
        <v>10</v>
      </c>
      <c r="C19">
        <f t="shared" si="3"/>
        <v>0.4</v>
      </c>
      <c r="D19">
        <f t="shared" si="3"/>
        <v>0.4</v>
      </c>
      <c r="E19">
        <f t="shared" si="3"/>
        <v>4.9999999999999996E-2</v>
      </c>
      <c r="F19">
        <f t="shared" si="3"/>
        <v>4.9999999999999996E-2</v>
      </c>
      <c r="G19">
        <f t="shared" si="3"/>
        <v>4.9999999999999996E-2</v>
      </c>
      <c r="H19">
        <f t="shared" si="3"/>
        <v>0.01</v>
      </c>
      <c r="I19">
        <f t="shared" si="3"/>
        <v>0.01</v>
      </c>
      <c r="J19">
        <f t="shared" si="3"/>
        <v>0.01</v>
      </c>
      <c r="K19">
        <f t="shared" si="3"/>
        <v>0.01</v>
      </c>
      <c r="L19">
        <f t="shared" si="3"/>
        <v>0.01</v>
      </c>
      <c r="M19">
        <f t="shared" si="4"/>
        <v>0</v>
      </c>
      <c r="N19">
        <f t="shared" si="4"/>
        <v>0</v>
      </c>
      <c r="O19">
        <f t="shared" si="4"/>
        <v>0</v>
      </c>
      <c r="P19">
        <f t="shared" si="4"/>
        <v>0</v>
      </c>
      <c r="Q19">
        <f t="shared" si="4"/>
        <v>0</v>
      </c>
      <c r="R19">
        <f t="shared" si="4"/>
        <v>0</v>
      </c>
      <c r="S19">
        <f t="shared" si="4"/>
        <v>0</v>
      </c>
      <c r="T19">
        <f t="shared" si="4"/>
        <v>0</v>
      </c>
      <c r="U19">
        <f t="shared" si="4"/>
        <v>0</v>
      </c>
      <c r="V19">
        <f t="shared" si="4"/>
        <v>0</v>
      </c>
      <c r="X19" s="53">
        <f t="shared" si="5"/>
        <v>1.0000000000000002</v>
      </c>
      <c r="Y19" s="53">
        <f t="shared" si="6"/>
        <v>0.39999999999999991</v>
      </c>
      <c r="Z19" s="53">
        <f t="shared" si="7"/>
        <v>0.60000000000000009</v>
      </c>
      <c r="AA19" s="54">
        <f t="shared" si="8"/>
        <v>45.457142857142834</v>
      </c>
      <c r="AB19" s="55">
        <f t="shared" si="9"/>
        <v>2.5799999999999992</v>
      </c>
    </row>
    <row r="20" spans="1:28" ht="15" customHeight="1" x14ac:dyDescent="0.25">
      <c r="A20">
        <v>11</v>
      </c>
      <c r="C20">
        <f t="shared" ref="C20:L29" si="10">IF(C$4&gt;$A20,0,IF(OR(dist_mode="Uniform",shareA+shareB+shareC&lt;=0),1,IF(C$4&lt;=nA,shareA/nA,IF(C$4&lt;=nA+nB,shareB/nB,IF($A20-nA-nB&gt;0,shareC/($A20-nA-nB),0)))))</f>
        <v>0.4</v>
      </c>
      <c r="D20">
        <f t="shared" si="10"/>
        <v>0.4</v>
      </c>
      <c r="E20">
        <f t="shared" si="10"/>
        <v>4.9999999999999996E-2</v>
      </c>
      <c r="F20">
        <f t="shared" si="10"/>
        <v>4.9999999999999996E-2</v>
      </c>
      <c r="G20">
        <f t="shared" si="10"/>
        <v>4.9999999999999996E-2</v>
      </c>
      <c r="H20">
        <f t="shared" si="10"/>
        <v>8.3333333333333332E-3</v>
      </c>
      <c r="I20">
        <f t="shared" si="10"/>
        <v>8.3333333333333332E-3</v>
      </c>
      <c r="J20">
        <f t="shared" si="10"/>
        <v>8.3333333333333332E-3</v>
      </c>
      <c r="K20">
        <f t="shared" si="10"/>
        <v>8.3333333333333332E-3</v>
      </c>
      <c r="L20">
        <f t="shared" si="10"/>
        <v>8.3333333333333332E-3</v>
      </c>
      <c r="M20">
        <f t="shared" ref="M20:V29" si="11">IF(M$4&gt;$A20,0,IF(OR(dist_mode="Uniform",shareA+shareB+shareC&lt;=0),1,IF(M$4&lt;=nA,shareA/nA,IF(M$4&lt;=nA+nB,shareB/nB,IF($A20-nA-nB&gt;0,shareC/($A20-nA-nB),0)))))</f>
        <v>8.3333333333333332E-3</v>
      </c>
      <c r="N20">
        <f t="shared" si="11"/>
        <v>0</v>
      </c>
      <c r="O20">
        <f t="shared" si="11"/>
        <v>0</v>
      </c>
      <c r="P20">
        <f t="shared" si="11"/>
        <v>0</v>
      </c>
      <c r="Q20">
        <f t="shared" si="11"/>
        <v>0</v>
      </c>
      <c r="R20">
        <f t="shared" si="11"/>
        <v>0</v>
      </c>
      <c r="S20">
        <f t="shared" si="11"/>
        <v>0</v>
      </c>
      <c r="T20">
        <f t="shared" si="11"/>
        <v>0</v>
      </c>
      <c r="U20">
        <f t="shared" si="11"/>
        <v>0</v>
      </c>
      <c r="V20">
        <f t="shared" si="11"/>
        <v>0</v>
      </c>
      <c r="X20" s="53">
        <f t="shared" si="5"/>
        <v>1</v>
      </c>
      <c r="Y20" s="53">
        <f t="shared" si="6"/>
        <v>0.4</v>
      </c>
      <c r="Z20" s="53">
        <f t="shared" si="7"/>
        <v>0.6</v>
      </c>
      <c r="AA20" s="54">
        <f t="shared" si="8"/>
        <v>45.636309523809516</v>
      </c>
      <c r="AB20" s="55">
        <f t="shared" si="9"/>
        <v>2.6337499999999996</v>
      </c>
    </row>
    <row r="21" spans="1:28" ht="15" customHeight="1" x14ac:dyDescent="0.25">
      <c r="A21">
        <v>12</v>
      </c>
      <c r="C21">
        <f t="shared" si="10"/>
        <v>0.4</v>
      </c>
      <c r="D21">
        <f t="shared" si="10"/>
        <v>0.4</v>
      </c>
      <c r="E21">
        <f t="shared" si="10"/>
        <v>4.9999999999999996E-2</v>
      </c>
      <c r="F21">
        <f t="shared" si="10"/>
        <v>4.9999999999999996E-2</v>
      </c>
      <c r="G21">
        <f t="shared" si="10"/>
        <v>4.9999999999999996E-2</v>
      </c>
      <c r="H21">
        <f t="shared" si="10"/>
        <v>7.1428571428571435E-3</v>
      </c>
      <c r="I21">
        <f t="shared" si="10"/>
        <v>7.1428571428571435E-3</v>
      </c>
      <c r="J21">
        <f t="shared" si="10"/>
        <v>7.1428571428571435E-3</v>
      </c>
      <c r="K21">
        <f t="shared" si="10"/>
        <v>7.1428571428571435E-3</v>
      </c>
      <c r="L21">
        <f t="shared" si="10"/>
        <v>7.1428571428571435E-3</v>
      </c>
      <c r="M21">
        <f t="shared" si="11"/>
        <v>7.1428571428571435E-3</v>
      </c>
      <c r="N21">
        <f t="shared" si="11"/>
        <v>7.1428571428571435E-3</v>
      </c>
      <c r="O21">
        <f t="shared" si="11"/>
        <v>0</v>
      </c>
      <c r="P21">
        <f t="shared" si="11"/>
        <v>0</v>
      </c>
      <c r="Q21">
        <f t="shared" si="11"/>
        <v>0</v>
      </c>
      <c r="R21">
        <f t="shared" si="11"/>
        <v>0</v>
      </c>
      <c r="S21">
        <f t="shared" si="11"/>
        <v>0</v>
      </c>
      <c r="T21">
        <f t="shared" si="11"/>
        <v>0</v>
      </c>
      <c r="U21">
        <f t="shared" si="11"/>
        <v>0</v>
      </c>
      <c r="V21">
        <f t="shared" si="11"/>
        <v>0</v>
      </c>
      <c r="X21" s="53">
        <f t="shared" si="5"/>
        <v>1</v>
      </c>
      <c r="Y21" s="53">
        <f t="shared" si="6"/>
        <v>0.4</v>
      </c>
      <c r="Z21" s="53">
        <f t="shared" si="7"/>
        <v>0.6</v>
      </c>
      <c r="AA21" s="54">
        <f t="shared" si="8"/>
        <v>45.815476190476183</v>
      </c>
      <c r="AB21" s="55">
        <f t="shared" si="9"/>
        <v>2.6874999999999996</v>
      </c>
    </row>
    <row r="22" spans="1:28" ht="15" customHeight="1" x14ac:dyDescent="0.25">
      <c r="A22">
        <v>13</v>
      </c>
      <c r="C22">
        <f t="shared" si="10"/>
        <v>0.4</v>
      </c>
      <c r="D22">
        <f t="shared" si="10"/>
        <v>0.4</v>
      </c>
      <c r="E22">
        <f t="shared" si="10"/>
        <v>4.9999999999999996E-2</v>
      </c>
      <c r="F22">
        <f t="shared" si="10"/>
        <v>4.9999999999999996E-2</v>
      </c>
      <c r="G22">
        <f t="shared" si="10"/>
        <v>4.9999999999999996E-2</v>
      </c>
      <c r="H22">
        <f t="shared" si="10"/>
        <v>6.2500000000000003E-3</v>
      </c>
      <c r="I22">
        <f t="shared" si="10"/>
        <v>6.2500000000000003E-3</v>
      </c>
      <c r="J22">
        <f t="shared" si="10"/>
        <v>6.2500000000000003E-3</v>
      </c>
      <c r="K22">
        <f t="shared" si="10"/>
        <v>6.2500000000000003E-3</v>
      </c>
      <c r="L22">
        <f t="shared" si="10"/>
        <v>6.2500000000000003E-3</v>
      </c>
      <c r="M22">
        <f t="shared" si="11"/>
        <v>6.2500000000000003E-3</v>
      </c>
      <c r="N22">
        <f t="shared" si="11"/>
        <v>6.2500000000000003E-3</v>
      </c>
      <c r="O22">
        <f t="shared" si="11"/>
        <v>6.2500000000000003E-3</v>
      </c>
      <c r="P22">
        <f t="shared" si="11"/>
        <v>0</v>
      </c>
      <c r="Q22">
        <f t="shared" si="11"/>
        <v>0</v>
      </c>
      <c r="R22">
        <f t="shared" si="11"/>
        <v>0</v>
      </c>
      <c r="S22">
        <f t="shared" si="11"/>
        <v>0</v>
      </c>
      <c r="T22">
        <f t="shared" si="11"/>
        <v>0</v>
      </c>
      <c r="U22">
        <f t="shared" si="11"/>
        <v>0</v>
      </c>
      <c r="V22">
        <f t="shared" si="11"/>
        <v>0</v>
      </c>
      <c r="X22" s="53">
        <f t="shared" si="5"/>
        <v>1</v>
      </c>
      <c r="Y22" s="53">
        <f t="shared" si="6"/>
        <v>0.4</v>
      </c>
      <c r="Z22" s="53">
        <f t="shared" si="7"/>
        <v>0.6</v>
      </c>
      <c r="AA22" s="54">
        <f t="shared" si="8"/>
        <v>45.99464285714285</v>
      </c>
      <c r="AB22" s="55">
        <f t="shared" si="9"/>
        <v>2.74125</v>
      </c>
    </row>
    <row r="23" spans="1:28" ht="15" customHeight="1" x14ac:dyDescent="0.25">
      <c r="A23">
        <v>14</v>
      </c>
      <c r="C23">
        <f t="shared" si="10"/>
        <v>0.4</v>
      </c>
      <c r="D23">
        <f t="shared" si="10"/>
        <v>0.4</v>
      </c>
      <c r="E23">
        <f t="shared" si="10"/>
        <v>4.9999999999999996E-2</v>
      </c>
      <c r="F23">
        <f t="shared" si="10"/>
        <v>4.9999999999999996E-2</v>
      </c>
      <c r="G23">
        <f t="shared" si="10"/>
        <v>4.9999999999999996E-2</v>
      </c>
      <c r="H23">
        <f t="shared" si="10"/>
        <v>5.5555555555555558E-3</v>
      </c>
      <c r="I23">
        <f t="shared" si="10"/>
        <v>5.5555555555555558E-3</v>
      </c>
      <c r="J23">
        <f t="shared" si="10"/>
        <v>5.5555555555555558E-3</v>
      </c>
      <c r="K23">
        <f t="shared" si="10"/>
        <v>5.5555555555555558E-3</v>
      </c>
      <c r="L23">
        <f t="shared" si="10"/>
        <v>5.5555555555555558E-3</v>
      </c>
      <c r="M23">
        <f t="shared" si="11"/>
        <v>5.5555555555555558E-3</v>
      </c>
      <c r="N23">
        <f t="shared" si="11"/>
        <v>5.5555555555555558E-3</v>
      </c>
      <c r="O23">
        <f t="shared" si="11"/>
        <v>5.5555555555555558E-3</v>
      </c>
      <c r="P23">
        <f t="shared" si="11"/>
        <v>5.5555555555555558E-3</v>
      </c>
      <c r="Q23">
        <f t="shared" si="11"/>
        <v>0</v>
      </c>
      <c r="R23">
        <f t="shared" si="11"/>
        <v>0</v>
      </c>
      <c r="S23">
        <f t="shared" si="11"/>
        <v>0</v>
      </c>
      <c r="T23">
        <f t="shared" si="11"/>
        <v>0</v>
      </c>
      <c r="U23">
        <f t="shared" si="11"/>
        <v>0</v>
      </c>
      <c r="V23">
        <f t="shared" si="11"/>
        <v>0</v>
      </c>
      <c r="X23" s="53">
        <f t="shared" si="5"/>
        <v>1</v>
      </c>
      <c r="Y23" s="53">
        <f t="shared" si="6"/>
        <v>0.4</v>
      </c>
      <c r="Z23" s="53">
        <f t="shared" si="7"/>
        <v>0.6</v>
      </c>
      <c r="AA23" s="54">
        <f t="shared" si="8"/>
        <v>46.173809523809517</v>
      </c>
      <c r="AB23" s="55">
        <f t="shared" si="9"/>
        <v>2.7949999999999995</v>
      </c>
    </row>
    <row r="24" spans="1:28" ht="15" customHeight="1" x14ac:dyDescent="0.25">
      <c r="A24">
        <v>15</v>
      </c>
      <c r="C24">
        <f t="shared" si="10"/>
        <v>0.4</v>
      </c>
      <c r="D24">
        <f t="shared" si="10"/>
        <v>0.4</v>
      </c>
      <c r="E24">
        <f t="shared" si="10"/>
        <v>4.9999999999999996E-2</v>
      </c>
      <c r="F24">
        <f t="shared" si="10"/>
        <v>4.9999999999999996E-2</v>
      </c>
      <c r="G24">
        <f t="shared" si="10"/>
        <v>4.9999999999999996E-2</v>
      </c>
      <c r="H24">
        <f t="shared" si="10"/>
        <v>5.0000000000000001E-3</v>
      </c>
      <c r="I24">
        <f t="shared" si="10"/>
        <v>5.0000000000000001E-3</v>
      </c>
      <c r="J24">
        <f t="shared" si="10"/>
        <v>5.0000000000000001E-3</v>
      </c>
      <c r="K24">
        <f t="shared" si="10"/>
        <v>5.0000000000000001E-3</v>
      </c>
      <c r="L24">
        <f t="shared" si="10"/>
        <v>5.0000000000000001E-3</v>
      </c>
      <c r="M24">
        <f t="shared" si="11"/>
        <v>5.0000000000000001E-3</v>
      </c>
      <c r="N24">
        <f t="shared" si="11"/>
        <v>5.0000000000000001E-3</v>
      </c>
      <c r="O24">
        <f t="shared" si="11"/>
        <v>5.0000000000000001E-3</v>
      </c>
      <c r="P24">
        <f t="shared" si="11"/>
        <v>5.0000000000000001E-3</v>
      </c>
      <c r="Q24">
        <f t="shared" si="11"/>
        <v>5.0000000000000001E-3</v>
      </c>
      <c r="R24">
        <f t="shared" si="11"/>
        <v>0</v>
      </c>
      <c r="S24">
        <f t="shared" si="11"/>
        <v>0</v>
      </c>
      <c r="T24">
        <f t="shared" si="11"/>
        <v>0</v>
      </c>
      <c r="U24">
        <f t="shared" si="11"/>
        <v>0</v>
      </c>
      <c r="V24">
        <f t="shared" si="11"/>
        <v>0</v>
      </c>
      <c r="X24" s="53">
        <f t="shared" si="5"/>
        <v>1.0000000000000002</v>
      </c>
      <c r="Y24" s="53">
        <f t="shared" si="6"/>
        <v>0.39999999999999991</v>
      </c>
      <c r="Z24" s="53">
        <f t="shared" si="7"/>
        <v>0.60000000000000009</v>
      </c>
      <c r="AA24" s="54">
        <f t="shared" si="8"/>
        <v>46.352976190476163</v>
      </c>
      <c r="AB24" s="55">
        <f t="shared" si="9"/>
        <v>2.8487499999999994</v>
      </c>
    </row>
    <row r="25" spans="1:28" ht="15" customHeight="1" x14ac:dyDescent="0.25">
      <c r="A25">
        <v>16</v>
      </c>
      <c r="C25">
        <f t="shared" si="10"/>
        <v>0.4</v>
      </c>
      <c r="D25">
        <f t="shared" si="10"/>
        <v>0.4</v>
      </c>
      <c r="E25">
        <f t="shared" si="10"/>
        <v>4.9999999999999996E-2</v>
      </c>
      <c r="F25">
        <f t="shared" si="10"/>
        <v>4.9999999999999996E-2</v>
      </c>
      <c r="G25">
        <f t="shared" si="10"/>
        <v>4.9999999999999996E-2</v>
      </c>
      <c r="H25">
        <f t="shared" si="10"/>
        <v>4.5454545454545461E-3</v>
      </c>
      <c r="I25">
        <f t="shared" si="10"/>
        <v>4.5454545454545461E-3</v>
      </c>
      <c r="J25">
        <f t="shared" si="10"/>
        <v>4.5454545454545461E-3</v>
      </c>
      <c r="K25">
        <f t="shared" si="10"/>
        <v>4.5454545454545461E-3</v>
      </c>
      <c r="L25">
        <f t="shared" si="10"/>
        <v>4.5454545454545461E-3</v>
      </c>
      <c r="M25">
        <f t="shared" si="11"/>
        <v>4.5454545454545461E-3</v>
      </c>
      <c r="N25">
        <f t="shared" si="11"/>
        <v>4.5454545454545461E-3</v>
      </c>
      <c r="O25">
        <f t="shared" si="11"/>
        <v>4.5454545454545461E-3</v>
      </c>
      <c r="P25">
        <f t="shared" si="11"/>
        <v>4.5454545454545461E-3</v>
      </c>
      <c r="Q25">
        <f t="shared" si="11"/>
        <v>4.5454545454545461E-3</v>
      </c>
      <c r="R25">
        <f t="shared" si="11"/>
        <v>4.5454545454545461E-3</v>
      </c>
      <c r="S25">
        <f t="shared" si="11"/>
        <v>0</v>
      </c>
      <c r="T25">
        <f t="shared" si="11"/>
        <v>0</v>
      </c>
      <c r="U25">
        <f t="shared" si="11"/>
        <v>0</v>
      </c>
      <c r="V25">
        <f t="shared" si="11"/>
        <v>0</v>
      </c>
      <c r="X25" s="53">
        <f t="shared" si="5"/>
        <v>0.99999999999999989</v>
      </c>
      <c r="Y25" s="53">
        <f t="shared" si="6"/>
        <v>0.40000000000000008</v>
      </c>
      <c r="Z25" s="53">
        <f t="shared" si="7"/>
        <v>0.59999999999999987</v>
      </c>
      <c r="AA25" s="54">
        <f t="shared" si="8"/>
        <v>46.532142857142851</v>
      </c>
      <c r="AB25" s="55">
        <f t="shared" si="9"/>
        <v>2.9024999999999999</v>
      </c>
    </row>
    <row r="26" spans="1:28" ht="15" customHeight="1" x14ac:dyDescent="0.25">
      <c r="A26">
        <v>17</v>
      </c>
      <c r="C26">
        <f t="shared" si="10"/>
        <v>0.4</v>
      </c>
      <c r="D26">
        <f t="shared" si="10"/>
        <v>0.4</v>
      </c>
      <c r="E26">
        <f t="shared" si="10"/>
        <v>4.9999999999999996E-2</v>
      </c>
      <c r="F26">
        <f t="shared" si="10"/>
        <v>4.9999999999999996E-2</v>
      </c>
      <c r="G26">
        <f t="shared" si="10"/>
        <v>4.9999999999999996E-2</v>
      </c>
      <c r="H26">
        <f t="shared" si="10"/>
        <v>4.1666666666666666E-3</v>
      </c>
      <c r="I26">
        <f t="shared" si="10"/>
        <v>4.1666666666666666E-3</v>
      </c>
      <c r="J26">
        <f t="shared" si="10"/>
        <v>4.1666666666666666E-3</v>
      </c>
      <c r="K26">
        <f t="shared" si="10"/>
        <v>4.1666666666666666E-3</v>
      </c>
      <c r="L26">
        <f t="shared" si="10"/>
        <v>4.1666666666666666E-3</v>
      </c>
      <c r="M26">
        <f t="shared" si="11"/>
        <v>4.1666666666666666E-3</v>
      </c>
      <c r="N26">
        <f t="shared" si="11"/>
        <v>4.1666666666666666E-3</v>
      </c>
      <c r="O26">
        <f t="shared" si="11"/>
        <v>4.1666666666666666E-3</v>
      </c>
      <c r="P26">
        <f t="shared" si="11"/>
        <v>4.1666666666666666E-3</v>
      </c>
      <c r="Q26">
        <f t="shared" si="11"/>
        <v>4.1666666666666666E-3</v>
      </c>
      <c r="R26">
        <f t="shared" si="11"/>
        <v>4.1666666666666666E-3</v>
      </c>
      <c r="S26">
        <f t="shared" si="11"/>
        <v>4.1666666666666666E-3</v>
      </c>
      <c r="T26">
        <f t="shared" si="11"/>
        <v>0</v>
      </c>
      <c r="U26">
        <f t="shared" si="11"/>
        <v>0</v>
      </c>
      <c r="V26">
        <f t="shared" si="11"/>
        <v>0</v>
      </c>
      <c r="X26" s="53">
        <f t="shared" si="5"/>
        <v>1</v>
      </c>
      <c r="Y26" s="53">
        <f t="shared" si="6"/>
        <v>0.4</v>
      </c>
      <c r="Z26" s="53">
        <f t="shared" si="7"/>
        <v>0.6</v>
      </c>
      <c r="AA26" s="54">
        <f t="shared" si="8"/>
        <v>46.711309523809518</v>
      </c>
      <c r="AB26" s="55">
        <f t="shared" si="9"/>
        <v>2.9562499999999998</v>
      </c>
    </row>
    <row r="27" spans="1:28" ht="15" customHeight="1" x14ac:dyDescent="0.25">
      <c r="A27">
        <v>18</v>
      </c>
      <c r="C27">
        <f t="shared" si="10"/>
        <v>0.4</v>
      </c>
      <c r="D27">
        <f t="shared" si="10"/>
        <v>0.4</v>
      </c>
      <c r="E27">
        <f t="shared" si="10"/>
        <v>4.9999999999999996E-2</v>
      </c>
      <c r="F27">
        <f t="shared" si="10"/>
        <v>4.9999999999999996E-2</v>
      </c>
      <c r="G27">
        <f t="shared" si="10"/>
        <v>4.9999999999999996E-2</v>
      </c>
      <c r="H27">
        <f t="shared" si="10"/>
        <v>3.8461538461538464E-3</v>
      </c>
      <c r="I27">
        <f t="shared" si="10"/>
        <v>3.8461538461538464E-3</v>
      </c>
      <c r="J27">
        <f t="shared" si="10"/>
        <v>3.8461538461538464E-3</v>
      </c>
      <c r="K27">
        <f t="shared" si="10"/>
        <v>3.8461538461538464E-3</v>
      </c>
      <c r="L27">
        <f t="shared" si="10"/>
        <v>3.8461538461538464E-3</v>
      </c>
      <c r="M27">
        <f t="shared" si="11"/>
        <v>3.8461538461538464E-3</v>
      </c>
      <c r="N27">
        <f t="shared" si="11"/>
        <v>3.8461538461538464E-3</v>
      </c>
      <c r="O27">
        <f t="shared" si="11"/>
        <v>3.8461538461538464E-3</v>
      </c>
      <c r="P27">
        <f t="shared" si="11"/>
        <v>3.8461538461538464E-3</v>
      </c>
      <c r="Q27">
        <f t="shared" si="11"/>
        <v>3.8461538461538464E-3</v>
      </c>
      <c r="R27">
        <f t="shared" si="11"/>
        <v>3.8461538461538464E-3</v>
      </c>
      <c r="S27">
        <f t="shared" si="11"/>
        <v>3.8461538461538464E-3</v>
      </c>
      <c r="T27">
        <f t="shared" si="11"/>
        <v>3.8461538461538464E-3</v>
      </c>
      <c r="U27">
        <f t="shared" si="11"/>
        <v>0</v>
      </c>
      <c r="V27">
        <f t="shared" si="11"/>
        <v>0</v>
      </c>
      <c r="X27" s="53">
        <f t="shared" si="5"/>
        <v>1</v>
      </c>
      <c r="Y27" s="53">
        <f t="shared" si="6"/>
        <v>0.4</v>
      </c>
      <c r="Z27" s="53">
        <f t="shared" si="7"/>
        <v>0.6</v>
      </c>
      <c r="AA27" s="54">
        <f t="shared" si="8"/>
        <v>46.890476190476186</v>
      </c>
      <c r="AB27" s="55">
        <f t="shared" si="9"/>
        <v>3.01</v>
      </c>
    </row>
    <row r="28" spans="1:28" ht="15" customHeight="1" x14ac:dyDescent="0.25">
      <c r="A28">
        <v>19</v>
      </c>
      <c r="C28">
        <f t="shared" si="10"/>
        <v>0.4</v>
      </c>
      <c r="D28">
        <f t="shared" si="10"/>
        <v>0.4</v>
      </c>
      <c r="E28">
        <f t="shared" si="10"/>
        <v>4.9999999999999996E-2</v>
      </c>
      <c r="F28">
        <f t="shared" si="10"/>
        <v>4.9999999999999996E-2</v>
      </c>
      <c r="G28">
        <f t="shared" si="10"/>
        <v>4.9999999999999996E-2</v>
      </c>
      <c r="H28">
        <f t="shared" si="10"/>
        <v>3.5714285714285718E-3</v>
      </c>
      <c r="I28">
        <f t="shared" si="10"/>
        <v>3.5714285714285718E-3</v>
      </c>
      <c r="J28">
        <f t="shared" si="10"/>
        <v>3.5714285714285718E-3</v>
      </c>
      <c r="K28">
        <f t="shared" si="10"/>
        <v>3.5714285714285718E-3</v>
      </c>
      <c r="L28">
        <f t="shared" si="10"/>
        <v>3.5714285714285718E-3</v>
      </c>
      <c r="M28">
        <f t="shared" si="11"/>
        <v>3.5714285714285718E-3</v>
      </c>
      <c r="N28">
        <f t="shared" si="11"/>
        <v>3.5714285714285718E-3</v>
      </c>
      <c r="O28">
        <f t="shared" si="11"/>
        <v>3.5714285714285718E-3</v>
      </c>
      <c r="P28">
        <f t="shared" si="11"/>
        <v>3.5714285714285718E-3</v>
      </c>
      <c r="Q28">
        <f t="shared" si="11"/>
        <v>3.5714285714285718E-3</v>
      </c>
      <c r="R28">
        <f t="shared" si="11"/>
        <v>3.5714285714285718E-3</v>
      </c>
      <c r="S28">
        <f t="shared" si="11"/>
        <v>3.5714285714285718E-3</v>
      </c>
      <c r="T28">
        <f t="shared" si="11"/>
        <v>3.5714285714285718E-3</v>
      </c>
      <c r="U28">
        <f t="shared" si="11"/>
        <v>3.5714285714285718E-3</v>
      </c>
      <c r="V28">
        <f t="shared" si="11"/>
        <v>0</v>
      </c>
      <c r="X28" s="53">
        <f t="shared" si="5"/>
        <v>1</v>
      </c>
      <c r="Y28" s="53">
        <f t="shared" si="6"/>
        <v>0.4</v>
      </c>
      <c r="Z28" s="53">
        <f t="shared" si="7"/>
        <v>0.6</v>
      </c>
      <c r="AA28" s="54">
        <f t="shared" si="8"/>
        <v>47.069642857142867</v>
      </c>
      <c r="AB28" s="55">
        <f t="shared" si="9"/>
        <v>3.0637499999999993</v>
      </c>
    </row>
    <row r="29" spans="1:28" ht="15" customHeight="1" x14ac:dyDescent="0.25">
      <c r="A29">
        <v>20</v>
      </c>
      <c r="C29">
        <f t="shared" si="10"/>
        <v>0.4</v>
      </c>
      <c r="D29">
        <f t="shared" si="10"/>
        <v>0.4</v>
      </c>
      <c r="E29">
        <f t="shared" si="10"/>
        <v>4.9999999999999996E-2</v>
      </c>
      <c r="F29">
        <f t="shared" si="10"/>
        <v>4.9999999999999996E-2</v>
      </c>
      <c r="G29">
        <f t="shared" si="10"/>
        <v>4.9999999999999996E-2</v>
      </c>
      <c r="H29">
        <f t="shared" si="10"/>
        <v>3.3333333333333335E-3</v>
      </c>
      <c r="I29">
        <f t="shared" si="10"/>
        <v>3.3333333333333335E-3</v>
      </c>
      <c r="J29">
        <f t="shared" si="10"/>
        <v>3.3333333333333335E-3</v>
      </c>
      <c r="K29">
        <f t="shared" si="10"/>
        <v>3.3333333333333335E-3</v>
      </c>
      <c r="L29">
        <f t="shared" si="10"/>
        <v>3.3333333333333335E-3</v>
      </c>
      <c r="M29">
        <f t="shared" si="11"/>
        <v>3.3333333333333335E-3</v>
      </c>
      <c r="N29">
        <f t="shared" si="11"/>
        <v>3.3333333333333335E-3</v>
      </c>
      <c r="O29">
        <f t="shared" si="11"/>
        <v>3.3333333333333335E-3</v>
      </c>
      <c r="P29">
        <f t="shared" si="11"/>
        <v>3.3333333333333335E-3</v>
      </c>
      <c r="Q29">
        <f t="shared" si="11"/>
        <v>3.3333333333333335E-3</v>
      </c>
      <c r="R29">
        <f t="shared" si="11"/>
        <v>3.3333333333333335E-3</v>
      </c>
      <c r="S29">
        <f t="shared" si="11"/>
        <v>3.3333333333333335E-3</v>
      </c>
      <c r="T29">
        <f t="shared" si="11"/>
        <v>3.3333333333333335E-3</v>
      </c>
      <c r="U29">
        <f t="shared" si="11"/>
        <v>3.3333333333333335E-3</v>
      </c>
      <c r="V29">
        <f t="shared" si="11"/>
        <v>3.3333333333333335E-3</v>
      </c>
      <c r="X29" s="53">
        <f t="shared" si="5"/>
        <v>0.99999999999999967</v>
      </c>
      <c r="Y29" s="53">
        <f t="shared" si="6"/>
        <v>0.40000000000000013</v>
      </c>
      <c r="Z29" s="53">
        <f t="shared" si="7"/>
        <v>0.59999999999999987</v>
      </c>
      <c r="AA29" s="54">
        <f t="shared" si="8"/>
        <v>47.248809523809541</v>
      </c>
      <c r="AB29" s="55">
        <f t="shared" si="9"/>
        <v>3.1175000000000006</v>
      </c>
    </row>
    <row r="32" spans="1:28" ht="15" customHeight="1" x14ac:dyDescent="0.25">
      <c r="A32" s="28" t="s">
        <v>220</v>
      </c>
    </row>
    <row r="33" spans="1:22" ht="15" customHeight="1" x14ac:dyDescent="0.25">
      <c r="A33">
        <v>1</v>
      </c>
      <c r="C33" s="56">
        <f t="shared" ref="C33:V33" si="12">C10/$X10</f>
        <v>1</v>
      </c>
      <c r="D33" s="56">
        <f t="shared" si="12"/>
        <v>0</v>
      </c>
      <c r="E33" s="56">
        <f t="shared" si="12"/>
        <v>0</v>
      </c>
      <c r="F33" s="56">
        <f t="shared" si="12"/>
        <v>0</v>
      </c>
      <c r="G33" s="56">
        <f t="shared" si="12"/>
        <v>0</v>
      </c>
      <c r="H33" s="56">
        <f t="shared" si="12"/>
        <v>0</v>
      </c>
      <c r="I33" s="56">
        <f t="shared" si="12"/>
        <v>0</v>
      </c>
      <c r="J33" s="56">
        <f t="shared" si="12"/>
        <v>0</v>
      </c>
      <c r="K33" s="56">
        <f t="shared" si="12"/>
        <v>0</v>
      </c>
      <c r="L33" s="56">
        <f t="shared" si="12"/>
        <v>0</v>
      </c>
      <c r="M33" s="56">
        <f t="shared" si="12"/>
        <v>0</v>
      </c>
      <c r="N33" s="56">
        <f t="shared" si="12"/>
        <v>0</v>
      </c>
      <c r="O33" s="56">
        <f t="shared" si="12"/>
        <v>0</v>
      </c>
      <c r="P33" s="56">
        <f t="shared" si="12"/>
        <v>0</v>
      </c>
      <c r="Q33" s="56">
        <f t="shared" si="12"/>
        <v>0</v>
      </c>
      <c r="R33" s="56">
        <f t="shared" si="12"/>
        <v>0</v>
      </c>
      <c r="S33" s="56">
        <f t="shared" si="12"/>
        <v>0</v>
      </c>
      <c r="T33" s="56">
        <f t="shared" si="12"/>
        <v>0</v>
      </c>
      <c r="U33" s="56">
        <f t="shared" si="12"/>
        <v>0</v>
      </c>
      <c r="V33" s="56">
        <f t="shared" si="12"/>
        <v>0</v>
      </c>
    </row>
    <row r="34" spans="1:22" ht="15" customHeight="1" x14ac:dyDescent="0.25">
      <c r="A34">
        <v>2</v>
      </c>
      <c r="C34" s="56">
        <f t="shared" ref="C34:V34" si="13">C11/$X11</f>
        <v>0.5</v>
      </c>
      <c r="D34" s="56">
        <f t="shared" si="13"/>
        <v>0.5</v>
      </c>
      <c r="E34" s="56">
        <f t="shared" si="13"/>
        <v>0</v>
      </c>
      <c r="F34" s="56">
        <f t="shared" si="13"/>
        <v>0</v>
      </c>
      <c r="G34" s="56">
        <f t="shared" si="13"/>
        <v>0</v>
      </c>
      <c r="H34" s="56">
        <f t="shared" si="13"/>
        <v>0</v>
      </c>
      <c r="I34" s="56">
        <f t="shared" si="13"/>
        <v>0</v>
      </c>
      <c r="J34" s="56">
        <f t="shared" si="13"/>
        <v>0</v>
      </c>
      <c r="K34" s="56">
        <f t="shared" si="13"/>
        <v>0</v>
      </c>
      <c r="L34" s="56">
        <f t="shared" si="13"/>
        <v>0</v>
      </c>
      <c r="M34" s="56">
        <f t="shared" si="13"/>
        <v>0</v>
      </c>
      <c r="N34" s="56">
        <f t="shared" si="13"/>
        <v>0</v>
      </c>
      <c r="O34" s="56">
        <f t="shared" si="13"/>
        <v>0</v>
      </c>
      <c r="P34" s="56">
        <f t="shared" si="13"/>
        <v>0</v>
      </c>
      <c r="Q34" s="56">
        <f t="shared" si="13"/>
        <v>0</v>
      </c>
      <c r="R34" s="56">
        <f t="shared" si="13"/>
        <v>0</v>
      </c>
      <c r="S34" s="56">
        <f t="shared" si="13"/>
        <v>0</v>
      </c>
      <c r="T34" s="56">
        <f t="shared" si="13"/>
        <v>0</v>
      </c>
      <c r="U34" s="56">
        <f t="shared" si="13"/>
        <v>0</v>
      </c>
      <c r="V34" s="56">
        <f t="shared" si="13"/>
        <v>0</v>
      </c>
    </row>
    <row r="35" spans="1:22" ht="15" customHeight="1" x14ac:dyDescent="0.25">
      <c r="A35">
        <v>3</v>
      </c>
      <c r="C35" s="56">
        <f t="shared" ref="C35:V35" si="14">C12/$X12</f>
        <v>0.47058823529411764</v>
      </c>
      <c r="D35" s="56">
        <f t="shared" si="14"/>
        <v>0.47058823529411764</v>
      </c>
      <c r="E35" s="56">
        <f t="shared" si="14"/>
        <v>5.8823529411764698E-2</v>
      </c>
      <c r="F35" s="56">
        <f t="shared" si="14"/>
        <v>0</v>
      </c>
      <c r="G35" s="56">
        <f t="shared" si="14"/>
        <v>0</v>
      </c>
      <c r="H35" s="56">
        <f t="shared" si="14"/>
        <v>0</v>
      </c>
      <c r="I35" s="56">
        <f t="shared" si="14"/>
        <v>0</v>
      </c>
      <c r="J35" s="56">
        <f t="shared" si="14"/>
        <v>0</v>
      </c>
      <c r="K35" s="56">
        <f t="shared" si="14"/>
        <v>0</v>
      </c>
      <c r="L35" s="56">
        <f t="shared" si="14"/>
        <v>0</v>
      </c>
      <c r="M35" s="56">
        <f t="shared" si="14"/>
        <v>0</v>
      </c>
      <c r="N35" s="56">
        <f t="shared" si="14"/>
        <v>0</v>
      </c>
      <c r="O35" s="56">
        <f t="shared" si="14"/>
        <v>0</v>
      </c>
      <c r="P35" s="56">
        <f t="shared" si="14"/>
        <v>0</v>
      </c>
      <c r="Q35" s="56">
        <f t="shared" si="14"/>
        <v>0</v>
      </c>
      <c r="R35" s="56">
        <f t="shared" si="14"/>
        <v>0</v>
      </c>
      <c r="S35" s="56">
        <f t="shared" si="14"/>
        <v>0</v>
      </c>
      <c r="T35" s="56">
        <f t="shared" si="14"/>
        <v>0</v>
      </c>
      <c r="U35" s="56">
        <f t="shared" si="14"/>
        <v>0</v>
      </c>
      <c r="V35" s="56">
        <f t="shared" si="14"/>
        <v>0</v>
      </c>
    </row>
    <row r="36" spans="1:22" ht="15" customHeight="1" x14ac:dyDescent="0.25">
      <c r="A36">
        <v>4</v>
      </c>
      <c r="C36" s="56">
        <f t="shared" ref="C36:V36" si="15">C13/$X13</f>
        <v>0.44444444444444442</v>
      </c>
      <c r="D36" s="56">
        <f t="shared" si="15"/>
        <v>0.44444444444444442</v>
      </c>
      <c r="E36" s="56">
        <f t="shared" si="15"/>
        <v>5.5555555555555546E-2</v>
      </c>
      <c r="F36" s="56">
        <f t="shared" si="15"/>
        <v>5.5555555555555546E-2</v>
      </c>
      <c r="G36" s="56">
        <f t="shared" si="15"/>
        <v>0</v>
      </c>
      <c r="H36" s="56">
        <f t="shared" si="15"/>
        <v>0</v>
      </c>
      <c r="I36" s="56">
        <f t="shared" si="15"/>
        <v>0</v>
      </c>
      <c r="J36" s="56">
        <f t="shared" si="15"/>
        <v>0</v>
      </c>
      <c r="K36" s="56">
        <f t="shared" si="15"/>
        <v>0</v>
      </c>
      <c r="L36" s="56">
        <f t="shared" si="15"/>
        <v>0</v>
      </c>
      <c r="M36" s="56">
        <f t="shared" si="15"/>
        <v>0</v>
      </c>
      <c r="N36" s="56">
        <f t="shared" si="15"/>
        <v>0</v>
      </c>
      <c r="O36" s="56">
        <f t="shared" si="15"/>
        <v>0</v>
      </c>
      <c r="P36" s="56">
        <f t="shared" si="15"/>
        <v>0</v>
      </c>
      <c r="Q36" s="56">
        <f t="shared" si="15"/>
        <v>0</v>
      </c>
      <c r="R36" s="56">
        <f t="shared" si="15"/>
        <v>0</v>
      </c>
      <c r="S36" s="56">
        <f t="shared" si="15"/>
        <v>0</v>
      </c>
      <c r="T36" s="56">
        <f t="shared" si="15"/>
        <v>0</v>
      </c>
      <c r="U36" s="56">
        <f t="shared" si="15"/>
        <v>0</v>
      </c>
      <c r="V36" s="56">
        <f t="shared" si="15"/>
        <v>0</v>
      </c>
    </row>
    <row r="37" spans="1:22" ht="15" customHeight="1" x14ac:dyDescent="0.25">
      <c r="A37">
        <v>5</v>
      </c>
      <c r="C37" s="56">
        <f t="shared" ref="C37:V37" si="16">C14/$X14</f>
        <v>0.42105263157894729</v>
      </c>
      <c r="D37" s="56">
        <f t="shared" si="16"/>
        <v>0.42105263157894729</v>
      </c>
      <c r="E37" s="56">
        <f t="shared" si="16"/>
        <v>5.2631578947368404E-2</v>
      </c>
      <c r="F37" s="56">
        <f t="shared" si="16"/>
        <v>5.2631578947368404E-2</v>
      </c>
      <c r="G37" s="56">
        <f t="shared" si="16"/>
        <v>5.2631578947368404E-2</v>
      </c>
      <c r="H37" s="56">
        <f t="shared" si="16"/>
        <v>0</v>
      </c>
      <c r="I37" s="56">
        <f t="shared" si="16"/>
        <v>0</v>
      </c>
      <c r="J37" s="56">
        <f t="shared" si="16"/>
        <v>0</v>
      </c>
      <c r="K37" s="56">
        <f t="shared" si="16"/>
        <v>0</v>
      </c>
      <c r="L37" s="56">
        <f t="shared" si="16"/>
        <v>0</v>
      </c>
      <c r="M37" s="56">
        <f t="shared" si="16"/>
        <v>0</v>
      </c>
      <c r="N37" s="56">
        <f t="shared" si="16"/>
        <v>0</v>
      </c>
      <c r="O37" s="56">
        <f t="shared" si="16"/>
        <v>0</v>
      </c>
      <c r="P37" s="56">
        <f t="shared" si="16"/>
        <v>0</v>
      </c>
      <c r="Q37" s="56">
        <f t="shared" si="16"/>
        <v>0</v>
      </c>
      <c r="R37" s="56">
        <f t="shared" si="16"/>
        <v>0</v>
      </c>
      <c r="S37" s="56">
        <f t="shared" si="16"/>
        <v>0</v>
      </c>
      <c r="T37" s="56">
        <f t="shared" si="16"/>
        <v>0</v>
      </c>
      <c r="U37" s="56">
        <f t="shared" si="16"/>
        <v>0</v>
      </c>
      <c r="V37" s="56">
        <f t="shared" si="16"/>
        <v>0</v>
      </c>
    </row>
    <row r="38" spans="1:22" ht="15" customHeight="1" x14ac:dyDescent="0.25">
      <c r="A38">
        <v>6</v>
      </c>
      <c r="C38" s="56">
        <f t="shared" ref="C38:V38" si="17">C15/$X15</f>
        <v>0.39999999999999991</v>
      </c>
      <c r="D38" s="56">
        <f t="shared" si="17"/>
        <v>0.39999999999999991</v>
      </c>
      <c r="E38" s="56">
        <f t="shared" si="17"/>
        <v>4.9999999999999982E-2</v>
      </c>
      <c r="F38" s="56">
        <f t="shared" si="17"/>
        <v>4.9999999999999982E-2</v>
      </c>
      <c r="G38" s="56">
        <f t="shared" si="17"/>
        <v>4.9999999999999982E-2</v>
      </c>
      <c r="H38" s="56">
        <f t="shared" si="17"/>
        <v>4.9999999999999989E-2</v>
      </c>
      <c r="I38" s="56">
        <f t="shared" si="17"/>
        <v>0</v>
      </c>
      <c r="J38" s="56">
        <f t="shared" si="17"/>
        <v>0</v>
      </c>
      <c r="K38" s="56">
        <f t="shared" si="17"/>
        <v>0</v>
      </c>
      <c r="L38" s="56">
        <f t="shared" si="17"/>
        <v>0</v>
      </c>
      <c r="M38" s="56">
        <f t="shared" si="17"/>
        <v>0</v>
      </c>
      <c r="N38" s="56">
        <f t="shared" si="17"/>
        <v>0</v>
      </c>
      <c r="O38" s="56">
        <f t="shared" si="17"/>
        <v>0</v>
      </c>
      <c r="P38" s="56">
        <f t="shared" si="17"/>
        <v>0</v>
      </c>
      <c r="Q38" s="56">
        <f t="shared" si="17"/>
        <v>0</v>
      </c>
      <c r="R38" s="56">
        <f t="shared" si="17"/>
        <v>0</v>
      </c>
      <c r="S38" s="56">
        <f t="shared" si="17"/>
        <v>0</v>
      </c>
      <c r="T38" s="56">
        <f t="shared" si="17"/>
        <v>0</v>
      </c>
      <c r="U38" s="56">
        <f t="shared" si="17"/>
        <v>0</v>
      </c>
      <c r="V38" s="56">
        <f t="shared" si="17"/>
        <v>0</v>
      </c>
    </row>
    <row r="39" spans="1:22" ht="15" customHeight="1" x14ac:dyDescent="0.25">
      <c r="A39">
        <v>7</v>
      </c>
      <c r="C39" s="56">
        <f t="shared" ref="C39:V39" si="18">C16/$X16</f>
        <v>0.39999999999999991</v>
      </c>
      <c r="D39" s="56">
        <f t="shared" si="18"/>
        <v>0.39999999999999991</v>
      </c>
      <c r="E39" s="56">
        <f t="shared" si="18"/>
        <v>4.9999999999999982E-2</v>
      </c>
      <c r="F39" s="56">
        <f t="shared" si="18"/>
        <v>4.9999999999999982E-2</v>
      </c>
      <c r="G39" s="56">
        <f t="shared" si="18"/>
        <v>4.9999999999999982E-2</v>
      </c>
      <c r="H39" s="56">
        <f t="shared" si="18"/>
        <v>2.4999999999999994E-2</v>
      </c>
      <c r="I39" s="56">
        <f t="shared" si="18"/>
        <v>2.4999999999999994E-2</v>
      </c>
      <c r="J39" s="56">
        <f t="shared" si="18"/>
        <v>0</v>
      </c>
      <c r="K39" s="56">
        <f t="shared" si="18"/>
        <v>0</v>
      </c>
      <c r="L39" s="56">
        <f t="shared" si="18"/>
        <v>0</v>
      </c>
      <c r="M39" s="56">
        <f t="shared" si="18"/>
        <v>0</v>
      </c>
      <c r="N39" s="56">
        <f t="shared" si="18"/>
        <v>0</v>
      </c>
      <c r="O39" s="56">
        <f t="shared" si="18"/>
        <v>0</v>
      </c>
      <c r="P39" s="56">
        <f t="shared" si="18"/>
        <v>0</v>
      </c>
      <c r="Q39" s="56">
        <f t="shared" si="18"/>
        <v>0</v>
      </c>
      <c r="R39" s="56">
        <f t="shared" si="18"/>
        <v>0</v>
      </c>
      <c r="S39" s="56">
        <f t="shared" si="18"/>
        <v>0</v>
      </c>
      <c r="T39" s="56">
        <f t="shared" si="18"/>
        <v>0</v>
      </c>
      <c r="U39" s="56">
        <f t="shared" si="18"/>
        <v>0</v>
      </c>
      <c r="V39" s="56">
        <f t="shared" si="18"/>
        <v>0</v>
      </c>
    </row>
    <row r="40" spans="1:22" ht="15" customHeight="1" x14ac:dyDescent="0.25">
      <c r="A40">
        <v>8</v>
      </c>
      <c r="C40" s="56">
        <f t="shared" ref="C40:V40" si="19">C17/$X17</f>
        <v>0.39999999999999991</v>
      </c>
      <c r="D40" s="56">
        <f t="shared" si="19"/>
        <v>0.39999999999999991</v>
      </c>
      <c r="E40" s="56">
        <f t="shared" si="19"/>
        <v>4.9999999999999982E-2</v>
      </c>
      <c r="F40" s="56">
        <f t="shared" si="19"/>
        <v>4.9999999999999982E-2</v>
      </c>
      <c r="G40" s="56">
        <f t="shared" si="19"/>
        <v>4.9999999999999982E-2</v>
      </c>
      <c r="H40" s="56">
        <f t="shared" si="19"/>
        <v>1.6666666666666663E-2</v>
      </c>
      <c r="I40" s="56">
        <f t="shared" si="19"/>
        <v>1.6666666666666663E-2</v>
      </c>
      <c r="J40" s="56">
        <f t="shared" si="19"/>
        <v>1.6666666666666663E-2</v>
      </c>
      <c r="K40" s="56">
        <f t="shared" si="19"/>
        <v>0</v>
      </c>
      <c r="L40" s="56">
        <f t="shared" si="19"/>
        <v>0</v>
      </c>
      <c r="M40" s="56">
        <f t="shared" si="19"/>
        <v>0</v>
      </c>
      <c r="N40" s="56">
        <f t="shared" si="19"/>
        <v>0</v>
      </c>
      <c r="O40" s="56">
        <f t="shared" si="19"/>
        <v>0</v>
      </c>
      <c r="P40" s="56">
        <f t="shared" si="19"/>
        <v>0</v>
      </c>
      <c r="Q40" s="56">
        <f t="shared" si="19"/>
        <v>0</v>
      </c>
      <c r="R40" s="56">
        <f t="shared" si="19"/>
        <v>0</v>
      </c>
      <c r="S40" s="56">
        <f t="shared" si="19"/>
        <v>0</v>
      </c>
      <c r="T40" s="56">
        <f t="shared" si="19"/>
        <v>0</v>
      </c>
      <c r="U40" s="56">
        <f t="shared" si="19"/>
        <v>0</v>
      </c>
      <c r="V40" s="56">
        <f t="shared" si="19"/>
        <v>0</v>
      </c>
    </row>
    <row r="41" spans="1:22" ht="15" customHeight="1" x14ac:dyDescent="0.25">
      <c r="A41">
        <v>9</v>
      </c>
      <c r="C41" s="56">
        <f t="shared" ref="C41:V41" si="20">C18/$X18</f>
        <v>0.4</v>
      </c>
      <c r="D41" s="56">
        <f t="shared" si="20"/>
        <v>0.4</v>
      </c>
      <c r="E41" s="56">
        <f t="shared" si="20"/>
        <v>4.9999999999999996E-2</v>
      </c>
      <c r="F41" s="56">
        <f t="shared" si="20"/>
        <v>4.9999999999999996E-2</v>
      </c>
      <c r="G41" s="56">
        <f t="shared" si="20"/>
        <v>4.9999999999999996E-2</v>
      </c>
      <c r="H41" s="56">
        <f t="shared" si="20"/>
        <v>1.2500000000000001E-2</v>
      </c>
      <c r="I41" s="56">
        <f t="shared" si="20"/>
        <v>1.2500000000000001E-2</v>
      </c>
      <c r="J41" s="56">
        <f t="shared" si="20"/>
        <v>1.2500000000000001E-2</v>
      </c>
      <c r="K41" s="56">
        <f t="shared" si="20"/>
        <v>1.2500000000000001E-2</v>
      </c>
      <c r="L41" s="56">
        <f t="shared" si="20"/>
        <v>0</v>
      </c>
      <c r="M41" s="56">
        <f t="shared" si="20"/>
        <v>0</v>
      </c>
      <c r="N41" s="56">
        <f t="shared" si="20"/>
        <v>0</v>
      </c>
      <c r="O41" s="56">
        <f t="shared" si="20"/>
        <v>0</v>
      </c>
      <c r="P41" s="56">
        <f t="shared" si="20"/>
        <v>0</v>
      </c>
      <c r="Q41" s="56">
        <f t="shared" si="20"/>
        <v>0</v>
      </c>
      <c r="R41" s="56">
        <f t="shared" si="20"/>
        <v>0</v>
      </c>
      <c r="S41" s="56">
        <f t="shared" si="20"/>
        <v>0</v>
      </c>
      <c r="T41" s="56">
        <f t="shared" si="20"/>
        <v>0</v>
      </c>
      <c r="U41" s="56">
        <f t="shared" si="20"/>
        <v>0</v>
      </c>
      <c r="V41" s="56">
        <f t="shared" si="20"/>
        <v>0</v>
      </c>
    </row>
    <row r="42" spans="1:22" ht="15" customHeight="1" x14ac:dyDescent="0.25">
      <c r="A42">
        <v>10</v>
      </c>
      <c r="C42" s="56">
        <f t="shared" ref="C42:V42" si="21">C19/$X19</f>
        <v>0.39999999999999991</v>
      </c>
      <c r="D42" s="56">
        <f t="shared" si="21"/>
        <v>0.39999999999999991</v>
      </c>
      <c r="E42" s="56">
        <f t="shared" si="21"/>
        <v>4.9999999999999982E-2</v>
      </c>
      <c r="F42" s="56">
        <f t="shared" si="21"/>
        <v>4.9999999999999982E-2</v>
      </c>
      <c r="G42" s="56">
        <f t="shared" si="21"/>
        <v>4.9999999999999982E-2</v>
      </c>
      <c r="H42" s="56">
        <f t="shared" si="21"/>
        <v>9.9999999999999985E-3</v>
      </c>
      <c r="I42" s="56">
        <f t="shared" si="21"/>
        <v>9.9999999999999985E-3</v>
      </c>
      <c r="J42" s="56">
        <f t="shared" si="21"/>
        <v>9.9999999999999985E-3</v>
      </c>
      <c r="K42" s="56">
        <f t="shared" si="21"/>
        <v>9.9999999999999985E-3</v>
      </c>
      <c r="L42" s="56">
        <f t="shared" si="21"/>
        <v>9.9999999999999985E-3</v>
      </c>
      <c r="M42" s="56">
        <f t="shared" si="21"/>
        <v>0</v>
      </c>
      <c r="N42" s="56">
        <f t="shared" si="21"/>
        <v>0</v>
      </c>
      <c r="O42" s="56">
        <f t="shared" si="21"/>
        <v>0</v>
      </c>
      <c r="P42" s="56">
        <f t="shared" si="21"/>
        <v>0</v>
      </c>
      <c r="Q42" s="56">
        <f t="shared" si="21"/>
        <v>0</v>
      </c>
      <c r="R42" s="56">
        <f t="shared" si="21"/>
        <v>0</v>
      </c>
      <c r="S42" s="56">
        <f t="shared" si="21"/>
        <v>0</v>
      </c>
      <c r="T42" s="56">
        <f t="shared" si="21"/>
        <v>0</v>
      </c>
      <c r="U42" s="56">
        <f t="shared" si="21"/>
        <v>0</v>
      </c>
      <c r="V42" s="56">
        <f t="shared" si="21"/>
        <v>0</v>
      </c>
    </row>
    <row r="43" spans="1:22" ht="15" customHeight="1" x14ac:dyDescent="0.25">
      <c r="A43">
        <v>11</v>
      </c>
      <c r="C43" s="56">
        <f t="shared" ref="C43:V43" si="22">C20/$X20</f>
        <v>0.4</v>
      </c>
      <c r="D43" s="56">
        <f t="shared" si="22"/>
        <v>0.4</v>
      </c>
      <c r="E43" s="56">
        <f t="shared" si="22"/>
        <v>4.9999999999999996E-2</v>
      </c>
      <c r="F43" s="56">
        <f t="shared" si="22"/>
        <v>4.9999999999999996E-2</v>
      </c>
      <c r="G43" s="56">
        <f t="shared" si="22"/>
        <v>4.9999999999999996E-2</v>
      </c>
      <c r="H43" s="56">
        <f t="shared" si="22"/>
        <v>8.3333333333333332E-3</v>
      </c>
      <c r="I43" s="56">
        <f t="shared" si="22"/>
        <v>8.3333333333333332E-3</v>
      </c>
      <c r="J43" s="56">
        <f t="shared" si="22"/>
        <v>8.3333333333333332E-3</v>
      </c>
      <c r="K43" s="56">
        <f t="shared" si="22"/>
        <v>8.3333333333333332E-3</v>
      </c>
      <c r="L43" s="56">
        <f t="shared" si="22"/>
        <v>8.3333333333333332E-3</v>
      </c>
      <c r="M43" s="56">
        <f t="shared" si="22"/>
        <v>8.3333333333333332E-3</v>
      </c>
      <c r="N43" s="56">
        <f t="shared" si="22"/>
        <v>0</v>
      </c>
      <c r="O43" s="56">
        <f t="shared" si="22"/>
        <v>0</v>
      </c>
      <c r="P43" s="56">
        <f t="shared" si="22"/>
        <v>0</v>
      </c>
      <c r="Q43" s="56">
        <f t="shared" si="22"/>
        <v>0</v>
      </c>
      <c r="R43" s="56">
        <f t="shared" si="22"/>
        <v>0</v>
      </c>
      <c r="S43" s="56">
        <f t="shared" si="22"/>
        <v>0</v>
      </c>
      <c r="T43" s="56">
        <f t="shared" si="22"/>
        <v>0</v>
      </c>
      <c r="U43" s="56">
        <f t="shared" si="22"/>
        <v>0</v>
      </c>
      <c r="V43" s="56">
        <f t="shared" si="22"/>
        <v>0</v>
      </c>
    </row>
    <row r="44" spans="1:22" ht="15" customHeight="1" x14ac:dyDescent="0.25">
      <c r="A44">
        <v>12</v>
      </c>
      <c r="C44" s="56">
        <f t="shared" ref="C44:V44" si="23">C21/$X21</f>
        <v>0.4</v>
      </c>
      <c r="D44" s="56">
        <f t="shared" si="23"/>
        <v>0.4</v>
      </c>
      <c r="E44" s="56">
        <f t="shared" si="23"/>
        <v>4.9999999999999996E-2</v>
      </c>
      <c r="F44" s="56">
        <f t="shared" si="23"/>
        <v>4.9999999999999996E-2</v>
      </c>
      <c r="G44" s="56">
        <f t="shared" si="23"/>
        <v>4.9999999999999996E-2</v>
      </c>
      <c r="H44" s="56">
        <f t="shared" si="23"/>
        <v>7.1428571428571435E-3</v>
      </c>
      <c r="I44" s="56">
        <f t="shared" si="23"/>
        <v>7.1428571428571435E-3</v>
      </c>
      <c r="J44" s="56">
        <f t="shared" si="23"/>
        <v>7.1428571428571435E-3</v>
      </c>
      <c r="K44" s="56">
        <f t="shared" si="23"/>
        <v>7.1428571428571435E-3</v>
      </c>
      <c r="L44" s="56">
        <f t="shared" si="23"/>
        <v>7.1428571428571435E-3</v>
      </c>
      <c r="M44" s="56">
        <f t="shared" si="23"/>
        <v>7.1428571428571435E-3</v>
      </c>
      <c r="N44" s="56">
        <f t="shared" si="23"/>
        <v>7.1428571428571435E-3</v>
      </c>
      <c r="O44" s="56">
        <f t="shared" si="23"/>
        <v>0</v>
      </c>
      <c r="P44" s="56">
        <f t="shared" si="23"/>
        <v>0</v>
      </c>
      <c r="Q44" s="56">
        <f t="shared" si="23"/>
        <v>0</v>
      </c>
      <c r="R44" s="56">
        <f t="shared" si="23"/>
        <v>0</v>
      </c>
      <c r="S44" s="56">
        <f t="shared" si="23"/>
        <v>0</v>
      </c>
      <c r="T44" s="56">
        <f t="shared" si="23"/>
        <v>0</v>
      </c>
      <c r="U44" s="56">
        <f t="shared" si="23"/>
        <v>0</v>
      </c>
      <c r="V44" s="56">
        <f t="shared" si="23"/>
        <v>0</v>
      </c>
    </row>
    <row r="45" spans="1:22" ht="15" customHeight="1" x14ac:dyDescent="0.25">
      <c r="A45">
        <v>13</v>
      </c>
      <c r="C45" s="56">
        <f t="shared" ref="C45:V45" si="24">C22/$X22</f>
        <v>0.4</v>
      </c>
      <c r="D45" s="56">
        <f t="shared" si="24"/>
        <v>0.4</v>
      </c>
      <c r="E45" s="56">
        <f t="shared" si="24"/>
        <v>4.9999999999999996E-2</v>
      </c>
      <c r="F45" s="56">
        <f t="shared" si="24"/>
        <v>4.9999999999999996E-2</v>
      </c>
      <c r="G45" s="56">
        <f t="shared" si="24"/>
        <v>4.9999999999999996E-2</v>
      </c>
      <c r="H45" s="56">
        <f t="shared" si="24"/>
        <v>6.2500000000000003E-3</v>
      </c>
      <c r="I45" s="56">
        <f t="shared" si="24"/>
        <v>6.2500000000000003E-3</v>
      </c>
      <c r="J45" s="56">
        <f t="shared" si="24"/>
        <v>6.2500000000000003E-3</v>
      </c>
      <c r="K45" s="56">
        <f t="shared" si="24"/>
        <v>6.2500000000000003E-3</v>
      </c>
      <c r="L45" s="56">
        <f t="shared" si="24"/>
        <v>6.2500000000000003E-3</v>
      </c>
      <c r="M45" s="56">
        <f t="shared" si="24"/>
        <v>6.2500000000000003E-3</v>
      </c>
      <c r="N45" s="56">
        <f t="shared" si="24"/>
        <v>6.2500000000000003E-3</v>
      </c>
      <c r="O45" s="56">
        <f t="shared" si="24"/>
        <v>6.2500000000000003E-3</v>
      </c>
      <c r="P45" s="56">
        <f t="shared" si="24"/>
        <v>0</v>
      </c>
      <c r="Q45" s="56">
        <f t="shared" si="24"/>
        <v>0</v>
      </c>
      <c r="R45" s="56">
        <f t="shared" si="24"/>
        <v>0</v>
      </c>
      <c r="S45" s="56">
        <f t="shared" si="24"/>
        <v>0</v>
      </c>
      <c r="T45" s="56">
        <f t="shared" si="24"/>
        <v>0</v>
      </c>
      <c r="U45" s="56">
        <f t="shared" si="24"/>
        <v>0</v>
      </c>
      <c r="V45" s="56">
        <f t="shared" si="24"/>
        <v>0</v>
      </c>
    </row>
    <row r="46" spans="1:22" ht="15" customHeight="1" x14ac:dyDescent="0.25">
      <c r="A46">
        <v>14</v>
      </c>
      <c r="C46" s="56">
        <f t="shared" ref="C46:V46" si="25">C23/$X23</f>
        <v>0.4</v>
      </c>
      <c r="D46" s="56">
        <f t="shared" si="25"/>
        <v>0.4</v>
      </c>
      <c r="E46" s="56">
        <f t="shared" si="25"/>
        <v>4.9999999999999996E-2</v>
      </c>
      <c r="F46" s="56">
        <f t="shared" si="25"/>
        <v>4.9999999999999996E-2</v>
      </c>
      <c r="G46" s="56">
        <f t="shared" si="25"/>
        <v>4.9999999999999996E-2</v>
      </c>
      <c r="H46" s="56">
        <f t="shared" si="25"/>
        <v>5.5555555555555558E-3</v>
      </c>
      <c r="I46" s="56">
        <f t="shared" si="25"/>
        <v>5.5555555555555558E-3</v>
      </c>
      <c r="J46" s="56">
        <f t="shared" si="25"/>
        <v>5.5555555555555558E-3</v>
      </c>
      <c r="K46" s="56">
        <f t="shared" si="25"/>
        <v>5.5555555555555558E-3</v>
      </c>
      <c r="L46" s="56">
        <f t="shared" si="25"/>
        <v>5.5555555555555558E-3</v>
      </c>
      <c r="M46" s="56">
        <f t="shared" si="25"/>
        <v>5.5555555555555558E-3</v>
      </c>
      <c r="N46" s="56">
        <f t="shared" si="25"/>
        <v>5.5555555555555558E-3</v>
      </c>
      <c r="O46" s="56">
        <f t="shared" si="25"/>
        <v>5.5555555555555558E-3</v>
      </c>
      <c r="P46" s="56">
        <f t="shared" si="25"/>
        <v>5.5555555555555558E-3</v>
      </c>
      <c r="Q46" s="56">
        <f t="shared" si="25"/>
        <v>0</v>
      </c>
      <c r="R46" s="56">
        <f t="shared" si="25"/>
        <v>0</v>
      </c>
      <c r="S46" s="56">
        <f t="shared" si="25"/>
        <v>0</v>
      </c>
      <c r="T46" s="56">
        <f t="shared" si="25"/>
        <v>0</v>
      </c>
      <c r="U46" s="56">
        <f t="shared" si="25"/>
        <v>0</v>
      </c>
      <c r="V46" s="56">
        <f t="shared" si="25"/>
        <v>0</v>
      </c>
    </row>
    <row r="47" spans="1:22" ht="15" customHeight="1" x14ac:dyDescent="0.25">
      <c r="A47">
        <v>15</v>
      </c>
      <c r="C47" s="56">
        <f t="shared" ref="C47:V47" si="26">C24/$X24</f>
        <v>0.39999999999999991</v>
      </c>
      <c r="D47" s="56">
        <f t="shared" si="26"/>
        <v>0.39999999999999991</v>
      </c>
      <c r="E47" s="56">
        <f t="shared" si="26"/>
        <v>4.9999999999999982E-2</v>
      </c>
      <c r="F47" s="56">
        <f t="shared" si="26"/>
        <v>4.9999999999999982E-2</v>
      </c>
      <c r="G47" s="56">
        <f t="shared" si="26"/>
        <v>4.9999999999999982E-2</v>
      </c>
      <c r="H47" s="56">
        <f t="shared" si="26"/>
        <v>4.9999999999999992E-3</v>
      </c>
      <c r="I47" s="56">
        <f t="shared" si="26"/>
        <v>4.9999999999999992E-3</v>
      </c>
      <c r="J47" s="56">
        <f t="shared" si="26"/>
        <v>4.9999999999999992E-3</v>
      </c>
      <c r="K47" s="56">
        <f t="shared" si="26"/>
        <v>4.9999999999999992E-3</v>
      </c>
      <c r="L47" s="56">
        <f t="shared" si="26"/>
        <v>4.9999999999999992E-3</v>
      </c>
      <c r="M47" s="56">
        <f t="shared" si="26"/>
        <v>4.9999999999999992E-3</v>
      </c>
      <c r="N47" s="56">
        <f t="shared" si="26"/>
        <v>4.9999999999999992E-3</v>
      </c>
      <c r="O47" s="56">
        <f t="shared" si="26"/>
        <v>4.9999999999999992E-3</v>
      </c>
      <c r="P47" s="56">
        <f t="shared" si="26"/>
        <v>4.9999999999999992E-3</v>
      </c>
      <c r="Q47" s="56">
        <f t="shared" si="26"/>
        <v>4.9999999999999992E-3</v>
      </c>
      <c r="R47" s="56">
        <f t="shared" si="26"/>
        <v>0</v>
      </c>
      <c r="S47" s="56">
        <f t="shared" si="26"/>
        <v>0</v>
      </c>
      <c r="T47" s="56">
        <f t="shared" si="26"/>
        <v>0</v>
      </c>
      <c r="U47" s="56">
        <f t="shared" si="26"/>
        <v>0</v>
      </c>
      <c r="V47" s="56">
        <f t="shared" si="26"/>
        <v>0</v>
      </c>
    </row>
    <row r="48" spans="1:22" ht="15" customHeight="1" x14ac:dyDescent="0.25">
      <c r="A48">
        <v>16</v>
      </c>
      <c r="C48" s="56">
        <f t="shared" ref="C48:V48" si="27">C25/$X25</f>
        <v>0.40000000000000008</v>
      </c>
      <c r="D48" s="56">
        <f t="shared" si="27"/>
        <v>0.40000000000000008</v>
      </c>
      <c r="E48" s="56">
        <f t="shared" si="27"/>
        <v>0.05</v>
      </c>
      <c r="F48" s="56">
        <f t="shared" si="27"/>
        <v>0.05</v>
      </c>
      <c r="G48" s="56">
        <f t="shared" si="27"/>
        <v>0.05</v>
      </c>
      <c r="H48" s="56">
        <f t="shared" si="27"/>
        <v>4.545454545454547E-3</v>
      </c>
      <c r="I48" s="56">
        <f t="shared" si="27"/>
        <v>4.545454545454547E-3</v>
      </c>
      <c r="J48" s="56">
        <f t="shared" si="27"/>
        <v>4.545454545454547E-3</v>
      </c>
      <c r="K48" s="56">
        <f t="shared" si="27"/>
        <v>4.545454545454547E-3</v>
      </c>
      <c r="L48" s="56">
        <f t="shared" si="27"/>
        <v>4.545454545454547E-3</v>
      </c>
      <c r="M48" s="56">
        <f t="shared" si="27"/>
        <v>4.545454545454547E-3</v>
      </c>
      <c r="N48" s="56">
        <f t="shared" si="27"/>
        <v>4.545454545454547E-3</v>
      </c>
      <c r="O48" s="56">
        <f t="shared" si="27"/>
        <v>4.545454545454547E-3</v>
      </c>
      <c r="P48" s="56">
        <f t="shared" si="27"/>
        <v>4.545454545454547E-3</v>
      </c>
      <c r="Q48" s="56">
        <f t="shared" si="27"/>
        <v>4.545454545454547E-3</v>
      </c>
      <c r="R48" s="56">
        <f t="shared" si="27"/>
        <v>4.545454545454547E-3</v>
      </c>
      <c r="S48" s="56">
        <f t="shared" si="27"/>
        <v>0</v>
      </c>
      <c r="T48" s="56">
        <f t="shared" si="27"/>
        <v>0</v>
      </c>
      <c r="U48" s="56">
        <f t="shared" si="27"/>
        <v>0</v>
      </c>
      <c r="V48" s="56">
        <f t="shared" si="27"/>
        <v>0</v>
      </c>
    </row>
    <row r="49" spans="1:22" ht="15" customHeight="1" x14ac:dyDescent="0.25">
      <c r="A49">
        <v>17</v>
      </c>
      <c r="C49" s="56">
        <f t="shared" ref="C49:V49" si="28">C26/$X26</f>
        <v>0.4</v>
      </c>
      <c r="D49" s="56">
        <f t="shared" si="28"/>
        <v>0.4</v>
      </c>
      <c r="E49" s="56">
        <f t="shared" si="28"/>
        <v>4.9999999999999996E-2</v>
      </c>
      <c r="F49" s="56">
        <f t="shared" si="28"/>
        <v>4.9999999999999996E-2</v>
      </c>
      <c r="G49" s="56">
        <f t="shared" si="28"/>
        <v>4.9999999999999996E-2</v>
      </c>
      <c r="H49" s="56">
        <f t="shared" si="28"/>
        <v>4.1666666666666666E-3</v>
      </c>
      <c r="I49" s="56">
        <f t="shared" si="28"/>
        <v>4.1666666666666666E-3</v>
      </c>
      <c r="J49" s="56">
        <f t="shared" si="28"/>
        <v>4.1666666666666666E-3</v>
      </c>
      <c r="K49" s="56">
        <f t="shared" si="28"/>
        <v>4.1666666666666666E-3</v>
      </c>
      <c r="L49" s="56">
        <f t="shared" si="28"/>
        <v>4.1666666666666666E-3</v>
      </c>
      <c r="M49" s="56">
        <f t="shared" si="28"/>
        <v>4.1666666666666666E-3</v>
      </c>
      <c r="N49" s="56">
        <f t="shared" si="28"/>
        <v>4.1666666666666666E-3</v>
      </c>
      <c r="O49" s="56">
        <f t="shared" si="28"/>
        <v>4.1666666666666666E-3</v>
      </c>
      <c r="P49" s="56">
        <f t="shared" si="28"/>
        <v>4.1666666666666666E-3</v>
      </c>
      <c r="Q49" s="56">
        <f t="shared" si="28"/>
        <v>4.1666666666666666E-3</v>
      </c>
      <c r="R49" s="56">
        <f t="shared" si="28"/>
        <v>4.1666666666666666E-3</v>
      </c>
      <c r="S49" s="56">
        <f t="shared" si="28"/>
        <v>4.1666666666666666E-3</v>
      </c>
      <c r="T49" s="56">
        <f t="shared" si="28"/>
        <v>0</v>
      </c>
      <c r="U49" s="56">
        <f t="shared" si="28"/>
        <v>0</v>
      </c>
      <c r="V49" s="56">
        <f t="shared" si="28"/>
        <v>0</v>
      </c>
    </row>
    <row r="50" spans="1:22" ht="15" customHeight="1" x14ac:dyDescent="0.25">
      <c r="A50">
        <v>18</v>
      </c>
      <c r="C50" s="56">
        <f t="shared" ref="C50:V50" si="29">C27/$X27</f>
        <v>0.4</v>
      </c>
      <c r="D50" s="56">
        <f t="shared" si="29"/>
        <v>0.4</v>
      </c>
      <c r="E50" s="56">
        <f t="shared" si="29"/>
        <v>4.9999999999999996E-2</v>
      </c>
      <c r="F50" s="56">
        <f t="shared" si="29"/>
        <v>4.9999999999999996E-2</v>
      </c>
      <c r="G50" s="56">
        <f t="shared" si="29"/>
        <v>4.9999999999999996E-2</v>
      </c>
      <c r="H50" s="56">
        <f t="shared" si="29"/>
        <v>3.8461538461538464E-3</v>
      </c>
      <c r="I50" s="56">
        <f t="shared" si="29"/>
        <v>3.8461538461538464E-3</v>
      </c>
      <c r="J50" s="56">
        <f t="shared" si="29"/>
        <v>3.8461538461538464E-3</v>
      </c>
      <c r="K50" s="56">
        <f t="shared" si="29"/>
        <v>3.8461538461538464E-3</v>
      </c>
      <c r="L50" s="56">
        <f t="shared" si="29"/>
        <v>3.8461538461538464E-3</v>
      </c>
      <c r="M50" s="56">
        <f t="shared" si="29"/>
        <v>3.8461538461538464E-3</v>
      </c>
      <c r="N50" s="56">
        <f t="shared" si="29"/>
        <v>3.8461538461538464E-3</v>
      </c>
      <c r="O50" s="56">
        <f t="shared" si="29"/>
        <v>3.8461538461538464E-3</v>
      </c>
      <c r="P50" s="56">
        <f t="shared" si="29"/>
        <v>3.8461538461538464E-3</v>
      </c>
      <c r="Q50" s="56">
        <f t="shared" si="29"/>
        <v>3.8461538461538464E-3</v>
      </c>
      <c r="R50" s="56">
        <f t="shared" si="29"/>
        <v>3.8461538461538464E-3</v>
      </c>
      <c r="S50" s="56">
        <f t="shared" si="29"/>
        <v>3.8461538461538464E-3</v>
      </c>
      <c r="T50" s="56">
        <f t="shared" si="29"/>
        <v>3.8461538461538464E-3</v>
      </c>
      <c r="U50" s="56">
        <f t="shared" si="29"/>
        <v>0</v>
      </c>
      <c r="V50" s="56">
        <f t="shared" si="29"/>
        <v>0</v>
      </c>
    </row>
    <row r="51" spans="1:22" ht="15" customHeight="1" x14ac:dyDescent="0.25">
      <c r="A51">
        <v>19</v>
      </c>
      <c r="C51" s="56">
        <f t="shared" ref="C51:V51" si="30">C28/$X28</f>
        <v>0.4</v>
      </c>
      <c r="D51" s="56">
        <f t="shared" si="30"/>
        <v>0.4</v>
      </c>
      <c r="E51" s="56">
        <f t="shared" si="30"/>
        <v>4.9999999999999996E-2</v>
      </c>
      <c r="F51" s="56">
        <f t="shared" si="30"/>
        <v>4.9999999999999996E-2</v>
      </c>
      <c r="G51" s="56">
        <f t="shared" si="30"/>
        <v>4.9999999999999996E-2</v>
      </c>
      <c r="H51" s="56">
        <f t="shared" si="30"/>
        <v>3.5714285714285718E-3</v>
      </c>
      <c r="I51" s="56">
        <f t="shared" si="30"/>
        <v>3.5714285714285718E-3</v>
      </c>
      <c r="J51" s="56">
        <f t="shared" si="30"/>
        <v>3.5714285714285718E-3</v>
      </c>
      <c r="K51" s="56">
        <f t="shared" si="30"/>
        <v>3.5714285714285718E-3</v>
      </c>
      <c r="L51" s="56">
        <f t="shared" si="30"/>
        <v>3.5714285714285718E-3</v>
      </c>
      <c r="M51" s="56">
        <f t="shared" si="30"/>
        <v>3.5714285714285718E-3</v>
      </c>
      <c r="N51" s="56">
        <f t="shared" si="30"/>
        <v>3.5714285714285718E-3</v>
      </c>
      <c r="O51" s="56">
        <f t="shared" si="30"/>
        <v>3.5714285714285718E-3</v>
      </c>
      <c r="P51" s="56">
        <f t="shared" si="30"/>
        <v>3.5714285714285718E-3</v>
      </c>
      <c r="Q51" s="56">
        <f t="shared" si="30"/>
        <v>3.5714285714285718E-3</v>
      </c>
      <c r="R51" s="56">
        <f t="shared" si="30"/>
        <v>3.5714285714285718E-3</v>
      </c>
      <c r="S51" s="56">
        <f t="shared" si="30"/>
        <v>3.5714285714285718E-3</v>
      </c>
      <c r="T51" s="56">
        <f t="shared" si="30"/>
        <v>3.5714285714285718E-3</v>
      </c>
      <c r="U51" s="56">
        <f t="shared" si="30"/>
        <v>3.5714285714285718E-3</v>
      </c>
      <c r="V51" s="56">
        <f t="shared" si="30"/>
        <v>0</v>
      </c>
    </row>
    <row r="52" spans="1:22" ht="15" customHeight="1" x14ac:dyDescent="0.25">
      <c r="A52">
        <v>20</v>
      </c>
      <c r="C52" s="56">
        <f t="shared" ref="C52:V52" si="31">C29/$X29</f>
        <v>0.40000000000000013</v>
      </c>
      <c r="D52" s="56">
        <f t="shared" si="31"/>
        <v>0.40000000000000013</v>
      </c>
      <c r="E52" s="56">
        <f t="shared" si="31"/>
        <v>5.000000000000001E-2</v>
      </c>
      <c r="F52" s="56">
        <f t="shared" si="31"/>
        <v>5.000000000000001E-2</v>
      </c>
      <c r="G52" s="56">
        <f t="shared" si="31"/>
        <v>5.000000000000001E-2</v>
      </c>
      <c r="H52" s="56">
        <f t="shared" si="31"/>
        <v>3.3333333333333348E-3</v>
      </c>
      <c r="I52" s="56">
        <f t="shared" si="31"/>
        <v>3.3333333333333348E-3</v>
      </c>
      <c r="J52" s="56">
        <f t="shared" si="31"/>
        <v>3.3333333333333348E-3</v>
      </c>
      <c r="K52" s="56">
        <f t="shared" si="31"/>
        <v>3.3333333333333348E-3</v>
      </c>
      <c r="L52" s="56">
        <f t="shared" si="31"/>
        <v>3.3333333333333348E-3</v>
      </c>
      <c r="M52" s="56">
        <f t="shared" si="31"/>
        <v>3.3333333333333348E-3</v>
      </c>
      <c r="N52" s="56">
        <f t="shared" si="31"/>
        <v>3.3333333333333348E-3</v>
      </c>
      <c r="O52" s="56">
        <f t="shared" si="31"/>
        <v>3.3333333333333348E-3</v>
      </c>
      <c r="P52" s="56">
        <f t="shared" si="31"/>
        <v>3.3333333333333348E-3</v>
      </c>
      <c r="Q52" s="56">
        <f t="shared" si="31"/>
        <v>3.3333333333333348E-3</v>
      </c>
      <c r="R52" s="56">
        <f t="shared" si="31"/>
        <v>3.3333333333333348E-3</v>
      </c>
      <c r="S52" s="56">
        <f t="shared" si="31"/>
        <v>3.3333333333333348E-3</v>
      </c>
      <c r="T52" s="56">
        <f t="shared" si="31"/>
        <v>3.3333333333333348E-3</v>
      </c>
      <c r="U52" s="56">
        <f t="shared" si="31"/>
        <v>3.3333333333333348E-3</v>
      </c>
      <c r="V52" s="56">
        <f t="shared" si="31"/>
        <v>3.3333333333333348E-3</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6"/>
  <sheetViews>
    <sheetView showGridLines="0" topLeftCell="A59" zoomScaleNormal="100" workbookViewId="0"/>
  </sheetViews>
  <sheetFormatPr defaultColWidth="8.7109375" defaultRowHeight="15" x14ac:dyDescent="0.25"/>
  <cols>
    <col min="1" max="14" width="14" customWidth="1"/>
  </cols>
  <sheetData>
    <row r="1" spans="1:6" ht="18" customHeight="1" x14ac:dyDescent="0.3">
      <c r="A1" s="3" t="s">
        <v>221</v>
      </c>
    </row>
    <row r="3" spans="1:6" ht="15" customHeight="1" x14ac:dyDescent="0.25">
      <c r="A3" s="8" t="s">
        <v>222</v>
      </c>
      <c r="B3" s="8">
        <f>INDEX(Optimizer!$C$8:$C$227,best_i)</f>
        <v>7</v>
      </c>
    </row>
    <row r="4" spans="1:6" ht="15" customHeight="1" x14ac:dyDescent="0.25">
      <c r="A4" s="8" t="s">
        <v>223</v>
      </c>
      <c r="B4" s="50">
        <f>INDEX(Optimizer!$O$8:$O$227,best_i)</f>
        <v>89.149242943443724</v>
      </c>
    </row>
    <row r="6" spans="1:6" ht="15" customHeight="1" x14ac:dyDescent="0.25">
      <c r="A6" s="28" t="s">
        <v>224</v>
      </c>
    </row>
    <row r="7" spans="1:6" ht="30" customHeight="1" x14ac:dyDescent="0.25">
      <c r="A7" s="5" t="s">
        <v>56</v>
      </c>
      <c r="B7" s="5" t="s">
        <v>225</v>
      </c>
      <c r="C7" s="5" t="s">
        <v>26</v>
      </c>
      <c r="D7" s="5" t="s">
        <v>36</v>
      </c>
      <c r="E7" s="5" t="s">
        <v>47</v>
      </c>
      <c r="F7" s="5" t="s">
        <v>204</v>
      </c>
    </row>
    <row r="8" spans="1:6" ht="15" customHeight="1" x14ac:dyDescent="0.25">
      <c r="A8" s="8">
        <f>Optimizer!B3</f>
        <v>6</v>
      </c>
      <c r="B8" s="8">
        <f>0+best_NT</f>
        <v>7</v>
      </c>
      <c r="C8" s="37">
        <f>INDEX(Optimizer!$AA$8:$AA$227,B8)</f>
        <v>0.13</v>
      </c>
      <c r="D8" s="50">
        <f>INDEX(Optimizer!$O$8:$O$227,B8)</f>
        <v>89.149242943443724</v>
      </c>
      <c r="E8" s="48">
        <f>IF(INDEX(Optimizer!$AE$8:$AE$227,B8)=1,INDEX(Optimizer!$Z$8:$Z$227,B8),NA())</f>
        <v>2237851</v>
      </c>
      <c r="F8" s="8">
        <f>INDEX(Optimizer!$AE$8:$AE$227,B8)</f>
        <v>1</v>
      </c>
    </row>
    <row r="9" spans="1:6" ht="15" customHeight="1" x14ac:dyDescent="0.25">
      <c r="A9" s="8">
        <f>Optimizer!C3</f>
        <v>6</v>
      </c>
      <c r="B9" s="8">
        <f>20+best_NT</f>
        <v>27</v>
      </c>
      <c r="C9" s="37">
        <f>INDEX(Optimizer!$AA$8:$AA$227,B9)</f>
        <v>0.13</v>
      </c>
      <c r="D9" s="50">
        <f>INDEX(Optimizer!$O$8:$O$227,B9)</f>
        <v>89.149242943443724</v>
      </c>
      <c r="E9" s="48" t="e">
        <f>IF(INDEX(Optimizer!$AE$8:$AE$227,B9)=1,INDEX(Optimizer!$Z$8:$Z$227,B9),NA())</f>
        <v>#N/A</v>
      </c>
      <c r="F9" s="8">
        <f>INDEX(Optimizer!$AE$8:$AE$227,B9)</f>
        <v>0</v>
      </c>
    </row>
    <row r="10" spans="1:6" ht="15" customHeight="1" x14ac:dyDescent="0.25">
      <c r="A10" s="8">
        <f>Optimizer!D3</f>
        <v>6</v>
      </c>
      <c r="B10" s="8">
        <f>40+best_NT</f>
        <v>47</v>
      </c>
      <c r="C10" s="37">
        <f>INDEX(Optimizer!$AA$8:$AA$227,B10)</f>
        <v>0.13</v>
      </c>
      <c r="D10" s="50">
        <f>INDEX(Optimizer!$O$8:$O$227,B10)</f>
        <v>89.149242943443724</v>
      </c>
      <c r="E10" s="48" t="e">
        <f>IF(INDEX(Optimizer!$AE$8:$AE$227,B10)=1,INDEX(Optimizer!$Z$8:$Z$227,B10),NA())</f>
        <v>#N/A</v>
      </c>
      <c r="F10" s="8">
        <f>INDEX(Optimizer!$AE$8:$AE$227,B10)</f>
        <v>0</v>
      </c>
    </row>
    <row r="11" spans="1:6" ht="15" customHeight="1" x14ac:dyDescent="0.25">
      <c r="A11" s="8">
        <f>Optimizer!E3</f>
        <v>6</v>
      </c>
      <c r="B11" s="8">
        <f>60+best_NT</f>
        <v>67</v>
      </c>
      <c r="C11" s="37">
        <f>INDEX(Optimizer!$AA$8:$AA$227,B11)</f>
        <v>0.13</v>
      </c>
      <c r="D11" s="50">
        <f>INDEX(Optimizer!$O$8:$O$227,B11)</f>
        <v>89.149242943443724</v>
      </c>
      <c r="E11" s="48" t="e">
        <f>IF(INDEX(Optimizer!$AE$8:$AE$227,B11)=1,INDEX(Optimizer!$Z$8:$Z$227,B11),NA())</f>
        <v>#N/A</v>
      </c>
      <c r="F11" s="8">
        <f>INDEX(Optimizer!$AE$8:$AE$227,B11)</f>
        <v>0</v>
      </c>
    </row>
    <row r="12" spans="1:6" ht="15" customHeight="1" x14ac:dyDescent="0.25">
      <c r="A12" s="8">
        <f>Optimizer!F3</f>
        <v>6</v>
      </c>
      <c r="B12" s="8">
        <f>80+best_NT</f>
        <v>87</v>
      </c>
      <c r="C12" s="37">
        <f>INDEX(Optimizer!$AA$8:$AA$227,B12)</f>
        <v>0.13</v>
      </c>
      <c r="D12" s="50">
        <f>INDEX(Optimizer!$O$8:$O$227,B12)</f>
        <v>89.149242943443724</v>
      </c>
      <c r="E12" s="48" t="e">
        <f>IF(INDEX(Optimizer!$AE$8:$AE$227,B12)=1,INDEX(Optimizer!$Z$8:$Z$227,B12),NA())</f>
        <v>#N/A</v>
      </c>
      <c r="F12" s="8">
        <f>INDEX(Optimizer!$AE$8:$AE$227,B12)</f>
        <v>0</v>
      </c>
    </row>
    <row r="13" spans="1:6" ht="15" customHeight="1" x14ac:dyDescent="0.25">
      <c r="A13" s="8">
        <f>Optimizer!G3</f>
        <v>6</v>
      </c>
      <c r="B13" s="8">
        <f>100+best_NT</f>
        <v>107</v>
      </c>
      <c r="C13" s="37">
        <f>INDEX(Optimizer!$AA$8:$AA$227,B13)</f>
        <v>0.13</v>
      </c>
      <c r="D13" s="50">
        <f>INDEX(Optimizer!$O$8:$O$227,B13)</f>
        <v>89.149242943443724</v>
      </c>
      <c r="E13" s="48" t="e">
        <f>IF(INDEX(Optimizer!$AE$8:$AE$227,B13)=1,INDEX(Optimizer!$Z$8:$Z$227,B13),NA())</f>
        <v>#N/A</v>
      </c>
      <c r="F13" s="8">
        <f>INDEX(Optimizer!$AE$8:$AE$227,B13)</f>
        <v>0</v>
      </c>
    </row>
    <row r="14" spans="1:6" ht="15" customHeight="1" x14ac:dyDescent="0.25">
      <c r="A14" s="8">
        <f>Optimizer!H3</f>
        <v>6</v>
      </c>
      <c r="B14" s="8">
        <f>120+best_NT</f>
        <v>127</v>
      </c>
      <c r="C14" s="37">
        <f>INDEX(Optimizer!$AA$8:$AA$227,B14)</f>
        <v>0.13</v>
      </c>
      <c r="D14" s="50">
        <f>INDEX(Optimizer!$O$8:$O$227,B14)</f>
        <v>89.149242943443724</v>
      </c>
      <c r="E14" s="48" t="e">
        <f>IF(INDEX(Optimizer!$AE$8:$AE$227,B14)=1,INDEX(Optimizer!$Z$8:$Z$227,B14),NA())</f>
        <v>#N/A</v>
      </c>
      <c r="F14" s="8">
        <f>INDEX(Optimizer!$AE$8:$AE$227,B14)</f>
        <v>0</v>
      </c>
    </row>
    <row r="15" spans="1:6" ht="15" customHeight="1" x14ac:dyDescent="0.25">
      <c r="A15" s="8">
        <f>Optimizer!I3</f>
        <v>6</v>
      </c>
      <c r="B15" s="8">
        <f>140+best_NT</f>
        <v>147</v>
      </c>
      <c r="C15" s="37">
        <f>INDEX(Optimizer!$AA$8:$AA$227,B15)</f>
        <v>0.13</v>
      </c>
      <c r="D15" s="50">
        <f>INDEX(Optimizer!$O$8:$O$227,B15)</f>
        <v>89.149242943443724</v>
      </c>
      <c r="E15" s="48" t="e">
        <f>IF(INDEX(Optimizer!$AE$8:$AE$227,B15)=1,INDEX(Optimizer!$Z$8:$Z$227,B15),NA())</f>
        <v>#N/A</v>
      </c>
      <c r="F15" s="8">
        <f>INDEX(Optimizer!$AE$8:$AE$227,B15)</f>
        <v>0</v>
      </c>
    </row>
    <row r="16" spans="1:6" ht="15" customHeight="1" x14ac:dyDescent="0.25">
      <c r="A16" s="8">
        <f>Optimizer!J3</f>
        <v>6</v>
      </c>
      <c r="B16" s="8">
        <f>160+best_NT</f>
        <v>167</v>
      </c>
      <c r="C16" s="37">
        <f>INDEX(Optimizer!$AA$8:$AA$227,B16)</f>
        <v>0.13</v>
      </c>
      <c r="D16" s="50">
        <f>INDEX(Optimizer!$O$8:$O$227,B16)</f>
        <v>89.149242943443724</v>
      </c>
      <c r="E16" s="48" t="e">
        <f>IF(INDEX(Optimizer!$AE$8:$AE$227,B16)=1,INDEX(Optimizer!$Z$8:$Z$227,B16),NA())</f>
        <v>#N/A</v>
      </c>
      <c r="F16" s="8">
        <f>INDEX(Optimizer!$AE$8:$AE$227,B16)</f>
        <v>0</v>
      </c>
    </row>
    <row r="17" spans="1:6" ht="15" customHeight="1" x14ac:dyDescent="0.25">
      <c r="A17" s="8">
        <f>Optimizer!K3</f>
        <v>6</v>
      </c>
      <c r="B17" s="8">
        <f>180+best_NT</f>
        <v>187</v>
      </c>
      <c r="C17" s="37">
        <f>INDEX(Optimizer!$AA$8:$AA$227,B17)</f>
        <v>0.13</v>
      </c>
      <c r="D17" s="50">
        <f>INDEX(Optimizer!$O$8:$O$227,B17)</f>
        <v>89.149242943443724</v>
      </c>
      <c r="E17" s="48" t="e">
        <f>IF(INDEX(Optimizer!$AE$8:$AE$227,B17)=1,INDEX(Optimizer!$Z$8:$Z$227,B17),NA())</f>
        <v>#N/A</v>
      </c>
      <c r="F17" s="8">
        <f>INDEX(Optimizer!$AE$8:$AE$227,B17)</f>
        <v>0</v>
      </c>
    </row>
    <row r="18" spans="1:6" ht="15" customHeight="1" x14ac:dyDescent="0.25">
      <c r="A18" s="8">
        <f>Optimizer!L3</f>
        <v>6</v>
      </c>
      <c r="B18" s="8">
        <f>200+best_NT</f>
        <v>207</v>
      </c>
      <c r="C18" s="37">
        <f>INDEX(Optimizer!$AA$8:$AA$227,B18)</f>
        <v>0.13</v>
      </c>
      <c r="D18" s="50">
        <f>INDEX(Optimizer!$O$8:$O$227,B18)</f>
        <v>89.149242943443724</v>
      </c>
      <c r="E18" s="48" t="e">
        <f>IF(INDEX(Optimizer!$AE$8:$AE$227,B18)=1,INDEX(Optimizer!$Z$8:$Z$227,B18),NA())</f>
        <v>#N/A</v>
      </c>
      <c r="F18" s="8">
        <f>INDEX(Optimizer!$AE$8:$AE$227,B18)</f>
        <v>0</v>
      </c>
    </row>
    <row r="20" spans="1:6" ht="15" customHeight="1" x14ac:dyDescent="0.25">
      <c r="A20" s="8" t="s">
        <v>226</v>
      </c>
      <c r="C20" s="37">
        <f>INDEX(Optimizer!$AA$8:$AA$227,best_i)</f>
        <v>0.13</v>
      </c>
      <c r="D20" s="50">
        <f>INDEX(Optimizer!$O$8:$O$227,best_i)</f>
        <v>89.149242943443724</v>
      </c>
      <c r="E20" s="48">
        <f>INDEX(Optimizer!$Z$8:$Z$227,best_i)</f>
        <v>2237851</v>
      </c>
    </row>
    <row r="23" spans="1:6" ht="15" customHeight="1" x14ac:dyDescent="0.25">
      <c r="A23" s="28" t="s">
        <v>227</v>
      </c>
    </row>
    <row r="24" spans="1:6" ht="30" customHeight="1" x14ac:dyDescent="0.25">
      <c r="A24" s="5" t="s">
        <v>189</v>
      </c>
      <c r="B24" s="5" t="s">
        <v>228</v>
      </c>
      <c r="C24" s="5" t="s">
        <v>229</v>
      </c>
      <c r="D24" s="5" t="s">
        <v>230</v>
      </c>
      <c r="E24" s="5" t="s">
        <v>231</v>
      </c>
    </row>
    <row r="25" spans="1:6" ht="15" customHeight="1" x14ac:dyDescent="0.25">
      <c r="A25" s="8">
        <v>1</v>
      </c>
      <c r="B25" s="57">
        <f>INDEX(Optimizer!$F$8:$F$227,best_i)/A25</f>
        <v>0.7486607142857139</v>
      </c>
      <c r="C25" s="57" t="e">
        <f>IF(A25&gt;1,INDEX(Optimizer!$F$8:$F$227,best_i)/(A25-1),NA())</f>
        <v>#N/A</v>
      </c>
      <c r="D25" s="57">
        <f t="shared" ref="D25:D30" si="0">rho_max</f>
        <v>0.75</v>
      </c>
      <c r="E25" s="57">
        <f t="shared" ref="E25:E30" si="1">rho_fail</f>
        <v>0.95</v>
      </c>
    </row>
    <row r="26" spans="1:6" ht="15" customHeight="1" x14ac:dyDescent="0.25">
      <c r="A26" s="8">
        <v>2</v>
      </c>
      <c r="B26" s="57">
        <f>INDEX(Optimizer!$F$8:$F$227,best_i)/A26</f>
        <v>0.37433035714285695</v>
      </c>
      <c r="C26" s="57">
        <f>IF(A26&gt;1,INDEX(Optimizer!$F$8:$F$227,best_i)/(A26-1),NA())</f>
        <v>0.7486607142857139</v>
      </c>
      <c r="D26" s="57">
        <f t="shared" si="0"/>
        <v>0.75</v>
      </c>
      <c r="E26" s="57">
        <f t="shared" si="1"/>
        <v>0.95</v>
      </c>
    </row>
    <row r="27" spans="1:6" ht="15" customHeight="1" x14ac:dyDescent="0.25">
      <c r="A27" s="8">
        <v>3</v>
      </c>
      <c r="B27" s="57">
        <f>INDEX(Optimizer!$F$8:$F$227,best_i)/A27</f>
        <v>0.24955357142857129</v>
      </c>
      <c r="C27" s="57">
        <f>IF(A27&gt;1,INDEX(Optimizer!$F$8:$F$227,best_i)/(A27-1),NA())</f>
        <v>0.37433035714285695</v>
      </c>
      <c r="D27" s="57">
        <f t="shared" si="0"/>
        <v>0.75</v>
      </c>
      <c r="E27" s="57">
        <f t="shared" si="1"/>
        <v>0.95</v>
      </c>
    </row>
    <row r="28" spans="1:6" ht="15" customHeight="1" x14ac:dyDescent="0.25">
      <c r="A28" s="8">
        <v>4</v>
      </c>
      <c r="B28" s="57">
        <f>INDEX(Optimizer!$F$8:$F$227,best_i)/A28</f>
        <v>0.18716517857142848</v>
      </c>
      <c r="C28" s="57">
        <f>IF(A28&gt;1,INDEX(Optimizer!$F$8:$F$227,best_i)/(A28-1),NA())</f>
        <v>0.24955357142857129</v>
      </c>
      <c r="D28" s="57">
        <f t="shared" si="0"/>
        <v>0.75</v>
      </c>
      <c r="E28" s="57">
        <f t="shared" si="1"/>
        <v>0.95</v>
      </c>
    </row>
    <row r="29" spans="1:6" ht="15" customHeight="1" x14ac:dyDescent="0.25">
      <c r="A29" s="8">
        <v>5</v>
      </c>
      <c r="B29" s="57">
        <f>INDEX(Optimizer!$F$8:$F$227,best_i)/A29</f>
        <v>0.14973214285714279</v>
      </c>
      <c r="C29" s="57">
        <f>IF(A29&gt;1,INDEX(Optimizer!$F$8:$F$227,best_i)/(A29-1),NA())</f>
        <v>0.18716517857142848</v>
      </c>
      <c r="D29" s="57">
        <f t="shared" si="0"/>
        <v>0.75</v>
      </c>
      <c r="E29" s="57">
        <f t="shared" si="1"/>
        <v>0.95</v>
      </c>
    </row>
    <row r="30" spans="1:6" ht="15" customHeight="1" x14ac:dyDescent="0.25">
      <c r="A30" s="8">
        <v>6</v>
      </c>
      <c r="B30" s="57">
        <f>INDEX(Optimizer!$F$8:$F$227,best_i)/A30</f>
        <v>0.12477678571428565</v>
      </c>
      <c r="C30" s="57">
        <f>IF(A30&gt;1,INDEX(Optimizer!$F$8:$F$227,best_i)/(A30-1),NA())</f>
        <v>0.14973214285714279</v>
      </c>
      <c r="D30" s="57">
        <f t="shared" si="0"/>
        <v>0.75</v>
      </c>
      <c r="E30" s="57">
        <f t="shared" si="1"/>
        <v>0.95</v>
      </c>
    </row>
    <row r="33" spans="1:6" ht="15" customHeight="1" x14ac:dyDescent="0.25">
      <c r="A33" s="28" t="s">
        <v>232</v>
      </c>
    </row>
    <row r="34" spans="1:6" ht="30" customHeight="1" x14ac:dyDescent="0.25">
      <c r="A34" s="5" t="s">
        <v>233</v>
      </c>
      <c r="B34" s="5" t="s">
        <v>234</v>
      </c>
      <c r="C34" s="5" t="s">
        <v>235</v>
      </c>
      <c r="D34" s="5" t="s">
        <v>236</v>
      </c>
      <c r="E34" s="5" t="s">
        <v>237</v>
      </c>
      <c r="F34" s="5" t="s">
        <v>238</v>
      </c>
    </row>
    <row r="35" spans="1:6" ht="15" customHeight="1" x14ac:dyDescent="0.25">
      <c r="A35" s="8">
        <v>1</v>
      </c>
      <c r="B35" s="49">
        <f t="shared" ref="B35:B54" si="2">INDEX(Tc_P,best_NT,A35)</f>
        <v>0.39999999999999991</v>
      </c>
      <c r="C35" s="50">
        <f t="shared" ref="C35:C54" si="3">lam_total*B35</f>
        <v>39.999999999999993</v>
      </c>
      <c r="D35" s="8">
        <f t="shared" ref="D35:D54" si="4">IF(A35&lt;=best_NT,MAX(min_sh,1,ROUNDUP(C35*best_T/(3600*rho_max)-0.000000001,0)),NA())</f>
        <v>2</v>
      </c>
      <c r="E35" s="57">
        <f t="shared" ref="E35:E54" si="5">IF(A35&lt;=best_NT,C35*best_T/3600/D35,NA())</f>
        <v>0.49527357190802063</v>
      </c>
      <c r="F35" s="57">
        <f t="shared" ref="F35:F54" si="6">rho_max</f>
        <v>0.75</v>
      </c>
    </row>
    <row r="36" spans="1:6" ht="15" customHeight="1" x14ac:dyDescent="0.25">
      <c r="A36" s="8">
        <v>2</v>
      </c>
      <c r="B36" s="49">
        <f t="shared" si="2"/>
        <v>0.39999999999999991</v>
      </c>
      <c r="C36" s="50">
        <f t="shared" si="3"/>
        <v>39.999999999999993</v>
      </c>
      <c r="D36" s="8">
        <f t="shared" si="4"/>
        <v>2</v>
      </c>
      <c r="E36" s="57">
        <f t="shared" si="5"/>
        <v>0.49527357190802063</v>
      </c>
      <c r="F36" s="57">
        <f t="shared" si="6"/>
        <v>0.75</v>
      </c>
    </row>
    <row r="37" spans="1:6" ht="15" customHeight="1" x14ac:dyDescent="0.25">
      <c r="A37" s="8">
        <v>3</v>
      </c>
      <c r="B37" s="49">
        <f t="shared" si="2"/>
        <v>4.9999999999999982E-2</v>
      </c>
      <c r="C37" s="50">
        <f t="shared" si="3"/>
        <v>4.9999999999999982</v>
      </c>
      <c r="D37" s="8">
        <f t="shared" si="4"/>
        <v>1</v>
      </c>
      <c r="E37" s="57">
        <f t="shared" si="5"/>
        <v>0.12381839297700512</v>
      </c>
      <c r="F37" s="57">
        <f t="shared" si="6"/>
        <v>0.75</v>
      </c>
    </row>
    <row r="38" spans="1:6" ht="15" customHeight="1" x14ac:dyDescent="0.25">
      <c r="A38" s="8">
        <v>4</v>
      </c>
      <c r="B38" s="49">
        <f t="shared" si="2"/>
        <v>4.9999999999999982E-2</v>
      </c>
      <c r="C38" s="50">
        <f t="shared" si="3"/>
        <v>4.9999999999999982</v>
      </c>
      <c r="D38" s="8">
        <f t="shared" si="4"/>
        <v>1</v>
      </c>
      <c r="E38" s="57">
        <f t="shared" si="5"/>
        <v>0.12381839297700512</v>
      </c>
      <c r="F38" s="57">
        <f t="shared" si="6"/>
        <v>0.75</v>
      </c>
    </row>
    <row r="39" spans="1:6" ht="15" customHeight="1" x14ac:dyDescent="0.25">
      <c r="A39" s="8">
        <v>5</v>
      </c>
      <c r="B39" s="49">
        <f t="shared" si="2"/>
        <v>4.9999999999999982E-2</v>
      </c>
      <c r="C39" s="50">
        <f t="shared" si="3"/>
        <v>4.9999999999999982</v>
      </c>
      <c r="D39" s="8">
        <f t="shared" si="4"/>
        <v>1</v>
      </c>
      <c r="E39" s="57">
        <f t="shared" si="5"/>
        <v>0.12381839297700512</v>
      </c>
      <c r="F39" s="57">
        <f t="shared" si="6"/>
        <v>0.75</v>
      </c>
    </row>
    <row r="40" spans="1:6" ht="15" customHeight="1" x14ac:dyDescent="0.25">
      <c r="A40" s="8">
        <v>6</v>
      </c>
      <c r="B40" s="49">
        <f t="shared" si="2"/>
        <v>2.4999999999999994E-2</v>
      </c>
      <c r="C40" s="50">
        <f t="shared" si="3"/>
        <v>2.4999999999999996</v>
      </c>
      <c r="D40" s="8">
        <f t="shared" si="4"/>
        <v>1</v>
      </c>
      <c r="E40" s="57">
        <f t="shared" si="5"/>
        <v>6.1909196488502578E-2</v>
      </c>
      <c r="F40" s="57">
        <f t="shared" si="6"/>
        <v>0.75</v>
      </c>
    </row>
    <row r="41" spans="1:6" ht="15" customHeight="1" x14ac:dyDescent="0.25">
      <c r="A41" s="8">
        <v>7</v>
      </c>
      <c r="B41" s="49">
        <f t="shared" si="2"/>
        <v>2.4999999999999994E-2</v>
      </c>
      <c r="C41" s="50">
        <f t="shared" si="3"/>
        <v>2.4999999999999996</v>
      </c>
      <c r="D41" s="8">
        <f t="shared" si="4"/>
        <v>1</v>
      </c>
      <c r="E41" s="57">
        <f t="shared" si="5"/>
        <v>6.1909196488502578E-2</v>
      </c>
      <c r="F41" s="57">
        <f t="shared" si="6"/>
        <v>0.75</v>
      </c>
    </row>
    <row r="42" spans="1:6" ht="15" customHeight="1" x14ac:dyDescent="0.25">
      <c r="A42" s="8">
        <v>8</v>
      </c>
      <c r="B42" s="49">
        <f t="shared" si="2"/>
        <v>0</v>
      </c>
      <c r="C42" s="50">
        <f t="shared" si="3"/>
        <v>0</v>
      </c>
      <c r="D42" s="8" t="e">
        <f t="shared" si="4"/>
        <v>#N/A</v>
      </c>
      <c r="E42" s="57" t="e">
        <f t="shared" si="5"/>
        <v>#N/A</v>
      </c>
      <c r="F42" s="57">
        <f t="shared" si="6"/>
        <v>0.75</v>
      </c>
    </row>
    <row r="43" spans="1:6" ht="15" customHeight="1" x14ac:dyDescent="0.25">
      <c r="A43" s="8">
        <v>9</v>
      </c>
      <c r="B43" s="49">
        <f t="shared" si="2"/>
        <v>0</v>
      </c>
      <c r="C43" s="50">
        <f t="shared" si="3"/>
        <v>0</v>
      </c>
      <c r="D43" s="8" t="e">
        <f t="shared" si="4"/>
        <v>#N/A</v>
      </c>
      <c r="E43" s="57" t="e">
        <f t="shared" si="5"/>
        <v>#N/A</v>
      </c>
      <c r="F43" s="57">
        <f t="shared" si="6"/>
        <v>0.75</v>
      </c>
    </row>
    <row r="44" spans="1:6" ht="15" customHeight="1" x14ac:dyDescent="0.25">
      <c r="A44" s="8">
        <v>10</v>
      </c>
      <c r="B44" s="49">
        <f t="shared" si="2"/>
        <v>0</v>
      </c>
      <c r="C44" s="50">
        <f t="shared" si="3"/>
        <v>0</v>
      </c>
      <c r="D44" s="8" t="e">
        <f t="shared" si="4"/>
        <v>#N/A</v>
      </c>
      <c r="E44" s="57" t="e">
        <f t="shared" si="5"/>
        <v>#N/A</v>
      </c>
      <c r="F44" s="57">
        <f t="shared" si="6"/>
        <v>0.75</v>
      </c>
    </row>
    <row r="45" spans="1:6" ht="15" customHeight="1" x14ac:dyDescent="0.25">
      <c r="A45" s="8">
        <v>11</v>
      </c>
      <c r="B45" s="49">
        <f t="shared" si="2"/>
        <v>0</v>
      </c>
      <c r="C45" s="50">
        <f t="shared" si="3"/>
        <v>0</v>
      </c>
      <c r="D45" s="8" t="e">
        <f t="shared" si="4"/>
        <v>#N/A</v>
      </c>
      <c r="E45" s="57" t="e">
        <f t="shared" si="5"/>
        <v>#N/A</v>
      </c>
      <c r="F45" s="57">
        <f t="shared" si="6"/>
        <v>0.75</v>
      </c>
    </row>
    <row r="46" spans="1:6" ht="15" customHeight="1" x14ac:dyDescent="0.25">
      <c r="A46" s="8">
        <v>12</v>
      </c>
      <c r="B46" s="49">
        <f t="shared" si="2"/>
        <v>0</v>
      </c>
      <c r="C46" s="50">
        <f t="shared" si="3"/>
        <v>0</v>
      </c>
      <c r="D46" s="8" t="e">
        <f t="shared" si="4"/>
        <v>#N/A</v>
      </c>
      <c r="E46" s="57" t="e">
        <f t="shared" si="5"/>
        <v>#N/A</v>
      </c>
      <c r="F46" s="57">
        <f t="shared" si="6"/>
        <v>0.75</v>
      </c>
    </row>
    <row r="47" spans="1:6" ht="15" customHeight="1" x14ac:dyDescent="0.25">
      <c r="A47" s="8">
        <v>13</v>
      </c>
      <c r="B47" s="49">
        <f t="shared" si="2"/>
        <v>0</v>
      </c>
      <c r="C47" s="50">
        <f t="shared" si="3"/>
        <v>0</v>
      </c>
      <c r="D47" s="8" t="e">
        <f t="shared" si="4"/>
        <v>#N/A</v>
      </c>
      <c r="E47" s="57" t="e">
        <f t="shared" si="5"/>
        <v>#N/A</v>
      </c>
      <c r="F47" s="57">
        <f t="shared" si="6"/>
        <v>0.75</v>
      </c>
    </row>
    <row r="48" spans="1:6" ht="15" customHeight="1" x14ac:dyDescent="0.25">
      <c r="A48" s="8">
        <v>14</v>
      </c>
      <c r="B48" s="49">
        <f t="shared" si="2"/>
        <v>0</v>
      </c>
      <c r="C48" s="50">
        <f t="shared" si="3"/>
        <v>0</v>
      </c>
      <c r="D48" s="8" t="e">
        <f t="shared" si="4"/>
        <v>#N/A</v>
      </c>
      <c r="E48" s="57" t="e">
        <f t="shared" si="5"/>
        <v>#N/A</v>
      </c>
      <c r="F48" s="57">
        <f t="shared" si="6"/>
        <v>0.75</v>
      </c>
    </row>
    <row r="49" spans="1:6" ht="15" customHeight="1" x14ac:dyDescent="0.25">
      <c r="A49" s="8">
        <v>15</v>
      </c>
      <c r="B49" s="49">
        <f t="shared" si="2"/>
        <v>0</v>
      </c>
      <c r="C49" s="50">
        <f t="shared" si="3"/>
        <v>0</v>
      </c>
      <c r="D49" s="8" t="e">
        <f t="shared" si="4"/>
        <v>#N/A</v>
      </c>
      <c r="E49" s="57" t="e">
        <f t="shared" si="5"/>
        <v>#N/A</v>
      </c>
      <c r="F49" s="57">
        <f t="shared" si="6"/>
        <v>0.75</v>
      </c>
    </row>
    <row r="50" spans="1:6" ht="15" customHeight="1" x14ac:dyDescent="0.25">
      <c r="A50" s="8">
        <v>16</v>
      </c>
      <c r="B50" s="49">
        <f t="shared" si="2"/>
        <v>0</v>
      </c>
      <c r="C50" s="50">
        <f t="shared" si="3"/>
        <v>0</v>
      </c>
      <c r="D50" s="8" t="e">
        <f t="shared" si="4"/>
        <v>#N/A</v>
      </c>
      <c r="E50" s="57" t="e">
        <f t="shared" si="5"/>
        <v>#N/A</v>
      </c>
      <c r="F50" s="57">
        <f t="shared" si="6"/>
        <v>0.75</v>
      </c>
    </row>
    <row r="51" spans="1:6" ht="15" customHeight="1" x14ac:dyDescent="0.25">
      <c r="A51" s="8">
        <v>17</v>
      </c>
      <c r="B51" s="49">
        <f t="shared" si="2"/>
        <v>0</v>
      </c>
      <c r="C51" s="50">
        <f t="shared" si="3"/>
        <v>0</v>
      </c>
      <c r="D51" s="8" t="e">
        <f t="shared" si="4"/>
        <v>#N/A</v>
      </c>
      <c r="E51" s="57" t="e">
        <f t="shared" si="5"/>
        <v>#N/A</v>
      </c>
      <c r="F51" s="57">
        <f t="shared" si="6"/>
        <v>0.75</v>
      </c>
    </row>
    <row r="52" spans="1:6" ht="15" customHeight="1" x14ac:dyDescent="0.25">
      <c r="A52" s="8">
        <v>18</v>
      </c>
      <c r="B52" s="49">
        <f t="shared" si="2"/>
        <v>0</v>
      </c>
      <c r="C52" s="50">
        <f t="shared" si="3"/>
        <v>0</v>
      </c>
      <c r="D52" s="8" t="e">
        <f t="shared" si="4"/>
        <v>#N/A</v>
      </c>
      <c r="E52" s="57" t="e">
        <f t="shared" si="5"/>
        <v>#N/A</v>
      </c>
      <c r="F52" s="57">
        <f t="shared" si="6"/>
        <v>0.75</v>
      </c>
    </row>
    <row r="53" spans="1:6" ht="15" customHeight="1" x14ac:dyDescent="0.25">
      <c r="A53" s="8">
        <v>19</v>
      </c>
      <c r="B53" s="49">
        <f t="shared" si="2"/>
        <v>0</v>
      </c>
      <c r="C53" s="50">
        <f t="shared" si="3"/>
        <v>0</v>
      </c>
      <c r="D53" s="8" t="e">
        <f t="shared" si="4"/>
        <v>#N/A</v>
      </c>
      <c r="E53" s="57" t="e">
        <f t="shared" si="5"/>
        <v>#N/A</v>
      </c>
      <c r="F53" s="57">
        <f t="shared" si="6"/>
        <v>0.75</v>
      </c>
    </row>
    <row r="54" spans="1:6" ht="15" customHeight="1" x14ac:dyDescent="0.25">
      <c r="A54" s="8">
        <v>20</v>
      </c>
      <c r="B54" s="49">
        <f t="shared" si="2"/>
        <v>0</v>
      </c>
      <c r="C54" s="50">
        <f t="shared" si="3"/>
        <v>0</v>
      </c>
      <c r="D54" s="8" t="e">
        <f t="shared" si="4"/>
        <v>#N/A</v>
      </c>
      <c r="E54" s="57" t="e">
        <f t="shared" si="5"/>
        <v>#N/A</v>
      </c>
      <c r="F54" s="57">
        <f t="shared" si="6"/>
        <v>0.75</v>
      </c>
    </row>
    <row r="57" spans="1:6" ht="15" customHeight="1" x14ac:dyDescent="0.25">
      <c r="A57" s="28" t="s">
        <v>239</v>
      </c>
    </row>
    <row r="58" spans="1:6" ht="24" customHeight="1" x14ac:dyDescent="0.25">
      <c r="A58" s="5" t="s">
        <v>240</v>
      </c>
      <c r="B58" s="5" t="s">
        <v>241</v>
      </c>
      <c r="C58" s="5" t="s">
        <v>242</v>
      </c>
    </row>
    <row r="59" spans="1:6" ht="15" customHeight="1" x14ac:dyDescent="0.25">
      <c r="A59" s="8" t="s">
        <v>13</v>
      </c>
      <c r="B59" s="48">
        <f>INDEX(Optimizer!$V$8:$V$227,best_i)</f>
        <v>300000</v>
      </c>
      <c r="C59" s="48">
        <f>Optimizer!V7</f>
        <v>300000</v>
      </c>
    </row>
    <row r="60" spans="1:6" ht="15" customHeight="1" x14ac:dyDescent="0.25">
      <c r="A60" s="8" t="s">
        <v>59</v>
      </c>
      <c r="B60" s="48">
        <f>INDEX(Optimizer!$W$8:$W$227,best_i)</f>
        <v>550000</v>
      </c>
      <c r="C60" s="48">
        <f>Optimizer!W7</f>
        <v>600000</v>
      </c>
    </row>
    <row r="61" spans="1:6" ht="15" customHeight="1" x14ac:dyDescent="0.25">
      <c r="A61" s="8" t="s">
        <v>243</v>
      </c>
      <c r="B61" s="48">
        <f>INDEX(Optimizer!$X$8:$X$227,best_i)</f>
        <v>478800</v>
      </c>
      <c r="C61" s="48">
        <f>Optimizer!X7</f>
        <v>473600</v>
      </c>
    </row>
    <row r="62" spans="1:6" ht="15" customHeight="1" x14ac:dyDescent="0.25">
      <c r="A62" s="8" t="s">
        <v>244</v>
      </c>
      <c r="B62" s="48">
        <f>INDEX(Optimizer!$Y$8:$Y$227,best_i)</f>
        <v>909051</v>
      </c>
      <c r="C62" s="48">
        <f>Optimizer!Y7</f>
        <v>849524</v>
      </c>
    </row>
    <row r="66" spans="1:12" ht="15" customHeight="1" x14ac:dyDescent="0.25">
      <c r="A66" s="28" t="s">
        <v>245</v>
      </c>
    </row>
    <row r="67" spans="1:12" ht="15" customHeight="1" x14ac:dyDescent="0.25">
      <c r="A67" s="8" t="s">
        <v>246</v>
      </c>
      <c r="B67" s="50">
        <f>x0_b</f>
        <v>0</v>
      </c>
    </row>
    <row r="68" spans="1:12" ht="15" customHeight="1" x14ac:dyDescent="0.25">
      <c r="A68" s="8" t="s">
        <v>247</v>
      </c>
      <c r="B68" s="50">
        <f>D_b</f>
        <v>16.900000000000002</v>
      </c>
    </row>
    <row r="69" spans="1:12" ht="15" customHeight="1" x14ac:dyDescent="0.25">
      <c r="A69" s="8" t="s">
        <v>248</v>
      </c>
      <c r="B69" s="50">
        <f>L_b</f>
        <v>60</v>
      </c>
    </row>
    <row r="70" spans="1:12" ht="15" customHeight="1" x14ac:dyDescent="0.25">
      <c r="A70" t="s">
        <v>249</v>
      </c>
      <c r="B70" s="54">
        <f>bay_dy</f>
        <v>5</v>
      </c>
    </row>
    <row r="71" spans="1:12" ht="24" customHeight="1" x14ac:dyDescent="0.25">
      <c r="A71" s="5" t="s">
        <v>250</v>
      </c>
      <c r="B71" s="5" t="s">
        <v>251</v>
      </c>
      <c r="C71" s="5" t="s">
        <v>252</v>
      </c>
      <c r="D71" s="5" t="s">
        <v>253</v>
      </c>
      <c r="E71" s="5" t="s">
        <v>254</v>
      </c>
      <c r="F71" s="5" t="s">
        <v>255</v>
      </c>
      <c r="G71" s="5" t="s">
        <v>256</v>
      </c>
      <c r="H71" s="5" t="s">
        <v>257</v>
      </c>
      <c r="I71" s="5" t="s">
        <v>258</v>
      </c>
      <c r="J71" s="5" t="s">
        <v>259</v>
      </c>
      <c r="K71" s="5" t="s">
        <v>260</v>
      </c>
      <c r="L71" s="5" t="s">
        <v>261</v>
      </c>
    </row>
    <row r="72" spans="1:12" ht="15" customHeight="1" x14ac:dyDescent="0.25">
      <c r="A72" s="50">
        <f>$B$67</f>
        <v>0</v>
      </c>
      <c r="B72" s="50">
        <f>$B$70</f>
        <v>5</v>
      </c>
      <c r="C72" s="50">
        <f>$B$67</f>
        <v>0</v>
      </c>
      <c r="D72" s="8">
        <f>$B$70+$B$68/2</f>
        <v>13.450000000000001</v>
      </c>
      <c r="E72" s="50">
        <f>IF(1&lt;=n_b,INDEX(x_rng,1),NA())</f>
        <v>15</v>
      </c>
      <c r="F72" s="8">
        <f>IF(1&lt;=n_b,$B$70+$B$68/2,NA())</f>
        <v>13.450000000000001</v>
      </c>
      <c r="G72" s="8">
        <f>0</f>
        <v>0</v>
      </c>
      <c r="H72" s="8">
        <f>0</f>
        <v>0</v>
      </c>
      <c r="I72" s="50">
        <f>bay_in_x</f>
        <v>5</v>
      </c>
      <c r="J72" s="8">
        <f>0</f>
        <v>0</v>
      </c>
      <c r="K72" s="50">
        <f>bay_out_x</f>
        <v>40</v>
      </c>
      <c r="L72" s="8">
        <f>0</f>
        <v>0</v>
      </c>
    </row>
    <row r="73" spans="1:12" ht="15" customHeight="1" x14ac:dyDescent="0.25">
      <c r="A73" s="50">
        <f>$B$67+$B$69</f>
        <v>60</v>
      </c>
      <c r="B73" s="50">
        <f>$B$70</f>
        <v>5</v>
      </c>
      <c r="C73" s="50">
        <f>$B$67+$B$69</f>
        <v>60</v>
      </c>
      <c r="D73" s="8">
        <f>$B$70+$B$68/2</f>
        <v>13.450000000000001</v>
      </c>
      <c r="E73" s="50">
        <f>IF(2&lt;=n_b,INDEX(x_rng,2),NA())</f>
        <v>45</v>
      </c>
      <c r="F73" s="8">
        <f>IF(2&lt;=n_b,$B$70+$B$68/2,NA())</f>
        <v>13.450000000000001</v>
      </c>
      <c r="G73" s="50">
        <f>L_bldg</f>
        <v>60</v>
      </c>
      <c r="H73" s="8">
        <f>0</f>
        <v>0</v>
      </c>
      <c r="I73" s="8"/>
      <c r="J73" s="8"/>
      <c r="K73" s="8"/>
      <c r="L73" s="8"/>
    </row>
    <row r="74" spans="1:12" ht="15" customHeight="1" x14ac:dyDescent="0.25">
      <c r="A74" s="50">
        <f>$B$67+$B$69</f>
        <v>60</v>
      </c>
      <c r="B74" s="50">
        <f>$B$70+$B$68</f>
        <v>21.900000000000002</v>
      </c>
      <c r="C74" s="8"/>
      <c r="D74" s="8"/>
      <c r="E74" s="8" t="e">
        <f>IF(3&lt;=n_b,INDEX(x_rng,3),NA())</f>
        <v>#N/A</v>
      </c>
      <c r="F74" s="8" t="e">
        <f>IF(3&lt;=n_b,$B$70+$B$68/2,NA())</f>
        <v>#N/A</v>
      </c>
      <c r="G74" s="50">
        <f>L_bldg</f>
        <v>60</v>
      </c>
      <c r="H74" s="50">
        <f>W_bldg</f>
        <v>40</v>
      </c>
      <c r="I74" s="8"/>
      <c r="J74" s="8"/>
      <c r="K74" s="8"/>
      <c r="L74" s="8"/>
    </row>
    <row r="75" spans="1:12" ht="15" customHeight="1" x14ac:dyDescent="0.25">
      <c r="A75" s="50">
        <f>$B$67</f>
        <v>0</v>
      </c>
      <c r="B75" s="50">
        <f>$B$70+$B$68</f>
        <v>21.900000000000002</v>
      </c>
      <c r="C75" s="8"/>
      <c r="D75" s="8"/>
      <c r="E75" s="8" t="e">
        <f>IF(4&lt;=n_b,INDEX(x_rng,4),NA())</f>
        <v>#N/A</v>
      </c>
      <c r="F75" s="8" t="e">
        <f>IF(4&lt;=n_b,$B$70+$B$68/2,NA())</f>
        <v>#N/A</v>
      </c>
      <c r="G75" s="8">
        <f>0</f>
        <v>0</v>
      </c>
      <c r="H75" s="50">
        <f>W_bldg</f>
        <v>40</v>
      </c>
      <c r="I75" s="8"/>
      <c r="J75" s="8"/>
      <c r="K75" s="8"/>
      <c r="L75" s="8"/>
    </row>
    <row r="76" spans="1:12" ht="15" customHeight="1" x14ac:dyDescent="0.25">
      <c r="A76" s="50">
        <f>$B$67</f>
        <v>0</v>
      </c>
      <c r="B76" s="50">
        <f>$B$70</f>
        <v>5</v>
      </c>
      <c r="C76" s="8"/>
      <c r="D76" s="8"/>
      <c r="E76" s="8" t="e">
        <f>IF(5&lt;=n_b,INDEX(x_rng,5),NA())</f>
        <v>#N/A</v>
      </c>
      <c r="F76" s="8" t="e">
        <f>IF(5&lt;=n_b,$B$70+$B$68/2,NA())</f>
        <v>#N/A</v>
      </c>
      <c r="G76" s="8">
        <f>0</f>
        <v>0</v>
      </c>
      <c r="H76" s="8">
        <f>0</f>
        <v>0</v>
      </c>
      <c r="I76" s="8"/>
      <c r="J76" s="8"/>
      <c r="K76" s="8"/>
      <c r="L76" s="8"/>
    </row>
    <row r="77" spans="1:12" ht="15" customHeight="1" x14ac:dyDescent="0.25">
      <c r="A77" s="8"/>
      <c r="B77" s="8"/>
      <c r="C77" s="8"/>
      <c r="D77" s="8"/>
      <c r="E77" s="8" t="e">
        <f>IF(6&lt;=n_b,INDEX(x_rng,6),NA())</f>
        <v>#N/A</v>
      </c>
      <c r="F77" s="8" t="e">
        <f>IF(6&lt;=n_b,$B$70+$B$68/2,NA())</f>
        <v>#N/A</v>
      </c>
      <c r="G77" s="8"/>
      <c r="H77" s="8"/>
      <c r="I77" s="8"/>
      <c r="J77" s="8"/>
      <c r="K77" s="8"/>
      <c r="L77" s="8"/>
    </row>
    <row r="80" spans="1:12" ht="15" customHeight="1" x14ac:dyDescent="0.25">
      <c r="A80" s="28" t="s">
        <v>262</v>
      </c>
    </row>
    <row r="81" spans="1:14" ht="30" customHeight="1" x14ac:dyDescent="0.25">
      <c r="A81" s="5" t="s">
        <v>263</v>
      </c>
      <c r="B81" s="5" t="s">
        <v>225</v>
      </c>
      <c r="C81" s="5" t="s">
        <v>56</v>
      </c>
      <c r="D81" s="5" t="s">
        <v>57</v>
      </c>
      <c r="E81" s="5" t="s">
        <v>13</v>
      </c>
      <c r="F81" s="5" t="s">
        <v>58</v>
      </c>
      <c r="G81" s="5" t="s">
        <v>59</v>
      </c>
      <c r="H81" s="5" t="s">
        <v>264</v>
      </c>
      <c r="I81" s="5" t="s">
        <v>265</v>
      </c>
      <c r="J81" s="5" t="s">
        <v>266</v>
      </c>
      <c r="K81" s="5" t="s">
        <v>26</v>
      </c>
      <c r="L81" s="5" t="s">
        <v>60</v>
      </c>
      <c r="M81" s="5" t="s">
        <v>61</v>
      </c>
      <c r="N81" s="5" t="s">
        <v>34</v>
      </c>
    </row>
    <row r="82" spans="1:14" ht="15" customHeight="1" x14ac:dyDescent="0.25">
      <c r="A82" s="8">
        <v>1</v>
      </c>
      <c r="B82" s="8">
        <f>IF(SMALL(Optimizer!$AG$8:$AG$227,A82)&gt;=1E+98,"",MATCH(SMALL(Optimizer!$AG$8:$AG$227,A82),Optimizer!$AG$8:$AG$227,0))</f>
        <v>7</v>
      </c>
      <c r="C82" s="58">
        <f>IF($B82="","",INDEX(Optimizer!$B$8:$B$227,$B82))</f>
        <v>6</v>
      </c>
      <c r="D82" s="58">
        <f>IF($B82="","",INDEX(Optimizer!$C$8:$C$227,$B82))</f>
        <v>7</v>
      </c>
      <c r="E82" s="58">
        <f>IF($B82="","",INDEX(Optimizer!$G$8:$G$227,$B82))</f>
        <v>2</v>
      </c>
      <c r="F82" s="58">
        <f>IF($B82="","",INDEX(Optimizer!$H$8:$H$227,$B82))</f>
        <v>60</v>
      </c>
      <c r="G82" s="58">
        <f>IF($B82="","",INDEX(Optimizer!$Q$8:$Q$227,$B82))</f>
        <v>11</v>
      </c>
      <c r="H82" s="50">
        <f>IF($B82="","",INDEX(Optimizer!$I$8:$I$227,$B82))</f>
        <v>60</v>
      </c>
      <c r="I82" s="50">
        <f>IF($B82="","",INDEX(Optimizer!$J$8:$J$227,$B82))</f>
        <v>16.900000000000002</v>
      </c>
      <c r="J82" s="50">
        <f>IF($B82="","",INDEX(Optimizer!$K$8:$K$227,$B82))</f>
        <v>15.049999999999999</v>
      </c>
      <c r="K82" s="37">
        <f>IF($B82="","",INDEX(Optimizer!$AA$8:$AA$227,$B82))</f>
        <v>0.13</v>
      </c>
      <c r="L82" s="50">
        <f>IF($B82="","",INDEX(Optimizer!$O$8:$O$227,$B82))</f>
        <v>89.149242943443724</v>
      </c>
      <c r="M82" s="48">
        <f>IF($B82="","",INDEX(Optimizer!$Z$8:$Z$227,$B82))</f>
        <v>2237851</v>
      </c>
      <c r="N82" s="48">
        <f>IF($B82="","",INDEX(Optimizer!$T$8:$T$227,$B82))</f>
        <v>1014.0000000000001</v>
      </c>
    </row>
    <row r="83" spans="1:14" ht="15" customHeight="1" x14ac:dyDescent="0.25">
      <c r="A83" s="8">
        <v>2</v>
      </c>
      <c r="B83" s="8">
        <f>IF(SMALL(Optimizer!$AG$8:$AG$227,A83)&gt;=1E+98,"",MATCH(SMALL(Optimizer!$AG$8:$AG$227,A83),Optimizer!$AG$8:$AG$227,0))</f>
        <v>9</v>
      </c>
      <c r="C83" s="58">
        <f>IF($B83="","",INDEX(Optimizer!$B$8:$B$227,$B83))</f>
        <v>6</v>
      </c>
      <c r="D83" s="58">
        <f>IF($B83="","",INDEX(Optimizer!$C$8:$C$227,$B83))</f>
        <v>9</v>
      </c>
      <c r="E83" s="58">
        <f>IF($B83="","",INDEX(Optimizer!$G$8:$G$227,$B83))</f>
        <v>2</v>
      </c>
      <c r="F83" s="58">
        <f>IF($B83="","",INDEX(Optimizer!$H$8:$H$227,$B83))</f>
        <v>47</v>
      </c>
      <c r="G83" s="58">
        <f>IF($B83="","",INDEX(Optimizer!$Q$8:$Q$227,$B83))</f>
        <v>13</v>
      </c>
      <c r="H83" s="50">
        <f>IF($B83="","",INDEX(Optimizer!$I$8:$I$227,$B83))</f>
        <v>47</v>
      </c>
      <c r="I83" s="50">
        <f>IF($B83="","",INDEX(Optimizer!$J$8:$J$227,$B83))</f>
        <v>16.900000000000002</v>
      </c>
      <c r="J83" s="50">
        <f>IF($B83="","",INDEX(Optimizer!$K$8:$K$227,$B83))</f>
        <v>19.349999999999998</v>
      </c>
      <c r="K83" s="37">
        <f>IF($B83="","",INDEX(Optimizer!$AA$8:$AA$227,$B83))</f>
        <v>0.16595744680851066</v>
      </c>
      <c r="L83" s="50">
        <f>IF($B83="","",INDEX(Optimizer!$O$8:$O$227,$B83))</f>
        <v>86.813775186159162</v>
      </c>
      <c r="M83" s="48">
        <f>IF($B83="","",INDEX(Optimizer!$Z$8:$Z$227,$B83))</f>
        <v>2239754.65</v>
      </c>
      <c r="N83" s="48">
        <f>IF($B83="","",INDEX(Optimizer!$T$8:$T$227,$B83))</f>
        <v>794.30000000000007</v>
      </c>
    </row>
    <row r="84" spans="1:14" ht="15" customHeight="1" x14ac:dyDescent="0.25">
      <c r="A84" s="8">
        <v>3</v>
      </c>
      <c r="B84" s="8">
        <f>IF(SMALL(Optimizer!$AG$8:$AG$227,A84)&gt;=1E+98,"",MATCH(SMALL(Optimizer!$AG$8:$AG$227,A84),Optimizer!$AG$8:$AG$227,0))</f>
        <v>8</v>
      </c>
      <c r="C84" s="58">
        <f>IF($B84="","",INDEX(Optimizer!$B$8:$B$227,$B84))</f>
        <v>6</v>
      </c>
      <c r="D84" s="58">
        <f>IF($B84="","",INDEX(Optimizer!$C$8:$C$227,$B84))</f>
        <v>8</v>
      </c>
      <c r="E84" s="58">
        <f>IF($B84="","",INDEX(Optimizer!$G$8:$G$227,$B84))</f>
        <v>2</v>
      </c>
      <c r="F84" s="58">
        <f>IF($B84="","",INDEX(Optimizer!$H$8:$H$227,$B84))</f>
        <v>53</v>
      </c>
      <c r="G84" s="58">
        <f>IF($B84="","",INDEX(Optimizer!$Q$8:$Q$227,$B84))</f>
        <v>12</v>
      </c>
      <c r="H84" s="50">
        <f>IF($B84="","",INDEX(Optimizer!$I$8:$I$227,$B84))</f>
        <v>53</v>
      </c>
      <c r="I84" s="50">
        <f>IF($B84="","",INDEX(Optimizer!$J$8:$J$227,$B84))</f>
        <v>16.900000000000002</v>
      </c>
      <c r="J84" s="50">
        <f>IF($B84="","",INDEX(Optimizer!$K$8:$K$227,$B84))</f>
        <v>17.2</v>
      </c>
      <c r="K84" s="37">
        <f>IF($B84="","",INDEX(Optimizer!$AA$8:$AA$227,$B84))</f>
        <v>0.14716981132075474</v>
      </c>
      <c r="L84" s="50">
        <f>IF($B84="","",INDEX(Optimizer!$O$8:$O$227,$B84))</f>
        <v>87.89253918125705</v>
      </c>
      <c r="M84" s="48">
        <f>IF($B84="","",INDEX(Optimizer!$Z$8:$Z$227,$B84))</f>
        <v>2240767.7000000002</v>
      </c>
      <c r="N84" s="48">
        <f>IF($B84="","",INDEX(Optimizer!$T$8:$T$227,$B84))</f>
        <v>895.70000000000016</v>
      </c>
    </row>
    <row r="85" spans="1:14" ht="15" customHeight="1" x14ac:dyDescent="0.25">
      <c r="A85" s="8">
        <v>4</v>
      </c>
      <c r="B85" s="8" t="str">
        <f>IF(SMALL(Optimizer!$AG$8:$AG$227,A85)&gt;=1E+98,"",MATCH(SMALL(Optimizer!$AG$8:$AG$227,A85),Optimizer!$AG$8:$AG$227,0))</f>
        <v/>
      </c>
      <c r="C85" s="58" t="str">
        <f>IF($B85="","",INDEX(Optimizer!$B$8:$B$227,$B85))</f>
        <v/>
      </c>
      <c r="D85" s="58" t="str">
        <f>IF($B85="","",INDEX(Optimizer!$C$8:$C$227,$B85))</f>
        <v/>
      </c>
      <c r="E85" s="58" t="str">
        <f>IF($B85="","",INDEX(Optimizer!$G$8:$G$227,$B85))</f>
        <v/>
      </c>
      <c r="F85" s="58" t="str">
        <f>IF($B85="","",INDEX(Optimizer!$H$8:$H$227,$B85))</f>
        <v/>
      </c>
      <c r="G85" s="58" t="str">
        <f>IF($B85="","",INDEX(Optimizer!$Q$8:$Q$227,$B85))</f>
        <v/>
      </c>
      <c r="H85" s="50" t="str">
        <f>IF($B85="","",INDEX(Optimizer!$I$8:$I$227,$B85))</f>
        <v/>
      </c>
      <c r="I85" s="50" t="str">
        <f>IF($B85="","",INDEX(Optimizer!$J$8:$J$227,$B85))</f>
        <v/>
      </c>
      <c r="J85" s="50" t="str">
        <f>IF($B85="","",INDEX(Optimizer!$K$8:$K$227,$B85))</f>
        <v/>
      </c>
      <c r="K85" s="37" t="str">
        <f>IF($B85="","",INDEX(Optimizer!$AA$8:$AA$227,$B85))</f>
        <v/>
      </c>
      <c r="L85" s="50" t="str">
        <f>IF($B85="","",INDEX(Optimizer!$O$8:$O$227,$B85))</f>
        <v/>
      </c>
      <c r="M85" s="48" t="str">
        <f>IF($B85="","",INDEX(Optimizer!$Z$8:$Z$227,$B85))</f>
        <v/>
      </c>
      <c r="N85" s="48" t="str">
        <f>IF($B85="","",INDEX(Optimizer!$T$8:$T$227,$B85))</f>
        <v/>
      </c>
    </row>
    <row r="86" spans="1:14" ht="15" customHeight="1" x14ac:dyDescent="0.25">
      <c r="A86" s="8">
        <v>5</v>
      </c>
      <c r="B86" s="8" t="str">
        <f>IF(SMALL(Optimizer!$AG$8:$AG$227,A86)&gt;=1E+98,"",MATCH(SMALL(Optimizer!$AG$8:$AG$227,A86),Optimizer!$AG$8:$AG$227,0))</f>
        <v/>
      </c>
      <c r="C86" s="58" t="str">
        <f>IF($B86="","",INDEX(Optimizer!$B$8:$B$227,$B86))</f>
        <v/>
      </c>
      <c r="D86" s="58" t="str">
        <f>IF($B86="","",INDEX(Optimizer!$C$8:$C$227,$B86))</f>
        <v/>
      </c>
      <c r="E86" s="58" t="str">
        <f>IF($B86="","",INDEX(Optimizer!$G$8:$G$227,$B86))</f>
        <v/>
      </c>
      <c r="F86" s="58" t="str">
        <f>IF($B86="","",INDEX(Optimizer!$H$8:$H$227,$B86))</f>
        <v/>
      </c>
      <c r="G86" s="58" t="str">
        <f>IF($B86="","",INDEX(Optimizer!$Q$8:$Q$227,$B86))</f>
        <v/>
      </c>
      <c r="H86" s="50" t="str">
        <f>IF($B86="","",INDEX(Optimizer!$I$8:$I$227,$B86))</f>
        <v/>
      </c>
      <c r="I86" s="50" t="str">
        <f>IF($B86="","",INDEX(Optimizer!$J$8:$J$227,$B86))</f>
        <v/>
      </c>
      <c r="J86" s="50" t="str">
        <f>IF($B86="","",INDEX(Optimizer!$K$8:$K$227,$B86))</f>
        <v/>
      </c>
      <c r="K86" s="37" t="str">
        <f>IF($B86="","",INDEX(Optimizer!$AA$8:$AA$227,$B86))</f>
        <v/>
      </c>
      <c r="L86" s="50" t="str">
        <f>IF($B86="","",INDEX(Optimizer!$O$8:$O$227,$B86))</f>
        <v/>
      </c>
      <c r="M86" s="48" t="str">
        <f>IF($B86="","",INDEX(Optimizer!$Z$8:$Z$227,$B86))</f>
        <v/>
      </c>
      <c r="N86" s="48" t="str">
        <f>IF($B86="","",INDEX(Optimizer!$T$8:$T$227,$B86))</f>
        <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20"/>
  <sheetViews>
    <sheetView zoomScaleNormal="100" workbookViewId="0">
      <pane ySplit="20" topLeftCell="A21" activePane="bottomLeft" state="frozen"/>
      <selection pane="bottomLeft"/>
    </sheetView>
  </sheetViews>
  <sheetFormatPr defaultColWidth="8.7109375" defaultRowHeight="15" x14ac:dyDescent="0.25"/>
  <cols>
    <col min="1" max="1" width="34" customWidth="1"/>
    <col min="2" max="17" width="13" customWidth="1"/>
  </cols>
  <sheetData>
    <row r="1" spans="1:10" ht="18" customHeight="1" x14ac:dyDescent="0.3">
      <c r="A1" s="3" t="s">
        <v>267</v>
      </c>
    </row>
    <row r="2" spans="1:10" ht="15" customHeight="1" x14ac:dyDescent="0.25">
      <c r="A2" s="8" t="s">
        <v>268</v>
      </c>
    </row>
    <row r="4" spans="1:10" ht="15" customHeight="1" x14ac:dyDescent="0.25">
      <c r="A4" s="8" t="s">
        <v>269</v>
      </c>
      <c r="B4" s="58">
        <f>INDEX(Optimizer!$H$8:$H$227,best_i)</f>
        <v>60</v>
      </c>
      <c r="G4" s="28" t="s">
        <v>270</v>
      </c>
    </row>
    <row r="5" spans="1:10" ht="15" customHeight="1" x14ac:dyDescent="0.25">
      <c r="A5" s="8" t="s">
        <v>271</v>
      </c>
      <c r="B5" s="58">
        <f>MIN(6,MAX(1,INDEX(Optimizer!$G$8:$G$227,best_i)))</f>
        <v>2</v>
      </c>
      <c r="G5" s="8" t="s">
        <v>272</v>
      </c>
      <c r="J5" s="59">
        <f>AVERAGE(O21:O320)</f>
        <v>42.46109077403095</v>
      </c>
    </row>
    <row r="6" spans="1:10" ht="15" customHeight="1" x14ac:dyDescent="0.25">
      <c r="A6" s="8" t="s">
        <v>18</v>
      </c>
      <c r="B6" s="50">
        <f>INDEX(Optimizer!$I$8:$I$227,best_i)</f>
        <v>60</v>
      </c>
      <c r="G6" s="8" t="s">
        <v>78</v>
      </c>
      <c r="J6" s="60">
        <f>AVERAGE(P21:P320)</f>
        <v>9.0617953870154757</v>
      </c>
    </row>
    <row r="7" spans="1:10" ht="15" customHeight="1" x14ac:dyDescent="0.25">
      <c r="A7" s="8" t="s">
        <v>21</v>
      </c>
      <c r="B7" s="50">
        <f>INDEX(Optimizer!$J$8:$J$227,best_i)</f>
        <v>16.900000000000002</v>
      </c>
      <c r="G7" s="8" t="s">
        <v>273</v>
      </c>
      <c r="J7" s="59">
        <f>AVERAGE(Q21:Q320)</f>
        <v>32.450000000000031</v>
      </c>
    </row>
    <row r="8" spans="1:10" ht="15" customHeight="1" x14ac:dyDescent="0.25">
      <c r="A8" s="8" t="s">
        <v>274</v>
      </c>
      <c r="B8" s="50">
        <f>MAX(0,(L_bldg-L_b)/2)</f>
        <v>0</v>
      </c>
      <c r="G8" s="8" t="s">
        <v>85</v>
      </c>
      <c r="J8" s="59">
        <f>sum_cv/v_conv</f>
        <v>81.125000000000071</v>
      </c>
    </row>
    <row r="9" spans="1:10" ht="15" customHeight="1" x14ac:dyDescent="0.25">
      <c r="A9" s="8" t="s">
        <v>275</v>
      </c>
      <c r="B9" s="50">
        <f>bay_dy+D_b/2</f>
        <v>13.450000000000001</v>
      </c>
      <c r="G9" s="8" t="s">
        <v>87</v>
      </c>
      <c r="J9" s="59">
        <f>(MAX(bay_in_x,x_rng)-MIN(bay_in_x,x_rng)+n_b*dy_b)+(MAX(bay_out_x,x_rng)-MIN(bay_out_x,x_rng)+n_b*dy_b)</f>
        <v>123.80000000000001</v>
      </c>
    </row>
    <row r="10" spans="1:10" ht="15" customHeight="1" x14ac:dyDescent="0.25">
      <c r="G10" s="8" t="s">
        <v>276</v>
      </c>
      <c r="J10" s="61">
        <f>sum_trunk*c_conv</f>
        <v>74280</v>
      </c>
    </row>
    <row r="11" spans="1:10" ht="39.75" customHeight="1" x14ac:dyDescent="0.25">
      <c r="A11" s="5" t="s">
        <v>277</v>
      </c>
      <c r="B11" s="5" t="s">
        <v>278</v>
      </c>
      <c r="C11" s="5" t="s">
        <v>279</v>
      </c>
      <c r="D11" s="5" t="s">
        <v>280</v>
      </c>
      <c r="E11" s="5" t="s">
        <v>281</v>
      </c>
      <c r="G11" s="8" t="s">
        <v>80</v>
      </c>
      <c r="J11" s="59">
        <f>2*t_sh+2*t_turn+2*sum_ta+2*INDEX(Optimizer!$N$8:$N$227,best_i)</f>
        <v>89.152162202602383</v>
      </c>
    </row>
    <row r="12" spans="1:10" ht="15" customHeight="1" x14ac:dyDescent="0.25">
      <c r="A12" s="62">
        <v>1</v>
      </c>
      <c r="B12" s="30">
        <f>IF(A12&gt;n_b,"",IF(lift_layout="Equispaced",(2*A12-1)*L_b/(2*n_b),MIN(L_b,MAX(0,INDEX(Dashboard!$B$1:$B$200,ROW(lift_x1)+A12-1)))))</f>
        <v>15</v>
      </c>
      <c r="C12" s="30">
        <f t="shared" ref="C12:C17" si="0">IF(B12="","",x0_b+B12)</f>
        <v>15</v>
      </c>
      <c r="D12" s="30">
        <f t="shared" ref="D12:D17" si="1">IF(B12="","",(lam_in*ABS(bay_in_x-C12)+lam_out*ABS(bay_out_x-C12))/MAX(lam_in+lam_out,0.000000001)+dy_b)</f>
        <v>32.450000000000003</v>
      </c>
      <c r="E12" s="30">
        <f t="shared" ref="E12:E17" si="2">IF(B12="","",D12/v_conv)</f>
        <v>81.125</v>
      </c>
      <c r="G12" s="8" t="s">
        <v>282</v>
      </c>
      <c r="J12" s="59">
        <f>INDEX(Optimizer!$O$8:$O$227,best_i)</f>
        <v>89.149242943443724</v>
      </c>
    </row>
    <row r="13" spans="1:10" ht="15" customHeight="1" x14ac:dyDescent="0.25">
      <c r="A13" s="62">
        <v>2</v>
      </c>
      <c r="B13" s="30">
        <f>IF(A13&gt;n_b,"",IF(lift_layout="Equispaced",(2*A13-1)*L_b/(2*n_b),MIN(L_b,MAX(0,INDEX(Dashboard!$B$1:$B$200,ROW(lift_x1)+A13-1)))))</f>
        <v>45</v>
      </c>
      <c r="C13" s="30">
        <f t="shared" si="0"/>
        <v>45</v>
      </c>
      <c r="D13" s="30">
        <f t="shared" si="1"/>
        <v>32.450000000000003</v>
      </c>
      <c r="E13" s="30">
        <f t="shared" si="2"/>
        <v>81.125</v>
      </c>
    </row>
    <row r="14" spans="1:10" ht="15" customHeight="1" x14ac:dyDescent="0.25">
      <c r="A14" s="62">
        <v>3</v>
      </c>
      <c r="B14" s="30" t="str">
        <f>IF(A14&gt;n_b,"",IF(lift_layout="Equispaced",(2*A14-1)*L_b/(2*n_b),MIN(L_b,MAX(0,INDEX(Dashboard!$B$1:$B$200,ROW(lift_x1)+A14-1)))))</f>
        <v/>
      </c>
      <c r="C14" s="30" t="str">
        <f t="shared" si="0"/>
        <v/>
      </c>
      <c r="D14" s="30" t="str">
        <f t="shared" si="1"/>
        <v/>
      </c>
      <c r="E14" s="30" t="str">
        <f t="shared" si="2"/>
        <v/>
      </c>
    </row>
    <row r="15" spans="1:10" ht="15" customHeight="1" x14ac:dyDescent="0.25">
      <c r="A15" s="62">
        <v>4</v>
      </c>
      <c r="B15" s="30" t="str">
        <f>IF(A15&gt;n_b,"",IF(lift_layout="Equispaced",(2*A15-1)*L_b/(2*n_b),MIN(L_b,MAX(0,INDEX(Dashboard!$B$1:$B$200,ROW(lift_x1)+A15-1)))))</f>
        <v/>
      </c>
      <c r="C15" s="30" t="str">
        <f t="shared" si="0"/>
        <v/>
      </c>
      <c r="D15" s="30" t="str">
        <f t="shared" si="1"/>
        <v/>
      </c>
      <c r="E15" s="30" t="str">
        <f t="shared" si="2"/>
        <v/>
      </c>
    </row>
    <row r="16" spans="1:10" ht="15" customHeight="1" x14ac:dyDescent="0.25">
      <c r="A16" s="62">
        <v>5</v>
      </c>
      <c r="B16" s="30" t="str">
        <f>IF(A16&gt;n_b,"",IF(lift_layout="Equispaced",(2*A16-1)*L_b/(2*n_b),MIN(L_b,MAX(0,INDEX(Dashboard!$B$1:$B$200,ROW(lift_x1)+A16-1)))))</f>
        <v/>
      </c>
      <c r="C16" s="30" t="str">
        <f t="shared" si="0"/>
        <v/>
      </c>
      <c r="D16" s="30" t="str">
        <f t="shared" si="1"/>
        <v/>
      </c>
      <c r="E16" s="30" t="str">
        <f t="shared" si="2"/>
        <v/>
      </c>
    </row>
    <row r="17" spans="1:17" ht="15" customHeight="1" x14ac:dyDescent="0.25">
      <c r="A17" s="62">
        <v>6</v>
      </c>
      <c r="B17" s="30" t="str">
        <f>IF(A17&gt;n_b,"",IF(lift_layout="Equispaced",(2*A17-1)*L_b/(2*n_b),MIN(L_b,MAX(0,INDEX(Dashboard!$B$1:$B$200,ROW(lift_x1)+A17-1)))))</f>
        <v/>
      </c>
      <c r="C17" s="30" t="str">
        <f t="shared" si="0"/>
        <v/>
      </c>
      <c r="D17" s="30" t="str">
        <f t="shared" si="1"/>
        <v/>
      </c>
      <c r="E17" s="30" t="str">
        <f t="shared" si="2"/>
        <v/>
      </c>
    </row>
    <row r="20" spans="1:17" ht="43.5" customHeight="1" x14ac:dyDescent="0.25">
      <c r="A20" s="5" t="s">
        <v>283</v>
      </c>
      <c r="B20" s="5" t="s">
        <v>284</v>
      </c>
      <c r="C20" s="5" t="s">
        <v>285</v>
      </c>
      <c r="D20" s="5" t="s">
        <v>286</v>
      </c>
      <c r="E20" s="5" t="s">
        <v>287</v>
      </c>
      <c r="F20" s="5" t="s">
        <v>288</v>
      </c>
      <c r="G20" s="5" t="s">
        <v>289</v>
      </c>
      <c r="H20" s="5" t="s">
        <v>290</v>
      </c>
      <c r="I20" s="5" t="s">
        <v>291</v>
      </c>
      <c r="J20" s="5" t="s">
        <v>292</v>
      </c>
      <c r="K20" s="5" t="s">
        <v>293</v>
      </c>
      <c r="L20" s="5" t="s">
        <v>294</v>
      </c>
      <c r="M20" s="5" t="s">
        <v>295</v>
      </c>
      <c r="N20" s="5" t="s">
        <v>296</v>
      </c>
      <c r="O20" s="5" t="s">
        <v>297</v>
      </c>
      <c r="P20" s="5" t="s">
        <v>298</v>
      </c>
      <c r="Q20" s="5" t="s">
        <v>299</v>
      </c>
    </row>
    <row r="21" spans="1:17" ht="15" customHeight="1" x14ac:dyDescent="0.25">
      <c r="A21" s="58">
        <v>1</v>
      </c>
      <c r="B21" s="37">
        <f t="shared" ref="B21:B84" si="3">(A21-0.5)*u_w</f>
        <v>0.5</v>
      </c>
      <c r="C21" s="37">
        <f t="shared" ref="C21:C84" si="4">IF(OR(A21&gt;NL_b,$B$12=""),"",IF((ABS(B21-$B$12)+lane_off)&lt;=0,0,IF((ABS(B21-$B$12)+lane_off)&gt;=v_sh^2/a_sh,(ABS(B21-$B$12)+lane_off)/v_sh+v_sh/a_sh,2*SQRT((ABS(B21-$B$12)+lane_off)/a_sh))))</f>
        <v>14.085714285714285</v>
      </c>
      <c r="D21" s="37">
        <f t="shared" ref="D21:D84" si="5">IF(OR(A21&gt;NL_b,$B$13=""),"",IF((ABS(B21-$B$13)+lane_off)&lt;=0,0,IF((ABS(B21-$B$13)+lane_off)&gt;=v_sh^2/a_sh,(ABS(B21-$B$13)+lane_off)/v_sh+v_sh/a_sh,2*SQRT((ABS(B21-$B$13)+lane_off)/a_sh))))</f>
        <v>35.514285714285712</v>
      </c>
      <c r="E21" s="37" t="str">
        <f t="shared" ref="E21:E84" si="6">IF(OR(A21&gt;NL_b,$B$14=""),"",IF((ABS(B21-$B$14)+lane_off)&lt;=0,0,IF((ABS(B21-$B$14)+lane_off)&gt;=v_sh^2/a_sh,(ABS(B21-$B$14)+lane_off)/v_sh+v_sh/a_sh,2*SQRT((ABS(B21-$B$14)+lane_off)/a_sh))))</f>
        <v/>
      </c>
      <c r="F21" s="37" t="str">
        <f t="shared" ref="F21:F84" si="7">IF(OR(A21&gt;NL_b,$B$15=""),"",IF((ABS(B21-$B$15)+lane_off)&lt;=0,0,IF((ABS(B21-$B$15)+lane_off)&gt;=v_sh^2/a_sh,(ABS(B21-$B$15)+lane_off)/v_sh+v_sh/a_sh,2*SQRT((ABS(B21-$B$15)+lane_off)/a_sh))))</f>
        <v/>
      </c>
      <c r="G21" s="37" t="str">
        <f t="shared" ref="G21:G84" si="8">IF(OR(A21&gt;NL_b,$B$16=""),"",IF((ABS(B21-$B$16)+lane_off)&lt;=0,0,IF((ABS(B21-$B$16)+lane_off)&gt;=v_sh^2/a_sh,(ABS(B21-$B$16)+lane_off)/v_sh+v_sh/a_sh,2*SQRT((ABS(B21-$B$16)+lane_off)/a_sh))))</f>
        <v/>
      </c>
      <c r="H21" s="37" t="str">
        <f t="shared" ref="H21:H84" si="9">IF(OR(A21&gt;NL_b,$B$17=""),"",IF((ABS(B21-$B$17)+lane_off)&lt;=0,0,IF((ABS(B21-$B$17)+lane_off)&gt;=v_sh^2/a_sh,(ABS(B21-$B$17)+lane_off)/v_sh+v_sh/a_sh,2*SQRT((ABS(B21-$B$17)+lane_off)/a_sh))))</f>
        <v/>
      </c>
      <c r="I21" s="37">
        <f t="shared" ref="I21:I84" si="10">IF(C21="","",2*C21+w_conv*$D$12/v_conv)</f>
        <v>52.508928571428569</v>
      </c>
      <c r="J21" s="37">
        <f t="shared" ref="J21:J84" si="11">IF(D21="","",2*D21+w_conv*$D$13/v_conv)</f>
        <v>95.366071428571431</v>
      </c>
      <c r="K21" s="37" t="str">
        <f t="shared" ref="K21:K84" si="12">IF(E21="","",2*E21+w_conv*$D$14/v_conv)</f>
        <v/>
      </c>
      <c r="L21" s="37" t="str">
        <f t="shared" ref="L21:L84" si="13">IF(F21="","",2*F21+w_conv*$D$15/v_conv)</f>
        <v/>
      </c>
      <c r="M21" s="37" t="str">
        <f t="shared" ref="M21:M84" si="14">IF(G21="","",2*G21+w_conv*$D$16/v_conv)</f>
        <v/>
      </c>
      <c r="N21" s="37" t="str">
        <f t="shared" ref="N21:N84" si="15">IF(H21="","",2*H21+w_conv*$D$17/v_conv)</f>
        <v/>
      </c>
      <c r="O21" s="37">
        <f t="shared" ref="O21:O84" si="16">IF(A21&gt;NL_b,"",MIN(I21:N21))</f>
        <v>52.508928571428569</v>
      </c>
      <c r="P21" s="37">
        <f t="shared" ref="P21:P84" si="17">IF(O21="","",INDEX(C21:H21,MATCH(O21,I21:N21,0)))</f>
        <v>14.085714285714285</v>
      </c>
      <c r="Q21" s="37">
        <f t="shared" ref="Q21:Q84" si="18">IF(O21="","",INDEX($D$12:$D$17,MATCH(O21,I21:N21,0)))</f>
        <v>32.450000000000003</v>
      </c>
    </row>
    <row r="22" spans="1:17" ht="15" customHeight="1" x14ac:dyDescent="0.25">
      <c r="A22" s="58">
        <v>2</v>
      </c>
      <c r="B22" s="37">
        <f t="shared" si="3"/>
        <v>1.5</v>
      </c>
      <c r="C22" s="37">
        <f t="shared" si="4"/>
        <v>13.371428571428574</v>
      </c>
      <c r="D22" s="37">
        <f t="shared" si="5"/>
        <v>34.799999999999997</v>
      </c>
      <c r="E22" s="37" t="str">
        <f t="shared" si="6"/>
        <v/>
      </c>
      <c r="F22" s="37" t="str">
        <f t="shared" si="7"/>
        <v/>
      </c>
      <c r="G22" s="37" t="str">
        <f t="shared" si="8"/>
        <v/>
      </c>
      <c r="H22" s="37" t="str">
        <f t="shared" si="9"/>
        <v/>
      </c>
      <c r="I22" s="37">
        <f t="shared" si="10"/>
        <v>51.080357142857153</v>
      </c>
      <c r="J22" s="37">
        <f t="shared" si="11"/>
        <v>93.9375</v>
      </c>
      <c r="K22" s="37" t="str">
        <f t="shared" si="12"/>
        <v/>
      </c>
      <c r="L22" s="37" t="str">
        <f t="shared" si="13"/>
        <v/>
      </c>
      <c r="M22" s="37" t="str">
        <f t="shared" si="14"/>
        <v/>
      </c>
      <c r="N22" s="37" t="str">
        <f t="shared" si="15"/>
        <v/>
      </c>
      <c r="O22" s="37">
        <f t="shared" si="16"/>
        <v>51.080357142857153</v>
      </c>
      <c r="P22" s="37">
        <f t="shared" si="17"/>
        <v>13.371428571428574</v>
      </c>
      <c r="Q22" s="37">
        <f t="shared" si="18"/>
        <v>32.450000000000003</v>
      </c>
    </row>
    <row r="23" spans="1:17" ht="15" customHeight="1" x14ac:dyDescent="0.25">
      <c r="A23" s="58">
        <v>3</v>
      </c>
      <c r="B23" s="37">
        <f t="shared" si="3"/>
        <v>2.5</v>
      </c>
      <c r="C23" s="37">
        <f t="shared" si="4"/>
        <v>12.657142857142858</v>
      </c>
      <c r="D23" s="37">
        <f t="shared" si="5"/>
        <v>34.085714285714282</v>
      </c>
      <c r="E23" s="37" t="str">
        <f t="shared" si="6"/>
        <v/>
      </c>
      <c r="F23" s="37" t="str">
        <f t="shared" si="7"/>
        <v/>
      </c>
      <c r="G23" s="37" t="str">
        <f t="shared" si="8"/>
        <v/>
      </c>
      <c r="H23" s="37" t="str">
        <f t="shared" si="9"/>
        <v/>
      </c>
      <c r="I23" s="37">
        <f t="shared" si="10"/>
        <v>49.651785714285722</v>
      </c>
      <c r="J23" s="37">
        <f t="shared" si="11"/>
        <v>92.508928571428569</v>
      </c>
      <c r="K23" s="37" t="str">
        <f t="shared" si="12"/>
        <v/>
      </c>
      <c r="L23" s="37" t="str">
        <f t="shared" si="13"/>
        <v/>
      </c>
      <c r="M23" s="37" t="str">
        <f t="shared" si="14"/>
        <v/>
      </c>
      <c r="N23" s="37" t="str">
        <f t="shared" si="15"/>
        <v/>
      </c>
      <c r="O23" s="37">
        <f t="shared" si="16"/>
        <v>49.651785714285722</v>
      </c>
      <c r="P23" s="37">
        <f t="shared" si="17"/>
        <v>12.657142857142858</v>
      </c>
      <c r="Q23" s="37">
        <f t="shared" si="18"/>
        <v>32.450000000000003</v>
      </c>
    </row>
    <row r="24" spans="1:17" ht="15" customHeight="1" x14ac:dyDescent="0.25">
      <c r="A24" s="58">
        <v>4</v>
      </c>
      <c r="B24" s="37">
        <f t="shared" si="3"/>
        <v>3.5</v>
      </c>
      <c r="C24" s="37">
        <f t="shared" si="4"/>
        <v>11.942857142857143</v>
      </c>
      <c r="D24" s="37">
        <f t="shared" si="5"/>
        <v>33.371428571428574</v>
      </c>
      <c r="E24" s="37" t="str">
        <f t="shared" si="6"/>
        <v/>
      </c>
      <c r="F24" s="37" t="str">
        <f t="shared" si="7"/>
        <v/>
      </c>
      <c r="G24" s="37" t="str">
        <f t="shared" si="8"/>
        <v/>
      </c>
      <c r="H24" s="37" t="str">
        <f t="shared" si="9"/>
        <v/>
      </c>
      <c r="I24" s="37">
        <f t="shared" si="10"/>
        <v>48.223214285714292</v>
      </c>
      <c r="J24" s="37">
        <f t="shared" si="11"/>
        <v>91.080357142857153</v>
      </c>
      <c r="K24" s="37" t="str">
        <f t="shared" si="12"/>
        <v/>
      </c>
      <c r="L24" s="37" t="str">
        <f t="shared" si="13"/>
        <v/>
      </c>
      <c r="M24" s="37" t="str">
        <f t="shared" si="14"/>
        <v/>
      </c>
      <c r="N24" s="37" t="str">
        <f t="shared" si="15"/>
        <v/>
      </c>
      <c r="O24" s="37">
        <f t="shared" si="16"/>
        <v>48.223214285714292</v>
      </c>
      <c r="P24" s="37">
        <f t="shared" si="17"/>
        <v>11.942857142857143</v>
      </c>
      <c r="Q24" s="37">
        <f t="shared" si="18"/>
        <v>32.450000000000003</v>
      </c>
    </row>
    <row r="25" spans="1:17" ht="15" customHeight="1" x14ac:dyDescent="0.25">
      <c r="A25" s="58">
        <v>5</v>
      </c>
      <c r="B25" s="37">
        <f t="shared" si="3"/>
        <v>4.5</v>
      </c>
      <c r="C25" s="37">
        <f t="shared" si="4"/>
        <v>11.228571428571428</v>
      </c>
      <c r="D25" s="37">
        <f t="shared" si="5"/>
        <v>32.657142857142858</v>
      </c>
      <c r="E25" s="37" t="str">
        <f t="shared" si="6"/>
        <v/>
      </c>
      <c r="F25" s="37" t="str">
        <f t="shared" si="7"/>
        <v/>
      </c>
      <c r="G25" s="37" t="str">
        <f t="shared" si="8"/>
        <v/>
      </c>
      <c r="H25" s="37" t="str">
        <f t="shared" si="9"/>
        <v/>
      </c>
      <c r="I25" s="37">
        <f t="shared" si="10"/>
        <v>46.794642857142861</v>
      </c>
      <c r="J25" s="37">
        <f t="shared" si="11"/>
        <v>89.651785714285722</v>
      </c>
      <c r="K25" s="37" t="str">
        <f t="shared" si="12"/>
        <v/>
      </c>
      <c r="L25" s="37" t="str">
        <f t="shared" si="13"/>
        <v/>
      </c>
      <c r="M25" s="37" t="str">
        <f t="shared" si="14"/>
        <v/>
      </c>
      <c r="N25" s="37" t="str">
        <f t="shared" si="15"/>
        <v/>
      </c>
      <c r="O25" s="37">
        <f t="shared" si="16"/>
        <v>46.794642857142861</v>
      </c>
      <c r="P25" s="37">
        <f t="shared" si="17"/>
        <v>11.228571428571428</v>
      </c>
      <c r="Q25" s="37">
        <f t="shared" si="18"/>
        <v>32.450000000000003</v>
      </c>
    </row>
    <row r="26" spans="1:17" ht="15" customHeight="1" x14ac:dyDescent="0.25">
      <c r="A26" s="58">
        <v>6</v>
      </c>
      <c r="B26" s="37">
        <f t="shared" si="3"/>
        <v>5.5</v>
      </c>
      <c r="C26" s="37">
        <f t="shared" si="4"/>
        <v>10.514285714285716</v>
      </c>
      <c r="D26" s="37">
        <f t="shared" si="5"/>
        <v>31.942857142857143</v>
      </c>
      <c r="E26" s="37" t="str">
        <f t="shared" si="6"/>
        <v/>
      </c>
      <c r="F26" s="37" t="str">
        <f t="shared" si="7"/>
        <v/>
      </c>
      <c r="G26" s="37" t="str">
        <f t="shared" si="8"/>
        <v/>
      </c>
      <c r="H26" s="37" t="str">
        <f t="shared" si="9"/>
        <v/>
      </c>
      <c r="I26" s="37">
        <f t="shared" si="10"/>
        <v>45.366071428571431</v>
      </c>
      <c r="J26" s="37">
        <f t="shared" si="11"/>
        <v>88.223214285714292</v>
      </c>
      <c r="K26" s="37" t="str">
        <f t="shared" si="12"/>
        <v/>
      </c>
      <c r="L26" s="37" t="str">
        <f t="shared" si="13"/>
        <v/>
      </c>
      <c r="M26" s="37" t="str">
        <f t="shared" si="14"/>
        <v/>
      </c>
      <c r="N26" s="37" t="str">
        <f t="shared" si="15"/>
        <v/>
      </c>
      <c r="O26" s="37">
        <f t="shared" si="16"/>
        <v>45.366071428571431</v>
      </c>
      <c r="P26" s="37">
        <f t="shared" si="17"/>
        <v>10.514285714285716</v>
      </c>
      <c r="Q26" s="37">
        <f t="shared" si="18"/>
        <v>32.450000000000003</v>
      </c>
    </row>
    <row r="27" spans="1:17" ht="15" customHeight="1" x14ac:dyDescent="0.25">
      <c r="A27" s="58">
        <v>7</v>
      </c>
      <c r="B27" s="37">
        <f t="shared" si="3"/>
        <v>6.5</v>
      </c>
      <c r="C27" s="37">
        <f t="shared" si="4"/>
        <v>9.8000000000000007</v>
      </c>
      <c r="D27" s="37">
        <f t="shared" si="5"/>
        <v>31.228571428571428</v>
      </c>
      <c r="E27" s="37" t="str">
        <f t="shared" si="6"/>
        <v/>
      </c>
      <c r="F27" s="37" t="str">
        <f t="shared" si="7"/>
        <v/>
      </c>
      <c r="G27" s="37" t="str">
        <f t="shared" si="8"/>
        <v/>
      </c>
      <c r="H27" s="37" t="str">
        <f t="shared" si="9"/>
        <v/>
      </c>
      <c r="I27" s="37">
        <f t="shared" si="10"/>
        <v>43.9375</v>
      </c>
      <c r="J27" s="37">
        <f t="shared" si="11"/>
        <v>86.794642857142861</v>
      </c>
      <c r="K27" s="37" t="str">
        <f t="shared" si="12"/>
        <v/>
      </c>
      <c r="L27" s="37" t="str">
        <f t="shared" si="13"/>
        <v/>
      </c>
      <c r="M27" s="37" t="str">
        <f t="shared" si="14"/>
        <v/>
      </c>
      <c r="N27" s="37" t="str">
        <f t="shared" si="15"/>
        <v/>
      </c>
      <c r="O27" s="37">
        <f t="shared" si="16"/>
        <v>43.9375</v>
      </c>
      <c r="P27" s="37">
        <f t="shared" si="17"/>
        <v>9.8000000000000007</v>
      </c>
      <c r="Q27" s="37">
        <f t="shared" si="18"/>
        <v>32.450000000000003</v>
      </c>
    </row>
    <row r="28" spans="1:17" ht="15" customHeight="1" x14ac:dyDescent="0.25">
      <c r="A28" s="58">
        <v>8</v>
      </c>
      <c r="B28" s="37">
        <f t="shared" si="3"/>
        <v>7.5</v>
      </c>
      <c r="C28" s="37">
        <f t="shared" si="4"/>
        <v>9.0857142857142854</v>
      </c>
      <c r="D28" s="37">
        <f t="shared" si="5"/>
        <v>30.514285714285716</v>
      </c>
      <c r="E28" s="37" t="str">
        <f t="shared" si="6"/>
        <v/>
      </c>
      <c r="F28" s="37" t="str">
        <f t="shared" si="7"/>
        <v/>
      </c>
      <c r="G28" s="37" t="str">
        <f t="shared" si="8"/>
        <v/>
      </c>
      <c r="H28" s="37" t="str">
        <f t="shared" si="9"/>
        <v/>
      </c>
      <c r="I28" s="37">
        <f t="shared" si="10"/>
        <v>42.508928571428569</v>
      </c>
      <c r="J28" s="37">
        <f t="shared" si="11"/>
        <v>85.366071428571431</v>
      </c>
      <c r="K28" s="37" t="str">
        <f t="shared" si="12"/>
        <v/>
      </c>
      <c r="L28" s="37" t="str">
        <f t="shared" si="13"/>
        <v/>
      </c>
      <c r="M28" s="37" t="str">
        <f t="shared" si="14"/>
        <v/>
      </c>
      <c r="N28" s="37" t="str">
        <f t="shared" si="15"/>
        <v/>
      </c>
      <c r="O28" s="37">
        <f t="shared" si="16"/>
        <v>42.508928571428569</v>
      </c>
      <c r="P28" s="37">
        <f t="shared" si="17"/>
        <v>9.0857142857142854</v>
      </c>
      <c r="Q28" s="37">
        <f t="shared" si="18"/>
        <v>32.450000000000003</v>
      </c>
    </row>
    <row r="29" spans="1:17" ht="15" customHeight="1" x14ac:dyDescent="0.25">
      <c r="A29" s="58">
        <v>9</v>
      </c>
      <c r="B29" s="37">
        <f t="shared" si="3"/>
        <v>8.5</v>
      </c>
      <c r="C29" s="37">
        <f t="shared" si="4"/>
        <v>8.3714285714285719</v>
      </c>
      <c r="D29" s="37">
        <f t="shared" si="5"/>
        <v>29.8</v>
      </c>
      <c r="E29" s="37" t="str">
        <f t="shared" si="6"/>
        <v/>
      </c>
      <c r="F29" s="37" t="str">
        <f t="shared" si="7"/>
        <v/>
      </c>
      <c r="G29" s="37" t="str">
        <f t="shared" si="8"/>
        <v/>
      </c>
      <c r="H29" s="37" t="str">
        <f t="shared" si="9"/>
        <v/>
      </c>
      <c r="I29" s="37">
        <f t="shared" si="10"/>
        <v>41.080357142857146</v>
      </c>
      <c r="J29" s="37">
        <f t="shared" si="11"/>
        <v>83.9375</v>
      </c>
      <c r="K29" s="37" t="str">
        <f t="shared" si="12"/>
        <v/>
      </c>
      <c r="L29" s="37" t="str">
        <f t="shared" si="13"/>
        <v/>
      </c>
      <c r="M29" s="37" t="str">
        <f t="shared" si="14"/>
        <v/>
      </c>
      <c r="N29" s="37" t="str">
        <f t="shared" si="15"/>
        <v/>
      </c>
      <c r="O29" s="37">
        <f t="shared" si="16"/>
        <v>41.080357142857146</v>
      </c>
      <c r="P29" s="37">
        <f t="shared" si="17"/>
        <v>8.3714285714285719</v>
      </c>
      <c r="Q29" s="37">
        <f t="shared" si="18"/>
        <v>32.450000000000003</v>
      </c>
    </row>
    <row r="30" spans="1:17" ht="15" customHeight="1" x14ac:dyDescent="0.25">
      <c r="A30" s="58">
        <v>10</v>
      </c>
      <c r="B30" s="37">
        <f t="shared" si="3"/>
        <v>9.5</v>
      </c>
      <c r="C30" s="37">
        <f t="shared" si="4"/>
        <v>7.6571428571428575</v>
      </c>
      <c r="D30" s="37">
        <f t="shared" si="5"/>
        <v>29.085714285714285</v>
      </c>
      <c r="E30" s="37" t="str">
        <f t="shared" si="6"/>
        <v/>
      </c>
      <c r="F30" s="37" t="str">
        <f t="shared" si="7"/>
        <v/>
      </c>
      <c r="G30" s="37" t="str">
        <f t="shared" si="8"/>
        <v/>
      </c>
      <c r="H30" s="37" t="str">
        <f t="shared" si="9"/>
        <v/>
      </c>
      <c r="I30" s="37">
        <f t="shared" si="10"/>
        <v>39.651785714285715</v>
      </c>
      <c r="J30" s="37">
        <f t="shared" si="11"/>
        <v>82.508928571428569</v>
      </c>
      <c r="K30" s="37" t="str">
        <f t="shared" si="12"/>
        <v/>
      </c>
      <c r="L30" s="37" t="str">
        <f t="shared" si="13"/>
        <v/>
      </c>
      <c r="M30" s="37" t="str">
        <f t="shared" si="14"/>
        <v/>
      </c>
      <c r="N30" s="37" t="str">
        <f t="shared" si="15"/>
        <v/>
      </c>
      <c r="O30" s="37">
        <f t="shared" si="16"/>
        <v>39.651785714285715</v>
      </c>
      <c r="P30" s="37">
        <f t="shared" si="17"/>
        <v>7.6571428571428575</v>
      </c>
      <c r="Q30" s="37">
        <f t="shared" si="18"/>
        <v>32.450000000000003</v>
      </c>
    </row>
    <row r="31" spans="1:17" ht="15" customHeight="1" x14ac:dyDescent="0.25">
      <c r="A31" s="58">
        <v>11</v>
      </c>
      <c r="B31" s="37">
        <f t="shared" si="3"/>
        <v>10.5</v>
      </c>
      <c r="C31" s="37">
        <f t="shared" si="4"/>
        <v>6.9428571428571431</v>
      </c>
      <c r="D31" s="37">
        <f t="shared" si="5"/>
        <v>28.37142857142857</v>
      </c>
      <c r="E31" s="37" t="str">
        <f t="shared" si="6"/>
        <v/>
      </c>
      <c r="F31" s="37" t="str">
        <f t="shared" si="7"/>
        <v/>
      </c>
      <c r="G31" s="37" t="str">
        <f t="shared" si="8"/>
        <v/>
      </c>
      <c r="H31" s="37" t="str">
        <f t="shared" si="9"/>
        <v/>
      </c>
      <c r="I31" s="37">
        <f t="shared" si="10"/>
        <v>38.223214285714292</v>
      </c>
      <c r="J31" s="37">
        <f t="shared" si="11"/>
        <v>81.080357142857139</v>
      </c>
      <c r="K31" s="37" t="str">
        <f t="shared" si="12"/>
        <v/>
      </c>
      <c r="L31" s="37" t="str">
        <f t="shared" si="13"/>
        <v/>
      </c>
      <c r="M31" s="37" t="str">
        <f t="shared" si="14"/>
        <v/>
      </c>
      <c r="N31" s="37" t="str">
        <f t="shared" si="15"/>
        <v/>
      </c>
      <c r="O31" s="37">
        <f t="shared" si="16"/>
        <v>38.223214285714292</v>
      </c>
      <c r="P31" s="37">
        <f t="shared" si="17"/>
        <v>6.9428571428571431</v>
      </c>
      <c r="Q31" s="37">
        <f t="shared" si="18"/>
        <v>32.450000000000003</v>
      </c>
    </row>
    <row r="32" spans="1:17" ht="15" customHeight="1" x14ac:dyDescent="0.25">
      <c r="A32" s="58">
        <v>12</v>
      </c>
      <c r="B32" s="37">
        <f t="shared" si="3"/>
        <v>11.5</v>
      </c>
      <c r="C32" s="37">
        <f t="shared" si="4"/>
        <v>6.2285714285714286</v>
      </c>
      <c r="D32" s="37">
        <f t="shared" si="5"/>
        <v>27.657142857142858</v>
      </c>
      <c r="E32" s="37" t="str">
        <f t="shared" si="6"/>
        <v/>
      </c>
      <c r="F32" s="37" t="str">
        <f t="shared" si="7"/>
        <v/>
      </c>
      <c r="G32" s="37" t="str">
        <f t="shared" si="8"/>
        <v/>
      </c>
      <c r="H32" s="37" t="str">
        <f t="shared" si="9"/>
        <v/>
      </c>
      <c r="I32" s="37">
        <f t="shared" si="10"/>
        <v>36.794642857142861</v>
      </c>
      <c r="J32" s="37">
        <f t="shared" si="11"/>
        <v>79.651785714285722</v>
      </c>
      <c r="K32" s="37" t="str">
        <f t="shared" si="12"/>
        <v/>
      </c>
      <c r="L32" s="37" t="str">
        <f t="shared" si="13"/>
        <v/>
      </c>
      <c r="M32" s="37" t="str">
        <f t="shared" si="14"/>
        <v/>
      </c>
      <c r="N32" s="37" t="str">
        <f t="shared" si="15"/>
        <v/>
      </c>
      <c r="O32" s="37">
        <f t="shared" si="16"/>
        <v>36.794642857142861</v>
      </c>
      <c r="P32" s="37">
        <f t="shared" si="17"/>
        <v>6.2285714285714286</v>
      </c>
      <c r="Q32" s="37">
        <f t="shared" si="18"/>
        <v>32.450000000000003</v>
      </c>
    </row>
    <row r="33" spans="1:17" ht="15" customHeight="1" x14ac:dyDescent="0.25">
      <c r="A33" s="58">
        <v>13</v>
      </c>
      <c r="B33" s="37">
        <f t="shared" si="3"/>
        <v>12.5</v>
      </c>
      <c r="C33" s="37">
        <f t="shared" si="4"/>
        <v>5.5136195008360884</v>
      </c>
      <c r="D33" s="37">
        <f t="shared" si="5"/>
        <v>26.942857142857143</v>
      </c>
      <c r="E33" s="37" t="str">
        <f t="shared" si="6"/>
        <v/>
      </c>
      <c r="F33" s="37" t="str">
        <f t="shared" si="7"/>
        <v/>
      </c>
      <c r="G33" s="37" t="str">
        <f t="shared" si="8"/>
        <v/>
      </c>
      <c r="H33" s="37" t="str">
        <f t="shared" si="9"/>
        <v/>
      </c>
      <c r="I33" s="37">
        <f t="shared" si="10"/>
        <v>35.364739001672177</v>
      </c>
      <c r="J33" s="37">
        <f t="shared" si="11"/>
        <v>78.223214285714292</v>
      </c>
      <c r="K33" s="37" t="str">
        <f t="shared" si="12"/>
        <v/>
      </c>
      <c r="L33" s="37" t="str">
        <f t="shared" si="13"/>
        <v/>
      </c>
      <c r="M33" s="37" t="str">
        <f t="shared" si="14"/>
        <v/>
      </c>
      <c r="N33" s="37" t="str">
        <f t="shared" si="15"/>
        <v/>
      </c>
      <c r="O33" s="37">
        <f t="shared" si="16"/>
        <v>35.364739001672177</v>
      </c>
      <c r="P33" s="37">
        <f t="shared" si="17"/>
        <v>5.5136195008360884</v>
      </c>
      <c r="Q33" s="37">
        <f t="shared" si="18"/>
        <v>32.450000000000003</v>
      </c>
    </row>
    <row r="34" spans="1:17" ht="15" customHeight="1" x14ac:dyDescent="0.25">
      <c r="A34" s="58">
        <v>14</v>
      </c>
      <c r="B34" s="37">
        <f t="shared" si="3"/>
        <v>13.5</v>
      </c>
      <c r="C34" s="37">
        <f t="shared" si="4"/>
        <v>4.7328638264796927</v>
      </c>
      <c r="D34" s="37">
        <f t="shared" si="5"/>
        <v>26.228571428571428</v>
      </c>
      <c r="E34" s="37" t="str">
        <f t="shared" si="6"/>
        <v/>
      </c>
      <c r="F34" s="37" t="str">
        <f t="shared" si="7"/>
        <v/>
      </c>
      <c r="G34" s="37" t="str">
        <f t="shared" si="8"/>
        <v/>
      </c>
      <c r="H34" s="37" t="str">
        <f t="shared" si="9"/>
        <v/>
      </c>
      <c r="I34" s="37">
        <f t="shared" si="10"/>
        <v>33.803227652959386</v>
      </c>
      <c r="J34" s="37">
        <f t="shared" si="11"/>
        <v>76.794642857142861</v>
      </c>
      <c r="K34" s="37" t="str">
        <f t="shared" si="12"/>
        <v/>
      </c>
      <c r="L34" s="37" t="str">
        <f t="shared" si="13"/>
        <v/>
      </c>
      <c r="M34" s="37" t="str">
        <f t="shared" si="14"/>
        <v/>
      </c>
      <c r="N34" s="37" t="str">
        <f t="shared" si="15"/>
        <v/>
      </c>
      <c r="O34" s="37">
        <f t="shared" si="16"/>
        <v>33.803227652959386</v>
      </c>
      <c r="P34" s="37">
        <f t="shared" si="17"/>
        <v>4.7328638264796927</v>
      </c>
      <c r="Q34" s="37">
        <f t="shared" si="18"/>
        <v>32.450000000000003</v>
      </c>
    </row>
    <row r="35" spans="1:17" ht="15" customHeight="1" x14ac:dyDescent="0.25">
      <c r="A35" s="58">
        <v>15</v>
      </c>
      <c r="B35" s="37">
        <f t="shared" si="3"/>
        <v>14.5</v>
      </c>
      <c r="C35" s="37">
        <f t="shared" si="4"/>
        <v>3.7947331922020551</v>
      </c>
      <c r="D35" s="37">
        <f t="shared" si="5"/>
        <v>25.514285714285716</v>
      </c>
      <c r="E35" s="37" t="str">
        <f t="shared" si="6"/>
        <v/>
      </c>
      <c r="F35" s="37" t="str">
        <f t="shared" si="7"/>
        <v/>
      </c>
      <c r="G35" s="37" t="str">
        <f t="shared" si="8"/>
        <v/>
      </c>
      <c r="H35" s="37" t="str">
        <f t="shared" si="9"/>
        <v/>
      </c>
      <c r="I35" s="37">
        <f t="shared" si="10"/>
        <v>31.92696638440411</v>
      </c>
      <c r="J35" s="37">
        <f t="shared" si="11"/>
        <v>75.366071428571431</v>
      </c>
      <c r="K35" s="37" t="str">
        <f t="shared" si="12"/>
        <v/>
      </c>
      <c r="L35" s="37" t="str">
        <f t="shared" si="13"/>
        <v/>
      </c>
      <c r="M35" s="37" t="str">
        <f t="shared" si="14"/>
        <v/>
      </c>
      <c r="N35" s="37" t="str">
        <f t="shared" si="15"/>
        <v/>
      </c>
      <c r="O35" s="37">
        <f t="shared" si="16"/>
        <v>31.92696638440411</v>
      </c>
      <c r="P35" s="37">
        <f t="shared" si="17"/>
        <v>3.7947331922020551</v>
      </c>
      <c r="Q35" s="37">
        <f t="shared" si="18"/>
        <v>32.450000000000003</v>
      </c>
    </row>
    <row r="36" spans="1:17" ht="15" customHeight="1" x14ac:dyDescent="0.25">
      <c r="A36" s="58">
        <v>16</v>
      </c>
      <c r="B36" s="37">
        <f t="shared" si="3"/>
        <v>15.5</v>
      </c>
      <c r="C36" s="37">
        <f t="shared" si="4"/>
        <v>3.7947331922020551</v>
      </c>
      <c r="D36" s="37">
        <f t="shared" si="5"/>
        <v>24.800000000000004</v>
      </c>
      <c r="E36" s="37" t="str">
        <f t="shared" si="6"/>
        <v/>
      </c>
      <c r="F36" s="37" t="str">
        <f t="shared" si="7"/>
        <v/>
      </c>
      <c r="G36" s="37" t="str">
        <f t="shared" si="8"/>
        <v/>
      </c>
      <c r="H36" s="37" t="str">
        <f t="shared" si="9"/>
        <v/>
      </c>
      <c r="I36" s="37">
        <f t="shared" si="10"/>
        <v>31.92696638440411</v>
      </c>
      <c r="J36" s="37">
        <f t="shared" si="11"/>
        <v>73.937500000000014</v>
      </c>
      <c r="K36" s="37" t="str">
        <f t="shared" si="12"/>
        <v/>
      </c>
      <c r="L36" s="37" t="str">
        <f t="shared" si="13"/>
        <v/>
      </c>
      <c r="M36" s="37" t="str">
        <f t="shared" si="14"/>
        <v/>
      </c>
      <c r="N36" s="37" t="str">
        <f t="shared" si="15"/>
        <v/>
      </c>
      <c r="O36" s="37">
        <f t="shared" si="16"/>
        <v>31.92696638440411</v>
      </c>
      <c r="P36" s="37">
        <f t="shared" si="17"/>
        <v>3.7947331922020551</v>
      </c>
      <c r="Q36" s="37">
        <f t="shared" si="18"/>
        <v>32.450000000000003</v>
      </c>
    </row>
    <row r="37" spans="1:17" ht="15" customHeight="1" x14ac:dyDescent="0.25">
      <c r="A37" s="58">
        <v>17</v>
      </c>
      <c r="B37" s="37">
        <f t="shared" si="3"/>
        <v>16.5</v>
      </c>
      <c r="C37" s="37">
        <f t="shared" si="4"/>
        <v>4.7328638264796927</v>
      </c>
      <c r="D37" s="37">
        <f t="shared" si="5"/>
        <v>24.085714285714289</v>
      </c>
      <c r="E37" s="37" t="str">
        <f t="shared" si="6"/>
        <v/>
      </c>
      <c r="F37" s="37" t="str">
        <f t="shared" si="7"/>
        <v/>
      </c>
      <c r="G37" s="37" t="str">
        <f t="shared" si="8"/>
        <v/>
      </c>
      <c r="H37" s="37" t="str">
        <f t="shared" si="9"/>
        <v/>
      </c>
      <c r="I37" s="37">
        <f t="shared" si="10"/>
        <v>33.803227652959386</v>
      </c>
      <c r="J37" s="37">
        <f t="shared" si="11"/>
        <v>72.508928571428584</v>
      </c>
      <c r="K37" s="37" t="str">
        <f t="shared" si="12"/>
        <v/>
      </c>
      <c r="L37" s="37" t="str">
        <f t="shared" si="13"/>
        <v/>
      </c>
      <c r="M37" s="37" t="str">
        <f t="shared" si="14"/>
        <v/>
      </c>
      <c r="N37" s="37" t="str">
        <f t="shared" si="15"/>
        <v/>
      </c>
      <c r="O37" s="37">
        <f t="shared" si="16"/>
        <v>33.803227652959386</v>
      </c>
      <c r="P37" s="37">
        <f t="shared" si="17"/>
        <v>4.7328638264796927</v>
      </c>
      <c r="Q37" s="37">
        <f t="shared" si="18"/>
        <v>32.450000000000003</v>
      </c>
    </row>
    <row r="38" spans="1:17" ht="15" customHeight="1" x14ac:dyDescent="0.25">
      <c r="A38" s="58">
        <v>18</v>
      </c>
      <c r="B38" s="37">
        <f t="shared" si="3"/>
        <v>17.5</v>
      </c>
      <c r="C38" s="37">
        <f t="shared" si="4"/>
        <v>5.5136195008360884</v>
      </c>
      <c r="D38" s="37">
        <f t="shared" si="5"/>
        <v>23.371428571428574</v>
      </c>
      <c r="E38" s="37" t="str">
        <f t="shared" si="6"/>
        <v/>
      </c>
      <c r="F38" s="37" t="str">
        <f t="shared" si="7"/>
        <v/>
      </c>
      <c r="G38" s="37" t="str">
        <f t="shared" si="8"/>
        <v/>
      </c>
      <c r="H38" s="37" t="str">
        <f t="shared" si="9"/>
        <v/>
      </c>
      <c r="I38" s="37">
        <f t="shared" si="10"/>
        <v>35.364739001672177</v>
      </c>
      <c r="J38" s="37">
        <f t="shared" si="11"/>
        <v>71.080357142857153</v>
      </c>
      <c r="K38" s="37" t="str">
        <f t="shared" si="12"/>
        <v/>
      </c>
      <c r="L38" s="37" t="str">
        <f t="shared" si="13"/>
        <v/>
      </c>
      <c r="M38" s="37" t="str">
        <f t="shared" si="14"/>
        <v/>
      </c>
      <c r="N38" s="37" t="str">
        <f t="shared" si="15"/>
        <v/>
      </c>
      <c r="O38" s="37">
        <f t="shared" si="16"/>
        <v>35.364739001672177</v>
      </c>
      <c r="P38" s="37">
        <f t="shared" si="17"/>
        <v>5.5136195008360884</v>
      </c>
      <c r="Q38" s="37">
        <f t="shared" si="18"/>
        <v>32.450000000000003</v>
      </c>
    </row>
    <row r="39" spans="1:17" ht="15" customHeight="1" x14ac:dyDescent="0.25">
      <c r="A39" s="58">
        <v>19</v>
      </c>
      <c r="B39" s="37">
        <f t="shared" si="3"/>
        <v>18.5</v>
      </c>
      <c r="C39" s="37">
        <f t="shared" si="4"/>
        <v>6.2285714285714286</v>
      </c>
      <c r="D39" s="37">
        <f t="shared" si="5"/>
        <v>22.657142857142858</v>
      </c>
      <c r="E39" s="37" t="str">
        <f t="shared" si="6"/>
        <v/>
      </c>
      <c r="F39" s="37" t="str">
        <f t="shared" si="7"/>
        <v/>
      </c>
      <c r="G39" s="37" t="str">
        <f t="shared" si="8"/>
        <v/>
      </c>
      <c r="H39" s="37" t="str">
        <f t="shared" si="9"/>
        <v/>
      </c>
      <c r="I39" s="37">
        <f t="shared" si="10"/>
        <v>36.794642857142861</v>
      </c>
      <c r="J39" s="37">
        <f t="shared" si="11"/>
        <v>69.651785714285722</v>
      </c>
      <c r="K39" s="37" t="str">
        <f t="shared" si="12"/>
        <v/>
      </c>
      <c r="L39" s="37" t="str">
        <f t="shared" si="13"/>
        <v/>
      </c>
      <c r="M39" s="37" t="str">
        <f t="shared" si="14"/>
        <v/>
      </c>
      <c r="N39" s="37" t="str">
        <f t="shared" si="15"/>
        <v/>
      </c>
      <c r="O39" s="37">
        <f t="shared" si="16"/>
        <v>36.794642857142861</v>
      </c>
      <c r="P39" s="37">
        <f t="shared" si="17"/>
        <v>6.2285714285714286</v>
      </c>
      <c r="Q39" s="37">
        <f t="shared" si="18"/>
        <v>32.450000000000003</v>
      </c>
    </row>
    <row r="40" spans="1:17" ht="15" customHeight="1" x14ac:dyDescent="0.25">
      <c r="A40" s="58">
        <v>20</v>
      </c>
      <c r="B40" s="37">
        <f t="shared" si="3"/>
        <v>19.5</v>
      </c>
      <c r="C40" s="37">
        <f t="shared" si="4"/>
        <v>6.9428571428571431</v>
      </c>
      <c r="D40" s="37">
        <f t="shared" si="5"/>
        <v>21.942857142857147</v>
      </c>
      <c r="E40" s="37" t="str">
        <f t="shared" si="6"/>
        <v/>
      </c>
      <c r="F40" s="37" t="str">
        <f t="shared" si="7"/>
        <v/>
      </c>
      <c r="G40" s="37" t="str">
        <f t="shared" si="8"/>
        <v/>
      </c>
      <c r="H40" s="37" t="str">
        <f t="shared" si="9"/>
        <v/>
      </c>
      <c r="I40" s="37">
        <f t="shared" si="10"/>
        <v>38.223214285714292</v>
      </c>
      <c r="J40" s="37">
        <f t="shared" si="11"/>
        <v>68.223214285714292</v>
      </c>
      <c r="K40" s="37" t="str">
        <f t="shared" si="12"/>
        <v/>
      </c>
      <c r="L40" s="37" t="str">
        <f t="shared" si="13"/>
        <v/>
      </c>
      <c r="M40" s="37" t="str">
        <f t="shared" si="14"/>
        <v/>
      </c>
      <c r="N40" s="37" t="str">
        <f t="shared" si="15"/>
        <v/>
      </c>
      <c r="O40" s="37">
        <f t="shared" si="16"/>
        <v>38.223214285714292</v>
      </c>
      <c r="P40" s="37">
        <f t="shared" si="17"/>
        <v>6.9428571428571431</v>
      </c>
      <c r="Q40" s="37">
        <f t="shared" si="18"/>
        <v>32.450000000000003</v>
      </c>
    </row>
    <row r="41" spans="1:17" ht="15" customHeight="1" x14ac:dyDescent="0.25">
      <c r="A41" s="58">
        <v>21</v>
      </c>
      <c r="B41" s="37">
        <f t="shared" si="3"/>
        <v>20.5</v>
      </c>
      <c r="C41" s="37">
        <f t="shared" si="4"/>
        <v>7.6571428571428575</v>
      </c>
      <c r="D41" s="37">
        <f t="shared" si="5"/>
        <v>21.228571428571431</v>
      </c>
      <c r="E41" s="37" t="str">
        <f t="shared" si="6"/>
        <v/>
      </c>
      <c r="F41" s="37" t="str">
        <f t="shared" si="7"/>
        <v/>
      </c>
      <c r="G41" s="37" t="str">
        <f t="shared" si="8"/>
        <v/>
      </c>
      <c r="H41" s="37" t="str">
        <f t="shared" si="9"/>
        <v/>
      </c>
      <c r="I41" s="37">
        <f t="shared" si="10"/>
        <v>39.651785714285715</v>
      </c>
      <c r="J41" s="37">
        <f t="shared" si="11"/>
        <v>66.794642857142861</v>
      </c>
      <c r="K41" s="37" t="str">
        <f t="shared" si="12"/>
        <v/>
      </c>
      <c r="L41" s="37" t="str">
        <f t="shared" si="13"/>
        <v/>
      </c>
      <c r="M41" s="37" t="str">
        <f t="shared" si="14"/>
        <v/>
      </c>
      <c r="N41" s="37" t="str">
        <f t="shared" si="15"/>
        <v/>
      </c>
      <c r="O41" s="37">
        <f t="shared" si="16"/>
        <v>39.651785714285715</v>
      </c>
      <c r="P41" s="37">
        <f t="shared" si="17"/>
        <v>7.6571428571428575</v>
      </c>
      <c r="Q41" s="37">
        <f t="shared" si="18"/>
        <v>32.450000000000003</v>
      </c>
    </row>
    <row r="42" spans="1:17" ht="15" customHeight="1" x14ac:dyDescent="0.25">
      <c r="A42" s="58">
        <v>22</v>
      </c>
      <c r="B42" s="37">
        <f t="shared" si="3"/>
        <v>21.5</v>
      </c>
      <c r="C42" s="37">
        <f t="shared" si="4"/>
        <v>8.3714285714285719</v>
      </c>
      <c r="D42" s="37">
        <f t="shared" si="5"/>
        <v>20.514285714285716</v>
      </c>
      <c r="E42" s="37" t="str">
        <f t="shared" si="6"/>
        <v/>
      </c>
      <c r="F42" s="37" t="str">
        <f t="shared" si="7"/>
        <v/>
      </c>
      <c r="G42" s="37" t="str">
        <f t="shared" si="8"/>
        <v/>
      </c>
      <c r="H42" s="37" t="str">
        <f t="shared" si="9"/>
        <v/>
      </c>
      <c r="I42" s="37">
        <f t="shared" si="10"/>
        <v>41.080357142857146</v>
      </c>
      <c r="J42" s="37">
        <f t="shared" si="11"/>
        <v>65.366071428571431</v>
      </c>
      <c r="K42" s="37" t="str">
        <f t="shared" si="12"/>
        <v/>
      </c>
      <c r="L42" s="37" t="str">
        <f t="shared" si="13"/>
        <v/>
      </c>
      <c r="M42" s="37" t="str">
        <f t="shared" si="14"/>
        <v/>
      </c>
      <c r="N42" s="37" t="str">
        <f t="shared" si="15"/>
        <v/>
      </c>
      <c r="O42" s="37">
        <f t="shared" si="16"/>
        <v>41.080357142857146</v>
      </c>
      <c r="P42" s="37">
        <f t="shared" si="17"/>
        <v>8.3714285714285719</v>
      </c>
      <c r="Q42" s="37">
        <f t="shared" si="18"/>
        <v>32.450000000000003</v>
      </c>
    </row>
    <row r="43" spans="1:17" ht="15" customHeight="1" x14ac:dyDescent="0.25">
      <c r="A43" s="58">
        <v>23</v>
      </c>
      <c r="B43" s="37">
        <f t="shared" si="3"/>
        <v>22.5</v>
      </c>
      <c r="C43" s="37">
        <f t="shared" si="4"/>
        <v>9.0857142857142854</v>
      </c>
      <c r="D43" s="37">
        <f t="shared" si="5"/>
        <v>19.8</v>
      </c>
      <c r="E43" s="37" t="str">
        <f t="shared" si="6"/>
        <v/>
      </c>
      <c r="F43" s="37" t="str">
        <f t="shared" si="7"/>
        <v/>
      </c>
      <c r="G43" s="37" t="str">
        <f t="shared" si="8"/>
        <v/>
      </c>
      <c r="H43" s="37" t="str">
        <f t="shared" si="9"/>
        <v/>
      </c>
      <c r="I43" s="37">
        <f t="shared" si="10"/>
        <v>42.508928571428569</v>
      </c>
      <c r="J43" s="37">
        <f t="shared" si="11"/>
        <v>63.9375</v>
      </c>
      <c r="K43" s="37" t="str">
        <f t="shared" si="12"/>
        <v/>
      </c>
      <c r="L43" s="37" t="str">
        <f t="shared" si="13"/>
        <v/>
      </c>
      <c r="M43" s="37" t="str">
        <f t="shared" si="14"/>
        <v/>
      </c>
      <c r="N43" s="37" t="str">
        <f t="shared" si="15"/>
        <v/>
      </c>
      <c r="O43" s="37">
        <f t="shared" si="16"/>
        <v>42.508928571428569</v>
      </c>
      <c r="P43" s="37">
        <f t="shared" si="17"/>
        <v>9.0857142857142854</v>
      </c>
      <c r="Q43" s="37">
        <f t="shared" si="18"/>
        <v>32.450000000000003</v>
      </c>
    </row>
    <row r="44" spans="1:17" ht="15" customHeight="1" x14ac:dyDescent="0.25">
      <c r="A44" s="58">
        <v>24</v>
      </c>
      <c r="B44" s="37">
        <f t="shared" si="3"/>
        <v>23.5</v>
      </c>
      <c r="C44" s="37">
        <f t="shared" si="4"/>
        <v>9.8000000000000007</v>
      </c>
      <c r="D44" s="37">
        <f t="shared" si="5"/>
        <v>19.085714285714289</v>
      </c>
      <c r="E44" s="37" t="str">
        <f t="shared" si="6"/>
        <v/>
      </c>
      <c r="F44" s="37" t="str">
        <f t="shared" si="7"/>
        <v/>
      </c>
      <c r="G44" s="37" t="str">
        <f t="shared" si="8"/>
        <v/>
      </c>
      <c r="H44" s="37" t="str">
        <f t="shared" si="9"/>
        <v/>
      </c>
      <c r="I44" s="37">
        <f t="shared" si="10"/>
        <v>43.9375</v>
      </c>
      <c r="J44" s="37">
        <f t="shared" si="11"/>
        <v>62.508928571428584</v>
      </c>
      <c r="K44" s="37" t="str">
        <f t="shared" si="12"/>
        <v/>
      </c>
      <c r="L44" s="37" t="str">
        <f t="shared" si="13"/>
        <v/>
      </c>
      <c r="M44" s="37" t="str">
        <f t="shared" si="14"/>
        <v/>
      </c>
      <c r="N44" s="37" t="str">
        <f t="shared" si="15"/>
        <v/>
      </c>
      <c r="O44" s="37">
        <f t="shared" si="16"/>
        <v>43.9375</v>
      </c>
      <c r="P44" s="37">
        <f t="shared" si="17"/>
        <v>9.8000000000000007</v>
      </c>
      <c r="Q44" s="37">
        <f t="shared" si="18"/>
        <v>32.450000000000003</v>
      </c>
    </row>
    <row r="45" spans="1:17" ht="15" customHeight="1" x14ac:dyDescent="0.25">
      <c r="A45" s="58">
        <v>25</v>
      </c>
      <c r="B45" s="37">
        <f t="shared" si="3"/>
        <v>24.5</v>
      </c>
      <c r="C45" s="37">
        <f t="shared" si="4"/>
        <v>10.514285714285716</v>
      </c>
      <c r="D45" s="37">
        <f t="shared" si="5"/>
        <v>18.371428571428574</v>
      </c>
      <c r="E45" s="37" t="str">
        <f t="shared" si="6"/>
        <v/>
      </c>
      <c r="F45" s="37" t="str">
        <f t="shared" si="7"/>
        <v/>
      </c>
      <c r="G45" s="37" t="str">
        <f t="shared" si="8"/>
        <v/>
      </c>
      <c r="H45" s="37" t="str">
        <f t="shared" si="9"/>
        <v/>
      </c>
      <c r="I45" s="37">
        <f t="shared" si="10"/>
        <v>45.366071428571431</v>
      </c>
      <c r="J45" s="37">
        <f t="shared" si="11"/>
        <v>61.080357142857153</v>
      </c>
      <c r="K45" s="37" t="str">
        <f t="shared" si="12"/>
        <v/>
      </c>
      <c r="L45" s="37" t="str">
        <f t="shared" si="13"/>
        <v/>
      </c>
      <c r="M45" s="37" t="str">
        <f t="shared" si="14"/>
        <v/>
      </c>
      <c r="N45" s="37" t="str">
        <f t="shared" si="15"/>
        <v/>
      </c>
      <c r="O45" s="37">
        <f t="shared" si="16"/>
        <v>45.366071428571431</v>
      </c>
      <c r="P45" s="37">
        <f t="shared" si="17"/>
        <v>10.514285714285716</v>
      </c>
      <c r="Q45" s="37">
        <f t="shared" si="18"/>
        <v>32.450000000000003</v>
      </c>
    </row>
    <row r="46" spans="1:17" ht="15" customHeight="1" x14ac:dyDescent="0.25">
      <c r="A46" s="58">
        <v>26</v>
      </c>
      <c r="B46" s="37">
        <f t="shared" si="3"/>
        <v>25.5</v>
      </c>
      <c r="C46" s="37">
        <f t="shared" si="4"/>
        <v>11.228571428571428</v>
      </c>
      <c r="D46" s="37">
        <f t="shared" si="5"/>
        <v>17.657142857142858</v>
      </c>
      <c r="E46" s="37" t="str">
        <f t="shared" si="6"/>
        <v/>
      </c>
      <c r="F46" s="37" t="str">
        <f t="shared" si="7"/>
        <v/>
      </c>
      <c r="G46" s="37" t="str">
        <f t="shared" si="8"/>
        <v/>
      </c>
      <c r="H46" s="37" t="str">
        <f t="shared" si="9"/>
        <v/>
      </c>
      <c r="I46" s="37">
        <f t="shared" si="10"/>
        <v>46.794642857142861</v>
      </c>
      <c r="J46" s="37">
        <f t="shared" si="11"/>
        <v>59.651785714285722</v>
      </c>
      <c r="K46" s="37" t="str">
        <f t="shared" si="12"/>
        <v/>
      </c>
      <c r="L46" s="37" t="str">
        <f t="shared" si="13"/>
        <v/>
      </c>
      <c r="M46" s="37" t="str">
        <f t="shared" si="14"/>
        <v/>
      </c>
      <c r="N46" s="37" t="str">
        <f t="shared" si="15"/>
        <v/>
      </c>
      <c r="O46" s="37">
        <f t="shared" si="16"/>
        <v>46.794642857142861</v>
      </c>
      <c r="P46" s="37">
        <f t="shared" si="17"/>
        <v>11.228571428571428</v>
      </c>
      <c r="Q46" s="37">
        <f t="shared" si="18"/>
        <v>32.450000000000003</v>
      </c>
    </row>
    <row r="47" spans="1:17" ht="15" customHeight="1" x14ac:dyDescent="0.25">
      <c r="A47" s="58">
        <v>27</v>
      </c>
      <c r="B47" s="37">
        <f t="shared" si="3"/>
        <v>26.5</v>
      </c>
      <c r="C47" s="37">
        <f t="shared" si="4"/>
        <v>11.942857142857143</v>
      </c>
      <c r="D47" s="37">
        <f t="shared" si="5"/>
        <v>16.942857142857143</v>
      </c>
      <c r="E47" s="37" t="str">
        <f t="shared" si="6"/>
        <v/>
      </c>
      <c r="F47" s="37" t="str">
        <f t="shared" si="7"/>
        <v/>
      </c>
      <c r="G47" s="37" t="str">
        <f t="shared" si="8"/>
        <v/>
      </c>
      <c r="H47" s="37" t="str">
        <f t="shared" si="9"/>
        <v/>
      </c>
      <c r="I47" s="37">
        <f t="shared" si="10"/>
        <v>48.223214285714292</v>
      </c>
      <c r="J47" s="37">
        <f t="shared" si="11"/>
        <v>58.223214285714292</v>
      </c>
      <c r="K47" s="37" t="str">
        <f t="shared" si="12"/>
        <v/>
      </c>
      <c r="L47" s="37" t="str">
        <f t="shared" si="13"/>
        <v/>
      </c>
      <c r="M47" s="37" t="str">
        <f t="shared" si="14"/>
        <v/>
      </c>
      <c r="N47" s="37" t="str">
        <f t="shared" si="15"/>
        <v/>
      </c>
      <c r="O47" s="37">
        <f t="shared" si="16"/>
        <v>48.223214285714292</v>
      </c>
      <c r="P47" s="37">
        <f t="shared" si="17"/>
        <v>11.942857142857143</v>
      </c>
      <c r="Q47" s="37">
        <f t="shared" si="18"/>
        <v>32.450000000000003</v>
      </c>
    </row>
    <row r="48" spans="1:17" ht="15" customHeight="1" x14ac:dyDescent="0.25">
      <c r="A48" s="58">
        <v>28</v>
      </c>
      <c r="B48" s="37">
        <f t="shared" si="3"/>
        <v>27.5</v>
      </c>
      <c r="C48" s="37">
        <f t="shared" si="4"/>
        <v>12.657142857142858</v>
      </c>
      <c r="D48" s="37">
        <f t="shared" si="5"/>
        <v>16.228571428571431</v>
      </c>
      <c r="E48" s="37" t="str">
        <f t="shared" si="6"/>
        <v/>
      </c>
      <c r="F48" s="37" t="str">
        <f t="shared" si="7"/>
        <v/>
      </c>
      <c r="G48" s="37" t="str">
        <f t="shared" si="8"/>
        <v/>
      </c>
      <c r="H48" s="37" t="str">
        <f t="shared" si="9"/>
        <v/>
      </c>
      <c r="I48" s="37">
        <f t="shared" si="10"/>
        <v>49.651785714285722</v>
      </c>
      <c r="J48" s="37">
        <f t="shared" si="11"/>
        <v>56.794642857142861</v>
      </c>
      <c r="K48" s="37" t="str">
        <f t="shared" si="12"/>
        <v/>
      </c>
      <c r="L48" s="37" t="str">
        <f t="shared" si="13"/>
        <v/>
      </c>
      <c r="M48" s="37" t="str">
        <f t="shared" si="14"/>
        <v/>
      </c>
      <c r="N48" s="37" t="str">
        <f t="shared" si="15"/>
        <v/>
      </c>
      <c r="O48" s="37">
        <f t="shared" si="16"/>
        <v>49.651785714285722</v>
      </c>
      <c r="P48" s="37">
        <f t="shared" si="17"/>
        <v>12.657142857142858</v>
      </c>
      <c r="Q48" s="37">
        <f t="shared" si="18"/>
        <v>32.450000000000003</v>
      </c>
    </row>
    <row r="49" spans="1:17" ht="15" customHeight="1" x14ac:dyDescent="0.25">
      <c r="A49" s="58">
        <v>29</v>
      </c>
      <c r="B49" s="37">
        <f t="shared" si="3"/>
        <v>28.5</v>
      </c>
      <c r="C49" s="37">
        <f t="shared" si="4"/>
        <v>13.371428571428574</v>
      </c>
      <c r="D49" s="37">
        <f t="shared" si="5"/>
        <v>15.514285714285716</v>
      </c>
      <c r="E49" s="37" t="str">
        <f t="shared" si="6"/>
        <v/>
      </c>
      <c r="F49" s="37" t="str">
        <f t="shared" si="7"/>
        <v/>
      </c>
      <c r="G49" s="37" t="str">
        <f t="shared" si="8"/>
        <v/>
      </c>
      <c r="H49" s="37" t="str">
        <f t="shared" si="9"/>
        <v/>
      </c>
      <c r="I49" s="37">
        <f t="shared" si="10"/>
        <v>51.080357142857153</v>
      </c>
      <c r="J49" s="37">
        <f t="shared" si="11"/>
        <v>55.366071428571431</v>
      </c>
      <c r="K49" s="37" t="str">
        <f t="shared" si="12"/>
        <v/>
      </c>
      <c r="L49" s="37" t="str">
        <f t="shared" si="13"/>
        <v/>
      </c>
      <c r="M49" s="37" t="str">
        <f t="shared" si="14"/>
        <v/>
      </c>
      <c r="N49" s="37" t="str">
        <f t="shared" si="15"/>
        <v/>
      </c>
      <c r="O49" s="37">
        <f t="shared" si="16"/>
        <v>51.080357142857153</v>
      </c>
      <c r="P49" s="37">
        <f t="shared" si="17"/>
        <v>13.371428571428574</v>
      </c>
      <c r="Q49" s="37">
        <f t="shared" si="18"/>
        <v>32.450000000000003</v>
      </c>
    </row>
    <row r="50" spans="1:17" ht="15" customHeight="1" x14ac:dyDescent="0.25">
      <c r="A50" s="58">
        <v>30</v>
      </c>
      <c r="B50" s="37">
        <f t="shared" si="3"/>
        <v>29.5</v>
      </c>
      <c r="C50" s="37">
        <f t="shared" si="4"/>
        <v>14.085714285714285</v>
      </c>
      <c r="D50" s="37">
        <f t="shared" si="5"/>
        <v>14.8</v>
      </c>
      <c r="E50" s="37" t="str">
        <f t="shared" si="6"/>
        <v/>
      </c>
      <c r="F50" s="37" t="str">
        <f t="shared" si="7"/>
        <v/>
      </c>
      <c r="G50" s="37" t="str">
        <f t="shared" si="8"/>
        <v/>
      </c>
      <c r="H50" s="37" t="str">
        <f t="shared" si="9"/>
        <v/>
      </c>
      <c r="I50" s="37">
        <f t="shared" si="10"/>
        <v>52.508928571428569</v>
      </c>
      <c r="J50" s="37">
        <f t="shared" si="11"/>
        <v>53.9375</v>
      </c>
      <c r="K50" s="37" t="str">
        <f t="shared" si="12"/>
        <v/>
      </c>
      <c r="L50" s="37" t="str">
        <f t="shared" si="13"/>
        <v/>
      </c>
      <c r="M50" s="37" t="str">
        <f t="shared" si="14"/>
        <v/>
      </c>
      <c r="N50" s="37" t="str">
        <f t="shared" si="15"/>
        <v/>
      </c>
      <c r="O50" s="37">
        <f t="shared" si="16"/>
        <v>52.508928571428569</v>
      </c>
      <c r="P50" s="37">
        <f t="shared" si="17"/>
        <v>14.085714285714285</v>
      </c>
      <c r="Q50" s="37">
        <f t="shared" si="18"/>
        <v>32.450000000000003</v>
      </c>
    </row>
    <row r="51" spans="1:17" ht="15" customHeight="1" x14ac:dyDescent="0.25">
      <c r="A51" s="58">
        <v>31</v>
      </c>
      <c r="B51" s="37">
        <f t="shared" si="3"/>
        <v>30.5</v>
      </c>
      <c r="C51" s="37">
        <f t="shared" si="4"/>
        <v>14.8</v>
      </c>
      <c r="D51" s="37">
        <f t="shared" si="5"/>
        <v>14.085714285714285</v>
      </c>
      <c r="E51" s="37" t="str">
        <f t="shared" si="6"/>
        <v/>
      </c>
      <c r="F51" s="37" t="str">
        <f t="shared" si="7"/>
        <v/>
      </c>
      <c r="G51" s="37" t="str">
        <f t="shared" si="8"/>
        <v/>
      </c>
      <c r="H51" s="37" t="str">
        <f t="shared" si="9"/>
        <v/>
      </c>
      <c r="I51" s="37">
        <f t="shared" si="10"/>
        <v>53.9375</v>
      </c>
      <c r="J51" s="37">
        <f t="shared" si="11"/>
        <v>52.508928571428569</v>
      </c>
      <c r="K51" s="37" t="str">
        <f t="shared" si="12"/>
        <v/>
      </c>
      <c r="L51" s="37" t="str">
        <f t="shared" si="13"/>
        <v/>
      </c>
      <c r="M51" s="37" t="str">
        <f t="shared" si="14"/>
        <v/>
      </c>
      <c r="N51" s="37" t="str">
        <f t="shared" si="15"/>
        <v/>
      </c>
      <c r="O51" s="37">
        <f t="shared" si="16"/>
        <v>52.508928571428569</v>
      </c>
      <c r="P51" s="37">
        <f t="shared" si="17"/>
        <v>14.085714285714285</v>
      </c>
      <c r="Q51" s="37">
        <f t="shared" si="18"/>
        <v>32.450000000000003</v>
      </c>
    </row>
    <row r="52" spans="1:17" ht="15" customHeight="1" x14ac:dyDescent="0.25">
      <c r="A52" s="58">
        <v>32</v>
      </c>
      <c r="B52" s="37">
        <f t="shared" si="3"/>
        <v>31.5</v>
      </c>
      <c r="C52" s="37">
        <f t="shared" si="4"/>
        <v>15.514285714285716</v>
      </c>
      <c r="D52" s="37">
        <f t="shared" si="5"/>
        <v>13.371428571428574</v>
      </c>
      <c r="E52" s="37" t="str">
        <f t="shared" si="6"/>
        <v/>
      </c>
      <c r="F52" s="37" t="str">
        <f t="shared" si="7"/>
        <v/>
      </c>
      <c r="G52" s="37" t="str">
        <f t="shared" si="8"/>
        <v/>
      </c>
      <c r="H52" s="37" t="str">
        <f t="shared" si="9"/>
        <v/>
      </c>
      <c r="I52" s="37">
        <f t="shared" si="10"/>
        <v>55.366071428571431</v>
      </c>
      <c r="J52" s="37">
        <f t="shared" si="11"/>
        <v>51.080357142857153</v>
      </c>
      <c r="K52" s="37" t="str">
        <f t="shared" si="12"/>
        <v/>
      </c>
      <c r="L52" s="37" t="str">
        <f t="shared" si="13"/>
        <v/>
      </c>
      <c r="M52" s="37" t="str">
        <f t="shared" si="14"/>
        <v/>
      </c>
      <c r="N52" s="37" t="str">
        <f t="shared" si="15"/>
        <v/>
      </c>
      <c r="O52" s="37">
        <f t="shared" si="16"/>
        <v>51.080357142857153</v>
      </c>
      <c r="P52" s="37">
        <f t="shared" si="17"/>
        <v>13.371428571428574</v>
      </c>
      <c r="Q52" s="37">
        <f t="shared" si="18"/>
        <v>32.450000000000003</v>
      </c>
    </row>
    <row r="53" spans="1:17" ht="15" customHeight="1" x14ac:dyDescent="0.25">
      <c r="A53" s="58">
        <v>33</v>
      </c>
      <c r="B53" s="37">
        <f t="shared" si="3"/>
        <v>32.5</v>
      </c>
      <c r="C53" s="37">
        <f t="shared" si="4"/>
        <v>16.228571428571431</v>
      </c>
      <c r="D53" s="37">
        <f t="shared" si="5"/>
        <v>12.657142857142858</v>
      </c>
      <c r="E53" s="37" t="str">
        <f t="shared" si="6"/>
        <v/>
      </c>
      <c r="F53" s="37" t="str">
        <f t="shared" si="7"/>
        <v/>
      </c>
      <c r="G53" s="37" t="str">
        <f t="shared" si="8"/>
        <v/>
      </c>
      <c r="H53" s="37" t="str">
        <f t="shared" si="9"/>
        <v/>
      </c>
      <c r="I53" s="37">
        <f t="shared" si="10"/>
        <v>56.794642857142861</v>
      </c>
      <c r="J53" s="37">
        <f t="shared" si="11"/>
        <v>49.651785714285722</v>
      </c>
      <c r="K53" s="37" t="str">
        <f t="shared" si="12"/>
        <v/>
      </c>
      <c r="L53" s="37" t="str">
        <f t="shared" si="13"/>
        <v/>
      </c>
      <c r="M53" s="37" t="str">
        <f t="shared" si="14"/>
        <v/>
      </c>
      <c r="N53" s="37" t="str">
        <f t="shared" si="15"/>
        <v/>
      </c>
      <c r="O53" s="37">
        <f t="shared" si="16"/>
        <v>49.651785714285722</v>
      </c>
      <c r="P53" s="37">
        <f t="shared" si="17"/>
        <v>12.657142857142858</v>
      </c>
      <c r="Q53" s="37">
        <f t="shared" si="18"/>
        <v>32.450000000000003</v>
      </c>
    </row>
    <row r="54" spans="1:17" ht="15" customHeight="1" x14ac:dyDescent="0.25">
      <c r="A54" s="58">
        <v>34</v>
      </c>
      <c r="B54" s="37">
        <f t="shared" si="3"/>
        <v>33.5</v>
      </c>
      <c r="C54" s="37">
        <f t="shared" si="4"/>
        <v>16.942857142857143</v>
      </c>
      <c r="D54" s="37">
        <f t="shared" si="5"/>
        <v>11.942857142857143</v>
      </c>
      <c r="E54" s="37" t="str">
        <f t="shared" si="6"/>
        <v/>
      </c>
      <c r="F54" s="37" t="str">
        <f t="shared" si="7"/>
        <v/>
      </c>
      <c r="G54" s="37" t="str">
        <f t="shared" si="8"/>
        <v/>
      </c>
      <c r="H54" s="37" t="str">
        <f t="shared" si="9"/>
        <v/>
      </c>
      <c r="I54" s="37">
        <f t="shared" si="10"/>
        <v>58.223214285714292</v>
      </c>
      <c r="J54" s="37">
        <f t="shared" si="11"/>
        <v>48.223214285714292</v>
      </c>
      <c r="K54" s="37" t="str">
        <f t="shared" si="12"/>
        <v/>
      </c>
      <c r="L54" s="37" t="str">
        <f t="shared" si="13"/>
        <v/>
      </c>
      <c r="M54" s="37" t="str">
        <f t="shared" si="14"/>
        <v/>
      </c>
      <c r="N54" s="37" t="str">
        <f t="shared" si="15"/>
        <v/>
      </c>
      <c r="O54" s="37">
        <f t="shared" si="16"/>
        <v>48.223214285714292</v>
      </c>
      <c r="P54" s="37">
        <f t="shared" si="17"/>
        <v>11.942857142857143</v>
      </c>
      <c r="Q54" s="37">
        <f t="shared" si="18"/>
        <v>32.450000000000003</v>
      </c>
    </row>
    <row r="55" spans="1:17" ht="15" customHeight="1" x14ac:dyDescent="0.25">
      <c r="A55" s="58">
        <v>35</v>
      </c>
      <c r="B55" s="37">
        <f t="shared" si="3"/>
        <v>34.5</v>
      </c>
      <c r="C55" s="37">
        <f t="shared" si="4"/>
        <v>17.657142857142858</v>
      </c>
      <c r="D55" s="37">
        <f t="shared" si="5"/>
        <v>11.228571428571428</v>
      </c>
      <c r="E55" s="37" t="str">
        <f t="shared" si="6"/>
        <v/>
      </c>
      <c r="F55" s="37" t="str">
        <f t="shared" si="7"/>
        <v/>
      </c>
      <c r="G55" s="37" t="str">
        <f t="shared" si="8"/>
        <v/>
      </c>
      <c r="H55" s="37" t="str">
        <f t="shared" si="9"/>
        <v/>
      </c>
      <c r="I55" s="37">
        <f t="shared" si="10"/>
        <v>59.651785714285722</v>
      </c>
      <c r="J55" s="37">
        <f t="shared" si="11"/>
        <v>46.794642857142861</v>
      </c>
      <c r="K55" s="37" t="str">
        <f t="shared" si="12"/>
        <v/>
      </c>
      <c r="L55" s="37" t="str">
        <f t="shared" si="13"/>
        <v/>
      </c>
      <c r="M55" s="37" t="str">
        <f t="shared" si="14"/>
        <v/>
      </c>
      <c r="N55" s="37" t="str">
        <f t="shared" si="15"/>
        <v/>
      </c>
      <c r="O55" s="37">
        <f t="shared" si="16"/>
        <v>46.794642857142861</v>
      </c>
      <c r="P55" s="37">
        <f t="shared" si="17"/>
        <v>11.228571428571428</v>
      </c>
      <c r="Q55" s="37">
        <f t="shared" si="18"/>
        <v>32.450000000000003</v>
      </c>
    </row>
    <row r="56" spans="1:17" ht="15" customHeight="1" x14ac:dyDescent="0.25">
      <c r="A56" s="58">
        <v>36</v>
      </c>
      <c r="B56" s="37">
        <f t="shared" si="3"/>
        <v>35.5</v>
      </c>
      <c r="C56" s="37">
        <f t="shared" si="4"/>
        <v>18.371428571428574</v>
      </c>
      <c r="D56" s="37">
        <f t="shared" si="5"/>
        <v>10.514285714285716</v>
      </c>
      <c r="E56" s="37" t="str">
        <f t="shared" si="6"/>
        <v/>
      </c>
      <c r="F56" s="37" t="str">
        <f t="shared" si="7"/>
        <v/>
      </c>
      <c r="G56" s="37" t="str">
        <f t="shared" si="8"/>
        <v/>
      </c>
      <c r="H56" s="37" t="str">
        <f t="shared" si="9"/>
        <v/>
      </c>
      <c r="I56" s="37">
        <f t="shared" si="10"/>
        <v>61.080357142857153</v>
      </c>
      <c r="J56" s="37">
        <f t="shared" si="11"/>
        <v>45.366071428571431</v>
      </c>
      <c r="K56" s="37" t="str">
        <f t="shared" si="12"/>
        <v/>
      </c>
      <c r="L56" s="37" t="str">
        <f t="shared" si="13"/>
        <v/>
      </c>
      <c r="M56" s="37" t="str">
        <f t="shared" si="14"/>
        <v/>
      </c>
      <c r="N56" s="37" t="str">
        <f t="shared" si="15"/>
        <v/>
      </c>
      <c r="O56" s="37">
        <f t="shared" si="16"/>
        <v>45.366071428571431</v>
      </c>
      <c r="P56" s="37">
        <f t="shared" si="17"/>
        <v>10.514285714285716</v>
      </c>
      <c r="Q56" s="37">
        <f t="shared" si="18"/>
        <v>32.450000000000003</v>
      </c>
    </row>
    <row r="57" spans="1:17" ht="15" customHeight="1" x14ac:dyDescent="0.25">
      <c r="A57" s="58">
        <v>37</v>
      </c>
      <c r="B57" s="37">
        <f t="shared" si="3"/>
        <v>36.5</v>
      </c>
      <c r="C57" s="37">
        <f t="shared" si="4"/>
        <v>19.085714285714289</v>
      </c>
      <c r="D57" s="37">
        <f t="shared" si="5"/>
        <v>9.8000000000000007</v>
      </c>
      <c r="E57" s="37" t="str">
        <f t="shared" si="6"/>
        <v/>
      </c>
      <c r="F57" s="37" t="str">
        <f t="shared" si="7"/>
        <v/>
      </c>
      <c r="G57" s="37" t="str">
        <f t="shared" si="8"/>
        <v/>
      </c>
      <c r="H57" s="37" t="str">
        <f t="shared" si="9"/>
        <v/>
      </c>
      <c r="I57" s="37">
        <f t="shared" si="10"/>
        <v>62.508928571428584</v>
      </c>
      <c r="J57" s="37">
        <f t="shared" si="11"/>
        <v>43.9375</v>
      </c>
      <c r="K57" s="37" t="str">
        <f t="shared" si="12"/>
        <v/>
      </c>
      <c r="L57" s="37" t="str">
        <f t="shared" si="13"/>
        <v/>
      </c>
      <c r="M57" s="37" t="str">
        <f t="shared" si="14"/>
        <v/>
      </c>
      <c r="N57" s="37" t="str">
        <f t="shared" si="15"/>
        <v/>
      </c>
      <c r="O57" s="37">
        <f t="shared" si="16"/>
        <v>43.9375</v>
      </c>
      <c r="P57" s="37">
        <f t="shared" si="17"/>
        <v>9.8000000000000007</v>
      </c>
      <c r="Q57" s="37">
        <f t="shared" si="18"/>
        <v>32.450000000000003</v>
      </c>
    </row>
    <row r="58" spans="1:17" ht="15" customHeight="1" x14ac:dyDescent="0.25">
      <c r="A58" s="58">
        <v>38</v>
      </c>
      <c r="B58" s="37">
        <f t="shared" si="3"/>
        <v>37.5</v>
      </c>
      <c r="C58" s="37">
        <f t="shared" si="4"/>
        <v>19.8</v>
      </c>
      <c r="D58" s="37">
        <f t="shared" si="5"/>
        <v>9.0857142857142854</v>
      </c>
      <c r="E58" s="37" t="str">
        <f t="shared" si="6"/>
        <v/>
      </c>
      <c r="F58" s="37" t="str">
        <f t="shared" si="7"/>
        <v/>
      </c>
      <c r="G58" s="37" t="str">
        <f t="shared" si="8"/>
        <v/>
      </c>
      <c r="H58" s="37" t="str">
        <f t="shared" si="9"/>
        <v/>
      </c>
      <c r="I58" s="37">
        <f t="shared" si="10"/>
        <v>63.9375</v>
      </c>
      <c r="J58" s="37">
        <f t="shared" si="11"/>
        <v>42.508928571428569</v>
      </c>
      <c r="K58" s="37" t="str">
        <f t="shared" si="12"/>
        <v/>
      </c>
      <c r="L58" s="37" t="str">
        <f t="shared" si="13"/>
        <v/>
      </c>
      <c r="M58" s="37" t="str">
        <f t="shared" si="14"/>
        <v/>
      </c>
      <c r="N58" s="37" t="str">
        <f t="shared" si="15"/>
        <v/>
      </c>
      <c r="O58" s="37">
        <f t="shared" si="16"/>
        <v>42.508928571428569</v>
      </c>
      <c r="P58" s="37">
        <f t="shared" si="17"/>
        <v>9.0857142857142854</v>
      </c>
      <c r="Q58" s="37">
        <f t="shared" si="18"/>
        <v>32.450000000000003</v>
      </c>
    </row>
    <row r="59" spans="1:17" ht="15" customHeight="1" x14ac:dyDescent="0.25">
      <c r="A59" s="58">
        <v>39</v>
      </c>
      <c r="B59" s="37">
        <f t="shared" si="3"/>
        <v>38.5</v>
      </c>
      <c r="C59" s="37">
        <f t="shared" si="4"/>
        <v>20.514285714285716</v>
      </c>
      <c r="D59" s="37">
        <f t="shared" si="5"/>
        <v>8.3714285714285719</v>
      </c>
      <c r="E59" s="37" t="str">
        <f t="shared" si="6"/>
        <v/>
      </c>
      <c r="F59" s="37" t="str">
        <f t="shared" si="7"/>
        <v/>
      </c>
      <c r="G59" s="37" t="str">
        <f t="shared" si="8"/>
        <v/>
      </c>
      <c r="H59" s="37" t="str">
        <f t="shared" si="9"/>
        <v/>
      </c>
      <c r="I59" s="37">
        <f t="shared" si="10"/>
        <v>65.366071428571431</v>
      </c>
      <c r="J59" s="37">
        <f t="shared" si="11"/>
        <v>41.080357142857146</v>
      </c>
      <c r="K59" s="37" t="str">
        <f t="shared" si="12"/>
        <v/>
      </c>
      <c r="L59" s="37" t="str">
        <f t="shared" si="13"/>
        <v/>
      </c>
      <c r="M59" s="37" t="str">
        <f t="shared" si="14"/>
        <v/>
      </c>
      <c r="N59" s="37" t="str">
        <f t="shared" si="15"/>
        <v/>
      </c>
      <c r="O59" s="37">
        <f t="shared" si="16"/>
        <v>41.080357142857146</v>
      </c>
      <c r="P59" s="37">
        <f t="shared" si="17"/>
        <v>8.3714285714285719</v>
      </c>
      <c r="Q59" s="37">
        <f t="shared" si="18"/>
        <v>32.450000000000003</v>
      </c>
    </row>
    <row r="60" spans="1:17" ht="15" customHeight="1" x14ac:dyDescent="0.25">
      <c r="A60" s="58">
        <v>40</v>
      </c>
      <c r="B60" s="37">
        <f t="shared" si="3"/>
        <v>39.5</v>
      </c>
      <c r="C60" s="37">
        <f t="shared" si="4"/>
        <v>21.228571428571431</v>
      </c>
      <c r="D60" s="37">
        <f t="shared" si="5"/>
        <v>7.6571428571428575</v>
      </c>
      <c r="E60" s="37" t="str">
        <f t="shared" si="6"/>
        <v/>
      </c>
      <c r="F60" s="37" t="str">
        <f t="shared" si="7"/>
        <v/>
      </c>
      <c r="G60" s="37" t="str">
        <f t="shared" si="8"/>
        <v/>
      </c>
      <c r="H60" s="37" t="str">
        <f t="shared" si="9"/>
        <v/>
      </c>
      <c r="I60" s="37">
        <f t="shared" si="10"/>
        <v>66.794642857142861</v>
      </c>
      <c r="J60" s="37">
        <f t="shared" si="11"/>
        <v>39.651785714285715</v>
      </c>
      <c r="K60" s="37" t="str">
        <f t="shared" si="12"/>
        <v/>
      </c>
      <c r="L60" s="37" t="str">
        <f t="shared" si="13"/>
        <v/>
      </c>
      <c r="M60" s="37" t="str">
        <f t="shared" si="14"/>
        <v/>
      </c>
      <c r="N60" s="37" t="str">
        <f t="shared" si="15"/>
        <v/>
      </c>
      <c r="O60" s="37">
        <f t="shared" si="16"/>
        <v>39.651785714285715</v>
      </c>
      <c r="P60" s="37">
        <f t="shared" si="17"/>
        <v>7.6571428571428575</v>
      </c>
      <c r="Q60" s="37">
        <f t="shared" si="18"/>
        <v>32.450000000000003</v>
      </c>
    </row>
    <row r="61" spans="1:17" ht="15" customHeight="1" x14ac:dyDescent="0.25">
      <c r="A61" s="58">
        <v>41</v>
      </c>
      <c r="B61" s="37">
        <f t="shared" si="3"/>
        <v>40.5</v>
      </c>
      <c r="C61" s="37">
        <f t="shared" si="4"/>
        <v>21.942857142857147</v>
      </c>
      <c r="D61" s="37">
        <f t="shared" si="5"/>
        <v>6.9428571428571431</v>
      </c>
      <c r="E61" s="37" t="str">
        <f t="shared" si="6"/>
        <v/>
      </c>
      <c r="F61" s="37" t="str">
        <f t="shared" si="7"/>
        <v/>
      </c>
      <c r="G61" s="37" t="str">
        <f t="shared" si="8"/>
        <v/>
      </c>
      <c r="H61" s="37" t="str">
        <f t="shared" si="9"/>
        <v/>
      </c>
      <c r="I61" s="37">
        <f t="shared" si="10"/>
        <v>68.223214285714292</v>
      </c>
      <c r="J61" s="37">
        <f t="shared" si="11"/>
        <v>38.223214285714292</v>
      </c>
      <c r="K61" s="37" t="str">
        <f t="shared" si="12"/>
        <v/>
      </c>
      <c r="L61" s="37" t="str">
        <f t="shared" si="13"/>
        <v/>
      </c>
      <c r="M61" s="37" t="str">
        <f t="shared" si="14"/>
        <v/>
      </c>
      <c r="N61" s="37" t="str">
        <f t="shared" si="15"/>
        <v/>
      </c>
      <c r="O61" s="37">
        <f t="shared" si="16"/>
        <v>38.223214285714292</v>
      </c>
      <c r="P61" s="37">
        <f t="shared" si="17"/>
        <v>6.9428571428571431</v>
      </c>
      <c r="Q61" s="37">
        <f t="shared" si="18"/>
        <v>32.450000000000003</v>
      </c>
    </row>
    <row r="62" spans="1:17" ht="15" customHeight="1" x14ac:dyDescent="0.25">
      <c r="A62" s="58">
        <v>42</v>
      </c>
      <c r="B62" s="37">
        <f t="shared" si="3"/>
        <v>41.5</v>
      </c>
      <c r="C62" s="37">
        <f t="shared" si="4"/>
        <v>22.657142857142858</v>
      </c>
      <c r="D62" s="37">
        <f t="shared" si="5"/>
        <v>6.2285714285714286</v>
      </c>
      <c r="E62" s="37" t="str">
        <f t="shared" si="6"/>
        <v/>
      </c>
      <c r="F62" s="37" t="str">
        <f t="shared" si="7"/>
        <v/>
      </c>
      <c r="G62" s="37" t="str">
        <f t="shared" si="8"/>
        <v/>
      </c>
      <c r="H62" s="37" t="str">
        <f t="shared" si="9"/>
        <v/>
      </c>
      <c r="I62" s="37">
        <f t="shared" si="10"/>
        <v>69.651785714285722</v>
      </c>
      <c r="J62" s="37">
        <f t="shared" si="11"/>
        <v>36.794642857142861</v>
      </c>
      <c r="K62" s="37" t="str">
        <f t="shared" si="12"/>
        <v/>
      </c>
      <c r="L62" s="37" t="str">
        <f t="shared" si="13"/>
        <v/>
      </c>
      <c r="M62" s="37" t="str">
        <f t="shared" si="14"/>
        <v/>
      </c>
      <c r="N62" s="37" t="str">
        <f t="shared" si="15"/>
        <v/>
      </c>
      <c r="O62" s="37">
        <f t="shared" si="16"/>
        <v>36.794642857142861</v>
      </c>
      <c r="P62" s="37">
        <f t="shared" si="17"/>
        <v>6.2285714285714286</v>
      </c>
      <c r="Q62" s="37">
        <f t="shared" si="18"/>
        <v>32.450000000000003</v>
      </c>
    </row>
    <row r="63" spans="1:17" ht="15" customHeight="1" x14ac:dyDescent="0.25">
      <c r="A63" s="58">
        <v>43</v>
      </c>
      <c r="B63" s="37">
        <f t="shared" si="3"/>
        <v>42.5</v>
      </c>
      <c r="C63" s="37">
        <f t="shared" si="4"/>
        <v>23.371428571428574</v>
      </c>
      <c r="D63" s="37">
        <f t="shared" si="5"/>
        <v>5.5136195008360884</v>
      </c>
      <c r="E63" s="37" t="str">
        <f t="shared" si="6"/>
        <v/>
      </c>
      <c r="F63" s="37" t="str">
        <f t="shared" si="7"/>
        <v/>
      </c>
      <c r="G63" s="37" t="str">
        <f t="shared" si="8"/>
        <v/>
      </c>
      <c r="H63" s="37" t="str">
        <f t="shared" si="9"/>
        <v/>
      </c>
      <c r="I63" s="37">
        <f t="shared" si="10"/>
        <v>71.080357142857153</v>
      </c>
      <c r="J63" s="37">
        <f t="shared" si="11"/>
        <v>35.364739001672177</v>
      </c>
      <c r="K63" s="37" t="str">
        <f t="shared" si="12"/>
        <v/>
      </c>
      <c r="L63" s="37" t="str">
        <f t="shared" si="13"/>
        <v/>
      </c>
      <c r="M63" s="37" t="str">
        <f t="shared" si="14"/>
        <v/>
      </c>
      <c r="N63" s="37" t="str">
        <f t="shared" si="15"/>
        <v/>
      </c>
      <c r="O63" s="37">
        <f t="shared" si="16"/>
        <v>35.364739001672177</v>
      </c>
      <c r="P63" s="37">
        <f t="shared" si="17"/>
        <v>5.5136195008360884</v>
      </c>
      <c r="Q63" s="37">
        <f t="shared" si="18"/>
        <v>32.450000000000003</v>
      </c>
    </row>
    <row r="64" spans="1:17" ht="15" customHeight="1" x14ac:dyDescent="0.25">
      <c r="A64" s="58">
        <v>44</v>
      </c>
      <c r="B64" s="37">
        <f t="shared" si="3"/>
        <v>43.5</v>
      </c>
      <c r="C64" s="37">
        <f t="shared" si="4"/>
        <v>24.085714285714289</v>
      </c>
      <c r="D64" s="37">
        <f t="shared" si="5"/>
        <v>4.7328638264796927</v>
      </c>
      <c r="E64" s="37" t="str">
        <f t="shared" si="6"/>
        <v/>
      </c>
      <c r="F64" s="37" t="str">
        <f t="shared" si="7"/>
        <v/>
      </c>
      <c r="G64" s="37" t="str">
        <f t="shared" si="8"/>
        <v/>
      </c>
      <c r="H64" s="37" t="str">
        <f t="shared" si="9"/>
        <v/>
      </c>
      <c r="I64" s="37">
        <f t="shared" si="10"/>
        <v>72.508928571428584</v>
      </c>
      <c r="J64" s="37">
        <f t="shared" si="11"/>
        <v>33.803227652959386</v>
      </c>
      <c r="K64" s="37" t="str">
        <f t="shared" si="12"/>
        <v/>
      </c>
      <c r="L64" s="37" t="str">
        <f t="shared" si="13"/>
        <v/>
      </c>
      <c r="M64" s="37" t="str">
        <f t="shared" si="14"/>
        <v/>
      </c>
      <c r="N64" s="37" t="str">
        <f t="shared" si="15"/>
        <v/>
      </c>
      <c r="O64" s="37">
        <f t="shared" si="16"/>
        <v>33.803227652959386</v>
      </c>
      <c r="P64" s="37">
        <f t="shared" si="17"/>
        <v>4.7328638264796927</v>
      </c>
      <c r="Q64" s="37">
        <f t="shared" si="18"/>
        <v>32.450000000000003</v>
      </c>
    </row>
    <row r="65" spans="1:17" ht="15" customHeight="1" x14ac:dyDescent="0.25">
      <c r="A65" s="58">
        <v>45</v>
      </c>
      <c r="B65" s="37">
        <f t="shared" si="3"/>
        <v>44.5</v>
      </c>
      <c r="C65" s="37">
        <f t="shared" si="4"/>
        <v>24.800000000000004</v>
      </c>
      <c r="D65" s="37">
        <f t="shared" si="5"/>
        <v>3.7947331922020551</v>
      </c>
      <c r="E65" s="37" t="str">
        <f t="shared" si="6"/>
        <v/>
      </c>
      <c r="F65" s="37" t="str">
        <f t="shared" si="7"/>
        <v/>
      </c>
      <c r="G65" s="37" t="str">
        <f t="shared" si="8"/>
        <v/>
      </c>
      <c r="H65" s="37" t="str">
        <f t="shared" si="9"/>
        <v/>
      </c>
      <c r="I65" s="37">
        <f t="shared" si="10"/>
        <v>73.937500000000014</v>
      </c>
      <c r="J65" s="37">
        <f t="shared" si="11"/>
        <v>31.92696638440411</v>
      </c>
      <c r="K65" s="37" t="str">
        <f t="shared" si="12"/>
        <v/>
      </c>
      <c r="L65" s="37" t="str">
        <f t="shared" si="13"/>
        <v/>
      </c>
      <c r="M65" s="37" t="str">
        <f t="shared" si="14"/>
        <v/>
      </c>
      <c r="N65" s="37" t="str">
        <f t="shared" si="15"/>
        <v/>
      </c>
      <c r="O65" s="37">
        <f t="shared" si="16"/>
        <v>31.92696638440411</v>
      </c>
      <c r="P65" s="37">
        <f t="shared" si="17"/>
        <v>3.7947331922020551</v>
      </c>
      <c r="Q65" s="37">
        <f t="shared" si="18"/>
        <v>32.450000000000003</v>
      </c>
    </row>
    <row r="66" spans="1:17" ht="15" customHeight="1" x14ac:dyDescent="0.25">
      <c r="A66" s="58">
        <v>46</v>
      </c>
      <c r="B66" s="37">
        <f t="shared" si="3"/>
        <v>45.5</v>
      </c>
      <c r="C66" s="37">
        <f t="shared" si="4"/>
        <v>25.514285714285716</v>
      </c>
      <c r="D66" s="37">
        <f t="shared" si="5"/>
        <v>3.7947331922020551</v>
      </c>
      <c r="E66" s="37" t="str">
        <f t="shared" si="6"/>
        <v/>
      </c>
      <c r="F66" s="37" t="str">
        <f t="shared" si="7"/>
        <v/>
      </c>
      <c r="G66" s="37" t="str">
        <f t="shared" si="8"/>
        <v/>
      </c>
      <c r="H66" s="37" t="str">
        <f t="shared" si="9"/>
        <v/>
      </c>
      <c r="I66" s="37">
        <f t="shared" si="10"/>
        <v>75.366071428571431</v>
      </c>
      <c r="J66" s="37">
        <f t="shared" si="11"/>
        <v>31.92696638440411</v>
      </c>
      <c r="K66" s="37" t="str">
        <f t="shared" si="12"/>
        <v/>
      </c>
      <c r="L66" s="37" t="str">
        <f t="shared" si="13"/>
        <v/>
      </c>
      <c r="M66" s="37" t="str">
        <f t="shared" si="14"/>
        <v/>
      </c>
      <c r="N66" s="37" t="str">
        <f t="shared" si="15"/>
        <v/>
      </c>
      <c r="O66" s="37">
        <f t="shared" si="16"/>
        <v>31.92696638440411</v>
      </c>
      <c r="P66" s="37">
        <f t="shared" si="17"/>
        <v>3.7947331922020551</v>
      </c>
      <c r="Q66" s="37">
        <f t="shared" si="18"/>
        <v>32.450000000000003</v>
      </c>
    </row>
    <row r="67" spans="1:17" ht="15" customHeight="1" x14ac:dyDescent="0.25">
      <c r="A67" s="58">
        <v>47</v>
      </c>
      <c r="B67" s="37">
        <f t="shared" si="3"/>
        <v>46.5</v>
      </c>
      <c r="C67" s="37">
        <f t="shared" si="4"/>
        <v>26.228571428571428</v>
      </c>
      <c r="D67" s="37">
        <f t="shared" si="5"/>
        <v>4.7328638264796927</v>
      </c>
      <c r="E67" s="37" t="str">
        <f t="shared" si="6"/>
        <v/>
      </c>
      <c r="F67" s="37" t="str">
        <f t="shared" si="7"/>
        <v/>
      </c>
      <c r="G67" s="37" t="str">
        <f t="shared" si="8"/>
        <v/>
      </c>
      <c r="H67" s="37" t="str">
        <f t="shared" si="9"/>
        <v/>
      </c>
      <c r="I67" s="37">
        <f t="shared" si="10"/>
        <v>76.794642857142861</v>
      </c>
      <c r="J67" s="37">
        <f t="shared" si="11"/>
        <v>33.803227652959386</v>
      </c>
      <c r="K67" s="37" t="str">
        <f t="shared" si="12"/>
        <v/>
      </c>
      <c r="L67" s="37" t="str">
        <f t="shared" si="13"/>
        <v/>
      </c>
      <c r="M67" s="37" t="str">
        <f t="shared" si="14"/>
        <v/>
      </c>
      <c r="N67" s="37" t="str">
        <f t="shared" si="15"/>
        <v/>
      </c>
      <c r="O67" s="37">
        <f t="shared" si="16"/>
        <v>33.803227652959386</v>
      </c>
      <c r="P67" s="37">
        <f t="shared" si="17"/>
        <v>4.7328638264796927</v>
      </c>
      <c r="Q67" s="37">
        <f t="shared" si="18"/>
        <v>32.450000000000003</v>
      </c>
    </row>
    <row r="68" spans="1:17" ht="15" customHeight="1" x14ac:dyDescent="0.25">
      <c r="A68" s="58">
        <v>48</v>
      </c>
      <c r="B68" s="37">
        <f t="shared" si="3"/>
        <v>47.5</v>
      </c>
      <c r="C68" s="37">
        <f t="shared" si="4"/>
        <v>26.942857142857143</v>
      </c>
      <c r="D68" s="37">
        <f t="shared" si="5"/>
        <v>5.5136195008360884</v>
      </c>
      <c r="E68" s="37" t="str">
        <f t="shared" si="6"/>
        <v/>
      </c>
      <c r="F68" s="37" t="str">
        <f t="shared" si="7"/>
        <v/>
      </c>
      <c r="G68" s="37" t="str">
        <f t="shared" si="8"/>
        <v/>
      </c>
      <c r="H68" s="37" t="str">
        <f t="shared" si="9"/>
        <v/>
      </c>
      <c r="I68" s="37">
        <f t="shared" si="10"/>
        <v>78.223214285714292</v>
      </c>
      <c r="J68" s="37">
        <f t="shared" si="11"/>
        <v>35.364739001672177</v>
      </c>
      <c r="K68" s="37" t="str">
        <f t="shared" si="12"/>
        <v/>
      </c>
      <c r="L68" s="37" t="str">
        <f t="shared" si="13"/>
        <v/>
      </c>
      <c r="M68" s="37" t="str">
        <f t="shared" si="14"/>
        <v/>
      </c>
      <c r="N68" s="37" t="str">
        <f t="shared" si="15"/>
        <v/>
      </c>
      <c r="O68" s="37">
        <f t="shared" si="16"/>
        <v>35.364739001672177</v>
      </c>
      <c r="P68" s="37">
        <f t="shared" si="17"/>
        <v>5.5136195008360884</v>
      </c>
      <c r="Q68" s="37">
        <f t="shared" si="18"/>
        <v>32.450000000000003</v>
      </c>
    </row>
    <row r="69" spans="1:17" ht="15" customHeight="1" x14ac:dyDescent="0.25">
      <c r="A69" s="58">
        <v>49</v>
      </c>
      <c r="B69" s="37">
        <f t="shared" si="3"/>
        <v>48.5</v>
      </c>
      <c r="C69" s="37">
        <f t="shared" si="4"/>
        <v>27.657142857142858</v>
      </c>
      <c r="D69" s="37">
        <f t="shared" si="5"/>
        <v>6.2285714285714286</v>
      </c>
      <c r="E69" s="37" t="str">
        <f t="shared" si="6"/>
        <v/>
      </c>
      <c r="F69" s="37" t="str">
        <f t="shared" si="7"/>
        <v/>
      </c>
      <c r="G69" s="37" t="str">
        <f t="shared" si="8"/>
        <v/>
      </c>
      <c r="H69" s="37" t="str">
        <f t="shared" si="9"/>
        <v/>
      </c>
      <c r="I69" s="37">
        <f t="shared" si="10"/>
        <v>79.651785714285722</v>
      </c>
      <c r="J69" s="37">
        <f t="shared" si="11"/>
        <v>36.794642857142861</v>
      </c>
      <c r="K69" s="37" t="str">
        <f t="shared" si="12"/>
        <v/>
      </c>
      <c r="L69" s="37" t="str">
        <f t="shared" si="13"/>
        <v/>
      </c>
      <c r="M69" s="37" t="str">
        <f t="shared" si="14"/>
        <v/>
      </c>
      <c r="N69" s="37" t="str">
        <f t="shared" si="15"/>
        <v/>
      </c>
      <c r="O69" s="37">
        <f t="shared" si="16"/>
        <v>36.794642857142861</v>
      </c>
      <c r="P69" s="37">
        <f t="shared" si="17"/>
        <v>6.2285714285714286</v>
      </c>
      <c r="Q69" s="37">
        <f t="shared" si="18"/>
        <v>32.450000000000003</v>
      </c>
    </row>
    <row r="70" spans="1:17" ht="15" customHeight="1" x14ac:dyDescent="0.25">
      <c r="A70" s="58">
        <v>50</v>
      </c>
      <c r="B70" s="37">
        <f t="shared" si="3"/>
        <v>49.5</v>
      </c>
      <c r="C70" s="37">
        <f t="shared" si="4"/>
        <v>28.37142857142857</v>
      </c>
      <c r="D70" s="37">
        <f t="shared" si="5"/>
        <v>6.9428571428571431</v>
      </c>
      <c r="E70" s="37" t="str">
        <f t="shared" si="6"/>
        <v/>
      </c>
      <c r="F70" s="37" t="str">
        <f t="shared" si="7"/>
        <v/>
      </c>
      <c r="G70" s="37" t="str">
        <f t="shared" si="8"/>
        <v/>
      </c>
      <c r="H70" s="37" t="str">
        <f t="shared" si="9"/>
        <v/>
      </c>
      <c r="I70" s="37">
        <f t="shared" si="10"/>
        <v>81.080357142857139</v>
      </c>
      <c r="J70" s="37">
        <f t="shared" si="11"/>
        <v>38.223214285714292</v>
      </c>
      <c r="K70" s="37" t="str">
        <f t="shared" si="12"/>
        <v/>
      </c>
      <c r="L70" s="37" t="str">
        <f t="shared" si="13"/>
        <v/>
      </c>
      <c r="M70" s="37" t="str">
        <f t="shared" si="14"/>
        <v/>
      </c>
      <c r="N70" s="37" t="str">
        <f t="shared" si="15"/>
        <v/>
      </c>
      <c r="O70" s="37">
        <f t="shared" si="16"/>
        <v>38.223214285714292</v>
      </c>
      <c r="P70" s="37">
        <f t="shared" si="17"/>
        <v>6.9428571428571431</v>
      </c>
      <c r="Q70" s="37">
        <f t="shared" si="18"/>
        <v>32.450000000000003</v>
      </c>
    </row>
    <row r="71" spans="1:17" ht="15" customHeight="1" x14ac:dyDescent="0.25">
      <c r="A71" s="58">
        <v>51</v>
      </c>
      <c r="B71" s="37">
        <f t="shared" si="3"/>
        <v>50.5</v>
      </c>
      <c r="C71" s="37">
        <f t="shared" si="4"/>
        <v>29.085714285714285</v>
      </c>
      <c r="D71" s="37">
        <f t="shared" si="5"/>
        <v>7.6571428571428575</v>
      </c>
      <c r="E71" s="37" t="str">
        <f t="shared" si="6"/>
        <v/>
      </c>
      <c r="F71" s="37" t="str">
        <f t="shared" si="7"/>
        <v/>
      </c>
      <c r="G71" s="37" t="str">
        <f t="shared" si="8"/>
        <v/>
      </c>
      <c r="H71" s="37" t="str">
        <f t="shared" si="9"/>
        <v/>
      </c>
      <c r="I71" s="37">
        <f t="shared" si="10"/>
        <v>82.508928571428569</v>
      </c>
      <c r="J71" s="37">
        <f t="shared" si="11"/>
        <v>39.651785714285715</v>
      </c>
      <c r="K71" s="37" t="str">
        <f t="shared" si="12"/>
        <v/>
      </c>
      <c r="L71" s="37" t="str">
        <f t="shared" si="13"/>
        <v/>
      </c>
      <c r="M71" s="37" t="str">
        <f t="shared" si="14"/>
        <v/>
      </c>
      <c r="N71" s="37" t="str">
        <f t="shared" si="15"/>
        <v/>
      </c>
      <c r="O71" s="37">
        <f t="shared" si="16"/>
        <v>39.651785714285715</v>
      </c>
      <c r="P71" s="37">
        <f t="shared" si="17"/>
        <v>7.6571428571428575</v>
      </c>
      <c r="Q71" s="37">
        <f t="shared" si="18"/>
        <v>32.450000000000003</v>
      </c>
    </row>
    <row r="72" spans="1:17" ht="15" customHeight="1" x14ac:dyDescent="0.25">
      <c r="A72" s="58">
        <v>52</v>
      </c>
      <c r="B72" s="37">
        <f t="shared" si="3"/>
        <v>51.5</v>
      </c>
      <c r="C72" s="37">
        <f t="shared" si="4"/>
        <v>29.8</v>
      </c>
      <c r="D72" s="37">
        <f t="shared" si="5"/>
        <v>8.3714285714285719</v>
      </c>
      <c r="E72" s="37" t="str">
        <f t="shared" si="6"/>
        <v/>
      </c>
      <c r="F72" s="37" t="str">
        <f t="shared" si="7"/>
        <v/>
      </c>
      <c r="G72" s="37" t="str">
        <f t="shared" si="8"/>
        <v/>
      </c>
      <c r="H72" s="37" t="str">
        <f t="shared" si="9"/>
        <v/>
      </c>
      <c r="I72" s="37">
        <f t="shared" si="10"/>
        <v>83.9375</v>
      </c>
      <c r="J72" s="37">
        <f t="shared" si="11"/>
        <v>41.080357142857146</v>
      </c>
      <c r="K72" s="37" t="str">
        <f t="shared" si="12"/>
        <v/>
      </c>
      <c r="L72" s="37" t="str">
        <f t="shared" si="13"/>
        <v/>
      </c>
      <c r="M72" s="37" t="str">
        <f t="shared" si="14"/>
        <v/>
      </c>
      <c r="N72" s="37" t="str">
        <f t="shared" si="15"/>
        <v/>
      </c>
      <c r="O72" s="37">
        <f t="shared" si="16"/>
        <v>41.080357142857146</v>
      </c>
      <c r="P72" s="37">
        <f t="shared" si="17"/>
        <v>8.3714285714285719</v>
      </c>
      <c r="Q72" s="37">
        <f t="shared" si="18"/>
        <v>32.450000000000003</v>
      </c>
    </row>
    <row r="73" spans="1:17" ht="15" customHeight="1" x14ac:dyDescent="0.25">
      <c r="A73" s="58">
        <v>53</v>
      </c>
      <c r="B73" s="37">
        <f t="shared" si="3"/>
        <v>52.5</v>
      </c>
      <c r="C73" s="37">
        <f t="shared" si="4"/>
        <v>30.514285714285716</v>
      </c>
      <c r="D73" s="37">
        <f t="shared" si="5"/>
        <v>9.0857142857142854</v>
      </c>
      <c r="E73" s="37" t="str">
        <f t="shared" si="6"/>
        <v/>
      </c>
      <c r="F73" s="37" t="str">
        <f t="shared" si="7"/>
        <v/>
      </c>
      <c r="G73" s="37" t="str">
        <f t="shared" si="8"/>
        <v/>
      </c>
      <c r="H73" s="37" t="str">
        <f t="shared" si="9"/>
        <v/>
      </c>
      <c r="I73" s="37">
        <f t="shared" si="10"/>
        <v>85.366071428571431</v>
      </c>
      <c r="J73" s="37">
        <f t="shared" si="11"/>
        <v>42.508928571428569</v>
      </c>
      <c r="K73" s="37" t="str">
        <f t="shared" si="12"/>
        <v/>
      </c>
      <c r="L73" s="37" t="str">
        <f t="shared" si="13"/>
        <v/>
      </c>
      <c r="M73" s="37" t="str">
        <f t="shared" si="14"/>
        <v/>
      </c>
      <c r="N73" s="37" t="str">
        <f t="shared" si="15"/>
        <v/>
      </c>
      <c r="O73" s="37">
        <f t="shared" si="16"/>
        <v>42.508928571428569</v>
      </c>
      <c r="P73" s="37">
        <f t="shared" si="17"/>
        <v>9.0857142857142854</v>
      </c>
      <c r="Q73" s="37">
        <f t="shared" si="18"/>
        <v>32.450000000000003</v>
      </c>
    </row>
    <row r="74" spans="1:17" ht="15" customHeight="1" x14ac:dyDescent="0.25">
      <c r="A74" s="58">
        <v>54</v>
      </c>
      <c r="B74" s="37">
        <f t="shared" si="3"/>
        <v>53.5</v>
      </c>
      <c r="C74" s="37">
        <f t="shared" si="4"/>
        <v>31.228571428571428</v>
      </c>
      <c r="D74" s="37">
        <f t="shared" si="5"/>
        <v>9.8000000000000007</v>
      </c>
      <c r="E74" s="37" t="str">
        <f t="shared" si="6"/>
        <v/>
      </c>
      <c r="F74" s="37" t="str">
        <f t="shared" si="7"/>
        <v/>
      </c>
      <c r="G74" s="37" t="str">
        <f t="shared" si="8"/>
        <v/>
      </c>
      <c r="H74" s="37" t="str">
        <f t="shared" si="9"/>
        <v/>
      </c>
      <c r="I74" s="37">
        <f t="shared" si="10"/>
        <v>86.794642857142861</v>
      </c>
      <c r="J74" s="37">
        <f t="shared" si="11"/>
        <v>43.9375</v>
      </c>
      <c r="K74" s="37" t="str">
        <f t="shared" si="12"/>
        <v/>
      </c>
      <c r="L74" s="37" t="str">
        <f t="shared" si="13"/>
        <v/>
      </c>
      <c r="M74" s="37" t="str">
        <f t="shared" si="14"/>
        <v/>
      </c>
      <c r="N74" s="37" t="str">
        <f t="shared" si="15"/>
        <v/>
      </c>
      <c r="O74" s="37">
        <f t="shared" si="16"/>
        <v>43.9375</v>
      </c>
      <c r="P74" s="37">
        <f t="shared" si="17"/>
        <v>9.8000000000000007</v>
      </c>
      <c r="Q74" s="37">
        <f t="shared" si="18"/>
        <v>32.450000000000003</v>
      </c>
    </row>
    <row r="75" spans="1:17" ht="15" customHeight="1" x14ac:dyDescent="0.25">
      <c r="A75" s="58">
        <v>55</v>
      </c>
      <c r="B75" s="37">
        <f t="shared" si="3"/>
        <v>54.5</v>
      </c>
      <c r="C75" s="37">
        <f t="shared" si="4"/>
        <v>31.942857142857143</v>
      </c>
      <c r="D75" s="37">
        <f t="shared" si="5"/>
        <v>10.514285714285716</v>
      </c>
      <c r="E75" s="37" t="str">
        <f t="shared" si="6"/>
        <v/>
      </c>
      <c r="F75" s="37" t="str">
        <f t="shared" si="7"/>
        <v/>
      </c>
      <c r="G75" s="37" t="str">
        <f t="shared" si="8"/>
        <v/>
      </c>
      <c r="H75" s="37" t="str">
        <f t="shared" si="9"/>
        <v/>
      </c>
      <c r="I75" s="37">
        <f t="shared" si="10"/>
        <v>88.223214285714292</v>
      </c>
      <c r="J75" s="37">
        <f t="shared" si="11"/>
        <v>45.366071428571431</v>
      </c>
      <c r="K75" s="37" t="str">
        <f t="shared" si="12"/>
        <v/>
      </c>
      <c r="L75" s="37" t="str">
        <f t="shared" si="13"/>
        <v/>
      </c>
      <c r="M75" s="37" t="str">
        <f t="shared" si="14"/>
        <v/>
      </c>
      <c r="N75" s="37" t="str">
        <f t="shared" si="15"/>
        <v/>
      </c>
      <c r="O75" s="37">
        <f t="shared" si="16"/>
        <v>45.366071428571431</v>
      </c>
      <c r="P75" s="37">
        <f t="shared" si="17"/>
        <v>10.514285714285716</v>
      </c>
      <c r="Q75" s="37">
        <f t="shared" si="18"/>
        <v>32.450000000000003</v>
      </c>
    </row>
    <row r="76" spans="1:17" ht="15" customHeight="1" x14ac:dyDescent="0.25">
      <c r="A76" s="58">
        <v>56</v>
      </c>
      <c r="B76" s="37">
        <f t="shared" si="3"/>
        <v>55.5</v>
      </c>
      <c r="C76" s="37">
        <f t="shared" si="4"/>
        <v>32.657142857142858</v>
      </c>
      <c r="D76" s="37">
        <f t="shared" si="5"/>
        <v>11.228571428571428</v>
      </c>
      <c r="E76" s="37" t="str">
        <f t="shared" si="6"/>
        <v/>
      </c>
      <c r="F76" s="37" t="str">
        <f t="shared" si="7"/>
        <v/>
      </c>
      <c r="G76" s="37" t="str">
        <f t="shared" si="8"/>
        <v/>
      </c>
      <c r="H76" s="37" t="str">
        <f t="shared" si="9"/>
        <v/>
      </c>
      <c r="I76" s="37">
        <f t="shared" si="10"/>
        <v>89.651785714285722</v>
      </c>
      <c r="J76" s="37">
        <f t="shared" si="11"/>
        <v>46.794642857142861</v>
      </c>
      <c r="K76" s="37" t="str">
        <f t="shared" si="12"/>
        <v/>
      </c>
      <c r="L76" s="37" t="str">
        <f t="shared" si="13"/>
        <v/>
      </c>
      <c r="M76" s="37" t="str">
        <f t="shared" si="14"/>
        <v/>
      </c>
      <c r="N76" s="37" t="str">
        <f t="shared" si="15"/>
        <v/>
      </c>
      <c r="O76" s="37">
        <f t="shared" si="16"/>
        <v>46.794642857142861</v>
      </c>
      <c r="P76" s="37">
        <f t="shared" si="17"/>
        <v>11.228571428571428</v>
      </c>
      <c r="Q76" s="37">
        <f t="shared" si="18"/>
        <v>32.450000000000003</v>
      </c>
    </row>
    <row r="77" spans="1:17" ht="15" customHeight="1" x14ac:dyDescent="0.25">
      <c r="A77" s="58">
        <v>57</v>
      </c>
      <c r="B77" s="37">
        <f t="shared" si="3"/>
        <v>56.5</v>
      </c>
      <c r="C77" s="37">
        <f t="shared" si="4"/>
        <v>33.371428571428574</v>
      </c>
      <c r="D77" s="37">
        <f t="shared" si="5"/>
        <v>11.942857142857143</v>
      </c>
      <c r="E77" s="37" t="str">
        <f t="shared" si="6"/>
        <v/>
      </c>
      <c r="F77" s="37" t="str">
        <f t="shared" si="7"/>
        <v/>
      </c>
      <c r="G77" s="37" t="str">
        <f t="shared" si="8"/>
        <v/>
      </c>
      <c r="H77" s="37" t="str">
        <f t="shared" si="9"/>
        <v/>
      </c>
      <c r="I77" s="37">
        <f t="shared" si="10"/>
        <v>91.080357142857153</v>
      </c>
      <c r="J77" s="37">
        <f t="shared" si="11"/>
        <v>48.223214285714292</v>
      </c>
      <c r="K77" s="37" t="str">
        <f t="shared" si="12"/>
        <v/>
      </c>
      <c r="L77" s="37" t="str">
        <f t="shared" si="13"/>
        <v/>
      </c>
      <c r="M77" s="37" t="str">
        <f t="shared" si="14"/>
        <v/>
      </c>
      <c r="N77" s="37" t="str">
        <f t="shared" si="15"/>
        <v/>
      </c>
      <c r="O77" s="37">
        <f t="shared" si="16"/>
        <v>48.223214285714292</v>
      </c>
      <c r="P77" s="37">
        <f t="shared" si="17"/>
        <v>11.942857142857143</v>
      </c>
      <c r="Q77" s="37">
        <f t="shared" si="18"/>
        <v>32.450000000000003</v>
      </c>
    </row>
    <row r="78" spans="1:17" ht="15" customHeight="1" x14ac:dyDescent="0.25">
      <c r="A78" s="58">
        <v>58</v>
      </c>
      <c r="B78" s="37">
        <f t="shared" si="3"/>
        <v>57.5</v>
      </c>
      <c r="C78" s="37">
        <f t="shared" si="4"/>
        <v>34.085714285714282</v>
      </c>
      <c r="D78" s="37">
        <f t="shared" si="5"/>
        <v>12.657142857142858</v>
      </c>
      <c r="E78" s="37" t="str">
        <f t="shared" si="6"/>
        <v/>
      </c>
      <c r="F78" s="37" t="str">
        <f t="shared" si="7"/>
        <v/>
      </c>
      <c r="G78" s="37" t="str">
        <f t="shared" si="8"/>
        <v/>
      </c>
      <c r="H78" s="37" t="str">
        <f t="shared" si="9"/>
        <v/>
      </c>
      <c r="I78" s="37">
        <f t="shared" si="10"/>
        <v>92.508928571428569</v>
      </c>
      <c r="J78" s="37">
        <f t="shared" si="11"/>
        <v>49.651785714285722</v>
      </c>
      <c r="K78" s="37" t="str">
        <f t="shared" si="12"/>
        <v/>
      </c>
      <c r="L78" s="37" t="str">
        <f t="shared" si="13"/>
        <v/>
      </c>
      <c r="M78" s="37" t="str">
        <f t="shared" si="14"/>
        <v/>
      </c>
      <c r="N78" s="37" t="str">
        <f t="shared" si="15"/>
        <v/>
      </c>
      <c r="O78" s="37">
        <f t="shared" si="16"/>
        <v>49.651785714285722</v>
      </c>
      <c r="P78" s="37">
        <f t="shared" si="17"/>
        <v>12.657142857142858</v>
      </c>
      <c r="Q78" s="37">
        <f t="shared" si="18"/>
        <v>32.450000000000003</v>
      </c>
    </row>
    <row r="79" spans="1:17" ht="15" customHeight="1" x14ac:dyDescent="0.25">
      <c r="A79" s="58">
        <v>59</v>
      </c>
      <c r="B79" s="37">
        <f t="shared" si="3"/>
        <v>58.5</v>
      </c>
      <c r="C79" s="37">
        <f t="shared" si="4"/>
        <v>34.799999999999997</v>
      </c>
      <c r="D79" s="37">
        <f t="shared" si="5"/>
        <v>13.371428571428574</v>
      </c>
      <c r="E79" s="37" t="str">
        <f t="shared" si="6"/>
        <v/>
      </c>
      <c r="F79" s="37" t="str">
        <f t="shared" si="7"/>
        <v/>
      </c>
      <c r="G79" s="37" t="str">
        <f t="shared" si="8"/>
        <v/>
      </c>
      <c r="H79" s="37" t="str">
        <f t="shared" si="9"/>
        <v/>
      </c>
      <c r="I79" s="37">
        <f t="shared" si="10"/>
        <v>93.9375</v>
      </c>
      <c r="J79" s="37">
        <f t="shared" si="11"/>
        <v>51.080357142857153</v>
      </c>
      <c r="K79" s="37" t="str">
        <f t="shared" si="12"/>
        <v/>
      </c>
      <c r="L79" s="37" t="str">
        <f t="shared" si="13"/>
        <v/>
      </c>
      <c r="M79" s="37" t="str">
        <f t="shared" si="14"/>
        <v/>
      </c>
      <c r="N79" s="37" t="str">
        <f t="shared" si="15"/>
        <v/>
      </c>
      <c r="O79" s="37">
        <f t="shared" si="16"/>
        <v>51.080357142857153</v>
      </c>
      <c r="P79" s="37">
        <f t="shared" si="17"/>
        <v>13.371428571428574</v>
      </c>
      <c r="Q79" s="37">
        <f t="shared" si="18"/>
        <v>32.450000000000003</v>
      </c>
    </row>
    <row r="80" spans="1:17" ht="15" customHeight="1" x14ac:dyDescent="0.25">
      <c r="A80" s="58">
        <v>60</v>
      </c>
      <c r="B80" s="37">
        <f t="shared" si="3"/>
        <v>59.5</v>
      </c>
      <c r="C80" s="37">
        <f t="shared" si="4"/>
        <v>35.514285714285712</v>
      </c>
      <c r="D80" s="37">
        <f t="shared" si="5"/>
        <v>14.085714285714285</v>
      </c>
      <c r="E80" s="37" t="str">
        <f t="shared" si="6"/>
        <v/>
      </c>
      <c r="F80" s="37" t="str">
        <f t="shared" si="7"/>
        <v/>
      </c>
      <c r="G80" s="37" t="str">
        <f t="shared" si="8"/>
        <v/>
      </c>
      <c r="H80" s="37" t="str">
        <f t="shared" si="9"/>
        <v/>
      </c>
      <c r="I80" s="37">
        <f t="shared" si="10"/>
        <v>95.366071428571431</v>
      </c>
      <c r="J80" s="37">
        <f t="shared" si="11"/>
        <v>52.508928571428569</v>
      </c>
      <c r="K80" s="37" t="str">
        <f t="shared" si="12"/>
        <v/>
      </c>
      <c r="L80" s="37" t="str">
        <f t="shared" si="13"/>
        <v/>
      </c>
      <c r="M80" s="37" t="str">
        <f t="shared" si="14"/>
        <v/>
      </c>
      <c r="N80" s="37" t="str">
        <f t="shared" si="15"/>
        <v/>
      </c>
      <c r="O80" s="37">
        <f t="shared" si="16"/>
        <v>52.508928571428569</v>
      </c>
      <c r="P80" s="37">
        <f t="shared" si="17"/>
        <v>14.085714285714285</v>
      </c>
      <c r="Q80" s="37">
        <f t="shared" si="18"/>
        <v>32.450000000000003</v>
      </c>
    </row>
    <row r="81" spans="1:17" ht="15" customHeight="1" x14ac:dyDescent="0.25">
      <c r="A81" s="58">
        <v>61</v>
      </c>
      <c r="B81" s="37">
        <f t="shared" si="3"/>
        <v>60.5</v>
      </c>
      <c r="C81" s="37" t="str">
        <f t="shared" si="4"/>
        <v/>
      </c>
      <c r="D81" s="37" t="str">
        <f t="shared" si="5"/>
        <v/>
      </c>
      <c r="E81" s="37" t="str">
        <f t="shared" si="6"/>
        <v/>
      </c>
      <c r="F81" s="37" t="str">
        <f t="shared" si="7"/>
        <v/>
      </c>
      <c r="G81" s="37" t="str">
        <f t="shared" si="8"/>
        <v/>
      </c>
      <c r="H81" s="37" t="str">
        <f t="shared" si="9"/>
        <v/>
      </c>
      <c r="I81" s="37" t="str">
        <f t="shared" si="10"/>
        <v/>
      </c>
      <c r="J81" s="37" t="str">
        <f t="shared" si="11"/>
        <v/>
      </c>
      <c r="K81" s="37" t="str">
        <f t="shared" si="12"/>
        <v/>
      </c>
      <c r="L81" s="37" t="str">
        <f t="shared" si="13"/>
        <v/>
      </c>
      <c r="M81" s="37" t="str">
        <f t="shared" si="14"/>
        <v/>
      </c>
      <c r="N81" s="37" t="str">
        <f t="shared" si="15"/>
        <v/>
      </c>
      <c r="O81" s="37" t="str">
        <f t="shared" si="16"/>
        <v/>
      </c>
      <c r="P81" s="37" t="str">
        <f t="shared" si="17"/>
        <v/>
      </c>
      <c r="Q81" s="37" t="str">
        <f t="shared" si="18"/>
        <v/>
      </c>
    </row>
    <row r="82" spans="1:17" ht="15" customHeight="1" x14ac:dyDescent="0.25">
      <c r="A82" s="58">
        <v>62</v>
      </c>
      <c r="B82" s="37">
        <f t="shared" si="3"/>
        <v>61.5</v>
      </c>
      <c r="C82" s="37" t="str">
        <f t="shared" si="4"/>
        <v/>
      </c>
      <c r="D82" s="37" t="str">
        <f t="shared" si="5"/>
        <v/>
      </c>
      <c r="E82" s="37" t="str">
        <f t="shared" si="6"/>
        <v/>
      </c>
      <c r="F82" s="37" t="str">
        <f t="shared" si="7"/>
        <v/>
      </c>
      <c r="G82" s="37" t="str">
        <f t="shared" si="8"/>
        <v/>
      </c>
      <c r="H82" s="37" t="str">
        <f t="shared" si="9"/>
        <v/>
      </c>
      <c r="I82" s="37" t="str">
        <f t="shared" si="10"/>
        <v/>
      </c>
      <c r="J82" s="37" t="str">
        <f t="shared" si="11"/>
        <v/>
      </c>
      <c r="K82" s="37" t="str">
        <f t="shared" si="12"/>
        <v/>
      </c>
      <c r="L82" s="37" t="str">
        <f t="shared" si="13"/>
        <v/>
      </c>
      <c r="M82" s="37" t="str">
        <f t="shared" si="14"/>
        <v/>
      </c>
      <c r="N82" s="37" t="str">
        <f t="shared" si="15"/>
        <v/>
      </c>
      <c r="O82" s="37" t="str">
        <f t="shared" si="16"/>
        <v/>
      </c>
      <c r="P82" s="37" t="str">
        <f t="shared" si="17"/>
        <v/>
      </c>
      <c r="Q82" s="37" t="str">
        <f t="shared" si="18"/>
        <v/>
      </c>
    </row>
    <row r="83" spans="1:17" ht="15" customHeight="1" x14ac:dyDescent="0.25">
      <c r="A83" s="58">
        <v>63</v>
      </c>
      <c r="B83" s="37">
        <f t="shared" si="3"/>
        <v>62.5</v>
      </c>
      <c r="C83" s="37" t="str">
        <f t="shared" si="4"/>
        <v/>
      </c>
      <c r="D83" s="37" t="str">
        <f t="shared" si="5"/>
        <v/>
      </c>
      <c r="E83" s="37" t="str">
        <f t="shared" si="6"/>
        <v/>
      </c>
      <c r="F83" s="37" t="str">
        <f t="shared" si="7"/>
        <v/>
      </c>
      <c r="G83" s="37" t="str">
        <f t="shared" si="8"/>
        <v/>
      </c>
      <c r="H83" s="37" t="str">
        <f t="shared" si="9"/>
        <v/>
      </c>
      <c r="I83" s="37" t="str">
        <f t="shared" si="10"/>
        <v/>
      </c>
      <c r="J83" s="37" t="str">
        <f t="shared" si="11"/>
        <v/>
      </c>
      <c r="K83" s="37" t="str">
        <f t="shared" si="12"/>
        <v/>
      </c>
      <c r="L83" s="37" t="str">
        <f t="shared" si="13"/>
        <v/>
      </c>
      <c r="M83" s="37" t="str">
        <f t="shared" si="14"/>
        <v/>
      </c>
      <c r="N83" s="37" t="str">
        <f t="shared" si="15"/>
        <v/>
      </c>
      <c r="O83" s="37" t="str">
        <f t="shared" si="16"/>
        <v/>
      </c>
      <c r="P83" s="37" t="str">
        <f t="shared" si="17"/>
        <v/>
      </c>
      <c r="Q83" s="37" t="str">
        <f t="shared" si="18"/>
        <v/>
      </c>
    </row>
    <row r="84" spans="1:17" ht="15" customHeight="1" x14ac:dyDescent="0.25">
      <c r="A84" s="58">
        <v>64</v>
      </c>
      <c r="B84" s="37">
        <f t="shared" si="3"/>
        <v>63.5</v>
      </c>
      <c r="C84" s="37" t="str">
        <f t="shared" si="4"/>
        <v/>
      </c>
      <c r="D84" s="37" t="str">
        <f t="shared" si="5"/>
        <v/>
      </c>
      <c r="E84" s="37" t="str">
        <f t="shared" si="6"/>
        <v/>
      </c>
      <c r="F84" s="37" t="str">
        <f t="shared" si="7"/>
        <v/>
      </c>
      <c r="G84" s="37" t="str">
        <f t="shared" si="8"/>
        <v/>
      </c>
      <c r="H84" s="37" t="str">
        <f t="shared" si="9"/>
        <v/>
      </c>
      <c r="I84" s="37" t="str">
        <f t="shared" si="10"/>
        <v/>
      </c>
      <c r="J84" s="37" t="str">
        <f t="shared" si="11"/>
        <v/>
      </c>
      <c r="K84" s="37" t="str">
        <f t="shared" si="12"/>
        <v/>
      </c>
      <c r="L84" s="37" t="str">
        <f t="shared" si="13"/>
        <v/>
      </c>
      <c r="M84" s="37" t="str">
        <f t="shared" si="14"/>
        <v/>
      </c>
      <c r="N84" s="37" t="str">
        <f t="shared" si="15"/>
        <v/>
      </c>
      <c r="O84" s="37" t="str">
        <f t="shared" si="16"/>
        <v/>
      </c>
      <c r="P84" s="37" t="str">
        <f t="shared" si="17"/>
        <v/>
      </c>
      <c r="Q84" s="37" t="str">
        <f t="shared" si="18"/>
        <v/>
      </c>
    </row>
    <row r="85" spans="1:17" ht="15" customHeight="1" x14ac:dyDescent="0.25">
      <c r="A85" s="58">
        <v>65</v>
      </c>
      <c r="B85" s="37">
        <f t="shared" ref="B85:B148" si="19">(A85-0.5)*u_w</f>
        <v>64.5</v>
      </c>
      <c r="C85" s="37" t="str">
        <f t="shared" ref="C85:C148" si="20">IF(OR(A85&gt;NL_b,$B$12=""),"",IF((ABS(B85-$B$12)+lane_off)&lt;=0,0,IF((ABS(B85-$B$12)+lane_off)&gt;=v_sh^2/a_sh,(ABS(B85-$B$12)+lane_off)/v_sh+v_sh/a_sh,2*SQRT((ABS(B85-$B$12)+lane_off)/a_sh))))</f>
        <v/>
      </c>
      <c r="D85" s="37" t="str">
        <f t="shared" ref="D85:D148" si="21">IF(OR(A85&gt;NL_b,$B$13=""),"",IF((ABS(B85-$B$13)+lane_off)&lt;=0,0,IF((ABS(B85-$B$13)+lane_off)&gt;=v_sh^2/a_sh,(ABS(B85-$B$13)+lane_off)/v_sh+v_sh/a_sh,2*SQRT((ABS(B85-$B$13)+lane_off)/a_sh))))</f>
        <v/>
      </c>
      <c r="E85" s="37" t="str">
        <f t="shared" ref="E85:E148" si="22">IF(OR(A85&gt;NL_b,$B$14=""),"",IF((ABS(B85-$B$14)+lane_off)&lt;=0,0,IF((ABS(B85-$B$14)+lane_off)&gt;=v_sh^2/a_sh,(ABS(B85-$B$14)+lane_off)/v_sh+v_sh/a_sh,2*SQRT((ABS(B85-$B$14)+lane_off)/a_sh))))</f>
        <v/>
      </c>
      <c r="F85" s="37" t="str">
        <f t="shared" ref="F85:F148" si="23">IF(OR(A85&gt;NL_b,$B$15=""),"",IF((ABS(B85-$B$15)+lane_off)&lt;=0,0,IF((ABS(B85-$B$15)+lane_off)&gt;=v_sh^2/a_sh,(ABS(B85-$B$15)+lane_off)/v_sh+v_sh/a_sh,2*SQRT((ABS(B85-$B$15)+lane_off)/a_sh))))</f>
        <v/>
      </c>
      <c r="G85" s="37" t="str">
        <f t="shared" ref="G85:G148" si="24">IF(OR(A85&gt;NL_b,$B$16=""),"",IF((ABS(B85-$B$16)+lane_off)&lt;=0,0,IF((ABS(B85-$B$16)+lane_off)&gt;=v_sh^2/a_sh,(ABS(B85-$B$16)+lane_off)/v_sh+v_sh/a_sh,2*SQRT((ABS(B85-$B$16)+lane_off)/a_sh))))</f>
        <v/>
      </c>
      <c r="H85" s="37" t="str">
        <f t="shared" ref="H85:H148" si="25">IF(OR(A85&gt;NL_b,$B$17=""),"",IF((ABS(B85-$B$17)+lane_off)&lt;=0,0,IF((ABS(B85-$B$17)+lane_off)&gt;=v_sh^2/a_sh,(ABS(B85-$B$17)+lane_off)/v_sh+v_sh/a_sh,2*SQRT((ABS(B85-$B$17)+lane_off)/a_sh))))</f>
        <v/>
      </c>
      <c r="I85" s="37" t="str">
        <f t="shared" ref="I85:I148" si="26">IF(C85="","",2*C85+w_conv*$D$12/v_conv)</f>
        <v/>
      </c>
      <c r="J85" s="37" t="str">
        <f t="shared" ref="J85:J148" si="27">IF(D85="","",2*D85+w_conv*$D$13/v_conv)</f>
        <v/>
      </c>
      <c r="K85" s="37" t="str">
        <f t="shared" ref="K85:K148" si="28">IF(E85="","",2*E85+w_conv*$D$14/v_conv)</f>
        <v/>
      </c>
      <c r="L85" s="37" t="str">
        <f t="shared" ref="L85:L148" si="29">IF(F85="","",2*F85+w_conv*$D$15/v_conv)</f>
        <v/>
      </c>
      <c r="M85" s="37" t="str">
        <f t="shared" ref="M85:M148" si="30">IF(G85="","",2*G85+w_conv*$D$16/v_conv)</f>
        <v/>
      </c>
      <c r="N85" s="37" t="str">
        <f t="shared" ref="N85:N148" si="31">IF(H85="","",2*H85+w_conv*$D$17/v_conv)</f>
        <v/>
      </c>
      <c r="O85" s="37" t="str">
        <f t="shared" ref="O85:O148" si="32">IF(A85&gt;NL_b,"",MIN(I85:N85))</f>
        <v/>
      </c>
      <c r="P85" s="37" t="str">
        <f t="shared" ref="P85:P148" si="33">IF(O85="","",INDEX(C85:H85,MATCH(O85,I85:N85,0)))</f>
        <v/>
      </c>
      <c r="Q85" s="37" t="str">
        <f t="shared" ref="Q85:Q148" si="34">IF(O85="","",INDEX($D$12:$D$17,MATCH(O85,I85:N85,0)))</f>
        <v/>
      </c>
    </row>
    <row r="86" spans="1:17" ht="15" customHeight="1" x14ac:dyDescent="0.25">
      <c r="A86" s="58">
        <v>66</v>
      </c>
      <c r="B86" s="37">
        <f t="shared" si="19"/>
        <v>65.5</v>
      </c>
      <c r="C86" s="37" t="str">
        <f t="shared" si="20"/>
        <v/>
      </c>
      <c r="D86" s="37" t="str">
        <f t="shared" si="21"/>
        <v/>
      </c>
      <c r="E86" s="37" t="str">
        <f t="shared" si="22"/>
        <v/>
      </c>
      <c r="F86" s="37" t="str">
        <f t="shared" si="23"/>
        <v/>
      </c>
      <c r="G86" s="37" t="str">
        <f t="shared" si="24"/>
        <v/>
      </c>
      <c r="H86" s="37" t="str">
        <f t="shared" si="25"/>
        <v/>
      </c>
      <c r="I86" s="37" t="str">
        <f t="shared" si="26"/>
        <v/>
      </c>
      <c r="J86" s="37" t="str">
        <f t="shared" si="27"/>
        <v/>
      </c>
      <c r="K86" s="37" t="str">
        <f t="shared" si="28"/>
        <v/>
      </c>
      <c r="L86" s="37" t="str">
        <f t="shared" si="29"/>
        <v/>
      </c>
      <c r="M86" s="37" t="str">
        <f t="shared" si="30"/>
        <v/>
      </c>
      <c r="N86" s="37" t="str">
        <f t="shared" si="31"/>
        <v/>
      </c>
      <c r="O86" s="37" t="str">
        <f t="shared" si="32"/>
        <v/>
      </c>
      <c r="P86" s="37" t="str">
        <f t="shared" si="33"/>
        <v/>
      </c>
      <c r="Q86" s="37" t="str">
        <f t="shared" si="34"/>
        <v/>
      </c>
    </row>
    <row r="87" spans="1:17" ht="15" customHeight="1" x14ac:dyDescent="0.25">
      <c r="A87" s="58">
        <v>67</v>
      </c>
      <c r="B87" s="37">
        <f t="shared" si="19"/>
        <v>66.5</v>
      </c>
      <c r="C87" s="37" t="str">
        <f t="shared" si="20"/>
        <v/>
      </c>
      <c r="D87" s="37" t="str">
        <f t="shared" si="21"/>
        <v/>
      </c>
      <c r="E87" s="37" t="str">
        <f t="shared" si="22"/>
        <v/>
      </c>
      <c r="F87" s="37" t="str">
        <f t="shared" si="23"/>
        <v/>
      </c>
      <c r="G87" s="37" t="str">
        <f t="shared" si="24"/>
        <v/>
      </c>
      <c r="H87" s="37" t="str">
        <f t="shared" si="25"/>
        <v/>
      </c>
      <c r="I87" s="37" t="str">
        <f t="shared" si="26"/>
        <v/>
      </c>
      <c r="J87" s="37" t="str">
        <f t="shared" si="27"/>
        <v/>
      </c>
      <c r="K87" s="37" t="str">
        <f t="shared" si="28"/>
        <v/>
      </c>
      <c r="L87" s="37" t="str">
        <f t="shared" si="29"/>
        <v/>
      </c>
      <c r="M87" s="37" t="str">
        <f t="shared" si="30"/>
        <v/>
      </c>
      <c r="N87" s="37" t="str">
        <f t="shared" si="31"/>
        <v/>
      </c>
      <c r="O87" s="37" t="str">
        <f t="shared" si="32"/>
        <v/>
      </c>
      <c r="P87" s="37" t="str">
        <f t="shared" si="33"/>
        <v/>
      </c>
      <c r="Q87" s="37" t="str">
        <f t="shared" si="34"/>
        <v/>
      </c>
    </row>
    <row r="88" spans="1:17" ht="15" customHeight="1" x14ac:dyDescent="0.25">
      <c r="A88" s="58">
        <v>68</v>
      </c>
      <c r="B88" s="37">
        <f t="shared" si="19"/>
        <v>67.5</v>
      </c>
      <c r="C88" s="37" t="str">
        <f t="shared" si="20"/>
        <v/>
      </c>
      <c r="D88" s="37" t="str">
        <f t="shared" si="21"/>
        <v/>
      </c>
      <c r="E88" s="37" t="str">
        <f t="shared" si="22"/>
        <v/>
      </c>
      <c r="F88" s="37" t="str">
        <f t="shared" si="23"/>
        <v/>
      </c>
      <c r="G88" s="37" t="str">
        <f t="shared" si="24"/>
        <v/>
      </c>
      <c r="H88" s="37" t="str">
        <f t="shared" si="25"/>
        <v/>
      </c>
      <c r="I88" s="37" t="str">
        <f t="shared" si="26"/>
        <v/>
      </c>
      <c r="J88" s="37" t="str">
        <f t="shared" si="27"/>
        <v/>
      </c>
      <c r="K88" s="37" t="str">
        <f t="shared" si="28"/>
        <v/>
      </c>
      <c r="L88" s="37" t="str">
        <f t="shared" si="29"/>
        <v/>
      </c>
      <c r="M88" s="37" t="str">
        <f t="shared" si="30"/>
        <v/>
      </c>
      <c r="N88" s="37" t="str">
        <f t="shared" si="31"/>
        <v/>
      </c>
      <c r="O88" s="37" t="str">
        <f t="shared" si="32"/>
        <v/>
      </c>
      <c r="P88" s="37" t="str">
        <f t="shared" si="33"/>
        <v/>
      </c>
      <c r="Q88" s="37" t="str">
        <f t="shared" si="34"/>
        <v/>
      </c>
    </row>
    <row r="89" spans="1:17" ht="15" customHeight="1" x14ac:dyDescent="0.25">
      <c r="A89" s="58">
        <v>69</v>
      </c>
      <c r="B89" s="37">
        <f t="shared" si="19"/>
        <v>68.5</v>
      </c>
      <c r="C89" s="37" t="str">
        <f t="shared" si="20"/>
        <v/>
      </c>
      <c r="D89" s="37" t="str">
        <f t="shared" si="21"/>
        <v/>
      </c>
      <c r="E89" s="37" t="str">
        <f t="shared" si="22"/>
        <v/>
      </c>
      <c r="F89" s="37" t="str">
        <f t="shared" si="23"/>
        <v/>
      </c>
      <c r="G89" s="37" t="str">
        <f t="shared" si="24"/>
        <v/>
      </c>
      <c r="H89" s="37" t="str">
        <f t="shared" si="25"/>
        <v/>
      </c>
      <c r="I89" s="37" t="str">
        <f t="shared" si="26"/>
        <v/>
      </c>
      <c r="J89" s="37" t="str">
        <f t="shared" si="27"/>
        <v/>
      </c>
      <c r="K89" s="37" t="str">
        <f t="shared" si="28"/>
        <v/>
      </c>
      <c r="L89" s="37" t="str">
        <f t="shared" si="29"/>
        <v/>
      </c>
      <c r="M89" s="37" t="str">
        <f t="shared" si="30"/>
        <v/>
      </c>
      <c r="N89" s="37" t="str">
        <f t="shared" si="31"/>
        <v/>
      </c>
      <c r="O89" s="37" t="str">
        <f t="shared" si="32"/>
        <v/>
      </c>
      <c r="P89" s="37" t="str">
        <f t="shared" si="33"/>
        <v/>
      </c>
      <c r="Q89" s="37" t="str">
        <f t="shared" si="34"/>
        <v/>
      </c>
    </row>
    <row r="90" spans="1:17" ht="15" customHeight="1" x14ac:dyDescent="0.25">
      <c r="A90" s="58">
        <v>70</v>
      </c>
      <c r="B90" s="37">
        <f t="shared" si="19"/>
        <v>69.5</v>
      </c>
      <c r="C90" s="37" t="str">
        <f t="shared" si="20"/>
        <v/>
      </c>
      <c r="D90" s="37" t="str">
        <f t="shared" si="21"/>
        <v/>
      </c>
      <c r="E90" s="37" t="str">
        <f t="shared" si="22"/>
        <v/>
      </c>
      <c r="F90" s="37" t="str">
        <f t="shared" si="23"/>
        <v/>
      </c>
      <c r="G90" s="37" t="str">
        <f t="shared" si="24"/>
        <v/>
      </c>
      <c r="H90" s="37" t="str">
        <f t="shared" si="25"/>
        <v/>
      </c>
      <c r="I90" s="37" t="str">
        <f t="shared" si="26"/>
        <v/>
      </c>
      <c r="J90" s="37" t="str">
        <f t="shared" si="27"/>
        <v/>
      </c>
      <c r="K90" s="37" t="str">
        <f t="shared" si="28"/>
        <v/>
      </c>
      <c r="L90" s="37" t="str">
        <f t="shared" si="29"/>
        <v/>
      </c>
      <c r="M90" s="37" t="str">
        <f t="shared" si="30"/>
        <v/>
      </c>
      <c r="N90" s="37" t="str">
        <f t="shared" si="31"/>
        <v/>
      </c>
      <c r="O90" s="37" t="str">
        <f t="shared" si="32"/>
        <v/>
      </c>
      <c r="P90" s="37" t="str">
        <f t="shared" si="33"/>
        <v/>
      </c>
      <c r="Q90" s="37" t="str">
        <f t="shared" si="34"/>
        <v/>
      </c>
    </row>
    <row r="91" spans="1:17" ht="15" customHeight="1" x14ac:dyDescent="0.25">
      <c r="A91" s="58">
        <v>71</v>
      </c>
      <c r="B91" s="37">
        <f t="shared" si="19"/>
        <v>70.5</v>
      </c>
      <c r="C91" s="37" t="str">
        <f t="shared" si="20"/>
        <v/>
      </c>
      <c r="D91" s="37" t="str">
        <f t="shared" si="21"/>
        <v/>
      </c>
      <c r="E91" s="37" t="str">
        <f t="shared" si="22"/>
        <v/>
      </c>
      <c r="F91" s="37" t="str">
        <f t="shared" si="23"/>
        <v/>
      </c>
      <c r="G91" s="37" t="str">
        <f t="shared" si="24"/>
        <v/>
      </c>
      <c r="H91" s="37" t="str">
        <f t="shared" si="25"/>
        <v/>
      </c>
      <c r="I91" s="37" t="str">
        <f t="shared" si="26"/>
        <v/>
      </c>
      <c r="J91" s="37" t="str">
        <f t="shared" si="27"/>
        <v/>
      </c>
      <c r="K91" s="37" t="str">
        <f t="shared" si="28"/>
        <v/>
      </c>
      <c r="L91" s="37" t="str">
        <f t="shared" si="29"/>
        <v/>
      </c>
      <c r="M91" s="37" t="str">
        <f t="shared" si="30"/>
        <v/>
      </c>
      <c r="N91" s="37" t="str">
        <f t="shared" si="31"/>
        <v/>
      </c>
      <c r="O91" s="37" t="str">
        <f t="shared" si="32"/>
        <v/>
      </c>
      <c r="P91" s="37" t="str">
        <f t="shared" si="33"/>
        <v/>
      </c>
      <c r="Q91" s="37" t="str">
        <f t="shared" si="34"/>
        <v/>
      </c>
    </row>
    <row r="92" spans="1:17" ht="15" customHeight="1" x14ac:dyDescent="0.25">
      <c r="A92" s="58">
        <v>72</v>
      </c>
      <c r="B92" s="37">
        <f t="shared" si="19"/>
        <v>71.5</v>
      </c>
      <c r="C92" s="37" t="str">
        <f t="shared" si="20"/>
        <v/>
      </c>
      <c r="D92" s="37" t="str">
        <f t="shared" si="21"/>
        <v/>
      </c>
      <c r="E92" s="37" t="str">
        <f t="shared" si="22"/>
        <v/>
      </c>
      <c r="F92" s="37" t="str">
        <f t="shared" si="23"/>
        <v/>
      </c>
      <c r="G92" s="37" t="str">
        <f t="shared" si="24"/>
        <v/>
      </c>
      <c r="H92" s="37" t="str">
        <f t="shared" si="25"/>
        <v/>
      </c>
      <c r="I92" s="37" t="str">
        <f t="shared" si="26"/>
        <v/>
      </c>
      <c r="J92" s="37" t="str">
        <f t="shared" si="27"/>
        <v/>
      </c>
      <c r="K92" s="37" t="str">
        <f t="shared" si="28"/>
        <v/>
      </c>
      <c r="L92" s="37" t="str">
        <f t="shared" si="29"/>
        <v/>
      </c>
      <c r="M92" s="37" t="str">
        <f t="shared" si="30"/>
        <v/>
      </c>
      <c r="N92" s="37" t="str">
        <f t="shared" si="31"/>
        <v/>
      </c>
      <c r="O92" s="37" t="str">
        <f t="shared" si="32"/>
        <v/>
      </c>
      <c r="P92" s="37" t="str">
        <f t="shared" si="33"/>
        <v/>
      </c>
      <c r="Q92" s="37" t="str">
        <f t="shared" si="34"/>
        <v/>
      </c>
    </row>
    <row r="93" spans="1:17" ht="15" customHeight="1" x14ac:dyDescent="0.25">
      <c r="A93" s="58">
        <v>73</v>
      </c>
      <c r="B93" s="37">
        <f t="shared" si="19"/>
        <v>72.5</v>
      </c>
      <c r="C93" s="37" t="str">
        <f t="shared" si="20"/>
        <v/>
      </c>
      <c r="D93" s="37" t="str">
        <f t="shared" si="21"/>
        <v/>
      </c>
      <c r="E93" s="37" t="str">
        <f t="shared" si="22"/>
        <v/>
      </c>
      <c r="F93" s="37" t="str">
        <f t="shared" si="23"/>
        <v/>
      </c>
      <c r="G93" s="37" t="str">
        <f t="shared" si="24"/>
        <v/>
      </c>
      <c r="H93" s="37" t="str">
        <f t="shared" si="25"/>
        <v/>
      </c>
      <c r="I93" s="37" t="str">
        <f t="shared" si="26"/>
        <v/>
      </c>
      <c r="J93" s="37" t="str">
        <f t="shared" si="27"/>
        <v/>
      </c>
      <c r="K93" s="37" t="str">
        <f t="shared" si="28"/>
        <v/>
      </c>
      <c r="L93" s="37" t="str">
        <f t="shared" si="29"/>
        <v/>
      </c>
      <c r="M93" s="37" t="str">
        <f t="shared" si="30"/>
        <v/>
      </c>
      <c r="N93" s="37" t="str">
        <f t="shared" si="31"/>
        <v/>
      </c>
      <c r="O93" s="37" t="str">
        <f t="shared" si="32"/>
        <v/>
      </c>
      <c r="P93" s="37" t="str">
        <f t="shared" si="33"/>
        <v/>
      </c>
      <c r="Q93" s="37" t="str">
        <f t="shared" si="34"/>
        <v/>
      </c>
    </row>
    <row r="94" spans="1:17" ht="15" customHeight="1" x14ac:dyDescent="0.25">
      <c r="A94" s="58">
        <v>74</v>
      </c>
      <c r="B94" s="37">
        <f t="shared" si="19"/>
        <v>73.5</v>
      </c>
      <c r="C94" s="37" t="str">
        <f t="shared" si="20"/>
        <v/>
      </c>
      <c r="D94" s="37" t="str">
        <f t="shared" si="21"/>
        <v/>
      </c>
      <c r="E94" s="37" t="str">
        <f t="shared" si="22"/>
        <v/>
      </c>
      <c r="F94" s="37" t="str">
        <f t="shared" si="23"/>
        <v/>
      </c>
      <c r="G94" s="37" t="str">
        <f t="shared" si="24"/>
        <v/>
      </c>
      <c r="H94" s="37" t="str">
        <f t="shared" si="25"/>
        <v/>
      </c>
      <c r="I94" s="37" t="str">
        <f t="shared" si="26"/>
        <v/>
      </c>
      <c r="J94" s="37" t="str">
        <f t="shared" si="27"/>
        <v/>
      </c>
      <c r="K94" s="37" t="str">
        <f t="shared" si="28"/>
        <v/>
      </c>
      <c r="L94" s="37" t="str">
        <f t="shared" si="29"/>
        <v/>
      </c>
      <c r="M94" s="37" t="str">
        <f t="shared" si="30"/>
        <v/>
      </c>
      <c r="N94" s="37" t="str">
        <f t="shared" si="31"/>
        <v/>
      </c>
      <c r="O94" s="37" t="str">
        <f t="shared" si="32"/>
        <v/>
      </c>
      <c r="P94" s="37" t="str">
        <f t="shared" si="33"/>
        <v/>
      </c>
      <c r="Q94" s="37" t="str">
        <f t="shared" si="34"/>
        <v/>
      </c>
    </row>
    <row r="95" spans="1:17" ht="15" customHeight="1" x14ac:dyDescent="0.25">
      <c r="A95" s="58">
        <v>75</v>
      </c>
      <c r="B95" s="37">
        <f t="shared" si="19"/>
        <v>74.5</v>
      </c>
      <c r="C95" s="37" t="str">
        <f t="shared" si="20"/>
        <v/>
      </c>
      <c r="D95" s="37" t="str">
        <f t="shared" si="21"/>
        <v/>
      </c>
      <c r="E95" s="37" t="str">
        <f t="shared" si="22"/>
        <v/>
      </c>
      <c r="F95" s="37" t="str">
        <f t="shared" si="23"/>
        <v/>
      </c>
      <c r="G95" s="37" t="str">
        <f t="shared" si="24"/>
        <v/>
      </c>
      <c r="H95" s="37" t="str">
        <f t="shared" si="25"/>
        <v/>
      </c>
      <c r="I95" s="37" t="str">
        <f t="shared" si="26"/>
        <v/>
      </c>
      <c r="J95" s="37" t="str">
        <f t="shared" si="27"/>
        <v/>
      </c>
      <c r="K95" s="37" t="str">
        <f t="shared" si="28"/>
        <v/>
      </c>
      <c r="L95" s="37" t="str">
        <f t="shared" si="29"/>
        <v/>
      </c>
      <c r="M95" s="37" t="str">
        <f t="shared" si="30"/>
        <v/>
      </c>
      <c r="N95" s="37" t="str">
        <f t="shared" si="31"/>
        <v/>
      </c>
      <c r="O95" s="37" t="str">
        <f t="shared" si="32"/>
        <v/>
      </c>
      <c r="P95" s="37" t="str">
        <f t="shared" si="33"/>
        <v/>
      </c>
      <c r="Q95" s="37" t="str">
        <f t="shared" si="34"/>
        <v/>
      </c>
    </row>
    <row r="96" spans="1:17" ht="15" customHeight="1" x14ac:dyDescent="0.25">
      <c r="A96" s="58">
        <v>76</v>
      </c>
      <c r="B96" s="37">
        <f t="shared" si="19"/>
        <v>75.5</v>
      </c>
      <c r="C96" s="37" t="str">
        <f t="shared" si="20"/>
        <v/>
      </c>
      <c r="D96" s="37" t="str">
        <f t="shared" si="21"/>
        <v/>
      </c>
      <c r="E96" s="37" t="str">
        <f t="shared" si="22"/>
        <v/>
      </c>
      <c r="F96" s="37" t="str">
        <f t="shared" si="23"/>
        <v/>
      </c>
      <c r="G96" s="37" t="str">
        <f t="shared" si="24"/>
        <v/>
      </c>
      <c r="H96" s="37" t="str">
        <f t="shared" si="25"/>
        <v/>
      </c>
      <c r="I96" s="37" t="str">
        <f t="shared" si="26"/>
        <v/>
      </c>
      <c r="J96" s="37" t="str">
        <f t="shared" si="27"/>
        <v/>
      </c>
      <c r="K96" s="37" t="str">
        <f t="shared" si="28"/>
        <v/>
      </c>
      <c r="L96" s="37" t="str">
        <f t="shared" si="29"/>
        <v/>
      </c>
      <c r="M96" s="37" t="str">
        <f t="shared" si="30"/>
        <v/>
      </c>
      <c r="N96" s="37" t="str">
        <f t="shared" si="31"/>
        <v/>
      </c>
      <c r="O96" s="37" t="str">
        <f t="shared" si="32"/>
        <v/>
      </c>
      <c r="P96" s="37" t="str">
        <f t="shared" si="33"/>
        <v/>
      </c>
      <c r="Q96" s="37" t="str">
        <f t="shared" si="34"/>
        <v/>
      </c>
    </row>
    <row r="97" spans="1:17" ht="15" customHeight="1" x14ac:dyDescent="0.25">
      <c r="A97" s="58">
        <v>77</v>
      </c>
      <c r="B97" s="37">
        <f t="shared" si="19"/>
        <v>76.5</v>
      </c>
      <c r="C97" s="37" t="str">
        <f t="shared" si="20"/>
        <v/>
      </c>
      <c r="D97" s="37" t="str">
        <f t="shared" si="21"/>
        <v/>
      </c>
      <c r="E97" s="37" t="str">
        <f t="shared" si="22"/>
        <v/>
      </c>
      <c r="F97" s="37" t="str">
        <f t="shared" si="23"/>
        <v/>
      </c>
      <c r="G97" s="37" t="str">
        <f t="shared" si="24"/>
        <v/>
      </c>
      <c r="H97" s="37" t="str">
        <f t="shared" si="25"/>
        <v/>
      </c>
      <c r="I97" s="37" t="str">
        <f t="shared" si="26"/>
        <v/>
      </c>
      <c r="J97" s="37" t="str">
        <f t="shared" si="27"/>
        <v/>
      </c>
      <c r="K97" s="37" t="str">
        <f t="shared" si="28"/>
        <v/>
      </c>
      <c r="L97" s="37" t="str">
        <f t="shared" si="29"/>
        <v/>
      </c>
      <c r="M97" s="37" t="str">
        <f t="shared" si="30"/>
        <v/>
      </c>
      <c r="N97" s="37" t="str">
        <f t="shared" si="31"/>
        <v/>
      </c>
      <c r="O97" s="37" t="str">
        <f t="shared" si="32"/>
        <v/>
      </c>
      <c r="P97" s="37" t="str">
        <f t="shared" si="33"/>
        <v/>
      </c>
      <c r="Q97" s="37" t="str">
        <f t="shared" si="34"/>
        <v/>
      </c>
    </row>
    <row r="98" spans="1:17" ht="15" customHeight="1" x14ac:dyDescent="0.25">
      <c r="A98" s="58">
        <v>78</v>
      </c>
      <c r="B98" s="37">
        <f t="shared" si="19"/>
        <v>77.5</v>
      </c>
      <c r="C98" s="37" t="str">
        <f t="shared" si="20"/>
        <v/>
      </c>
      <c r="D98" s="37" t="str">
        <f t="shared" si="21"/>
        <v/>
      </c>
      <c r="E98" s="37" t="str">
        <f t="shared" si="22"/>
        <v/>
      </c>
      <c r="F98" s="37" t="str">
        <f t="shared" si="23"/>
        <v/>
      </c>
      <c r="G98" s="37" t="str">
        <f t="shared" si="24"/>
        <v/>
      </c>
      <c r="H98" s="37" t="str">
        <f t="shared" si="25"/>
        <v/>
      </c>
      <c r="I98" s="37" t="str">
        <f t="shared" si="26"/>
        <v/>
      </c>
      <c r="J98" s="37" t="str">
        <f t="shared" si="27"/>
        <v/>
      </c>
      <c r="K98" s="37" t="str">
        <f t="shared" si="28"/>
        <v/>
      </c>
      <c r="L98" s="37" t="str">
        <f t="shared" si="29"/>
        <v/>
      </c>
      <c r="M98" s="37" t="str">
        <f t="shared" si="30"/>
        <v/>
      </c>
      <c r="N98" s="37" t="str">
        <f t="shared" si="31"/>
        <v/>
      </c>
      <c r="O98" s="37" t="str">
        <f t="shared" si="32"/>
        <v/>
      </c>
      <c r="P98" s="37" t="str">
        <f t="shared" si="33"/>
        <v/>
      </c>
      <c r="Q98" s="37" t="str">
        <f t="shared" si="34"/>
        <v/>
      </c>
    </row>
    <row r="99" spans="1:17" ht="15" customHeight="1" x14ac:dyDescent="0.25">
      <c r="A99" s="58">
        <v>79</v>
      </c>
      <c r="B99" s="37">
        <f t="shared" si="19"/>
        <v>78.5</v>
      </c>
      <c r="C99" s="37" t="str">
        <f t="shared" si="20"/>
        <v/>
      </c>
      <c r="D99" s="37" t="str">
        <f t="shared" si="21"/>
        <v/>
      </c>
      <c r="E99" s="37" t="str">
        <f t="shared" si="22"/>
        <v/>
      </c>
      <c r="F99" s="37" t="str">
        <f t="shared" si="23"/>
        <v/>
      </c>
      <c r="G99" s="37" t="str">
        <f t="shared" si="24"/>
        <v/>
      </c>
      <c r="H99" s="37" t="str">
        <f t="shared" si="25"/>
        <v/>
      </c>
      <c r="I99" s="37" t="str">
        <f t="shared" si="26"/>
        <v/>
      </c>
      <c r="J99" s="37" t="str">
        <f t="shared" si="27"/>
        <v/>
      </c>
      <c r="K99" s="37" t="str">
        <f t="shared" si="28"/>
        <v/>
      </c>
      <c r="L99" s="37" t="str">
        <f t="shared" si="29"/>
        <v/>
      </c>
      <c r="M99" s="37" t="str">
        <f t="shared" si="30"/>
        <v/>
      </c>
      <c r="N99" s="37" t="str">
        <f t="shared" si="31"/>
        <v/>
      </c>
      <c r="O99" s="37" t="str">
        <f t="shared" si="32"/>
        <v/>
      </c>
      <c r="P99" s="37" t="str">
        <f t="shared" si="33"/>
        <v/>
      </c>
      <c r="Q99" s="37" t="str">
        <f t="shared" si="34"/>
        <v/>
      </c>
    </row>
    <row r="100" spans="1:17" ht="15" customHeight="1" x14ac:dyDescent="0.25">
      <c r="A100" s="58">
        <v>80</v>
      </c>
      <c r="B100" s="37">
        <f t="shared" si="19"/>
        <v>79.5</v>
      </c>
      <c r="C100" s="37" t="str">
        <f t="shared" si="20"/>
        <v/>
      </c>
      <c r="D100" s="37" t="str">
        <f t="shared" si="21"/>
        <v/>
      </c>
      <c r="E100" s="37" t="str">
        <f t="shared" si="22"/>
        <v/>
      </c>
      <c r="F100" s="37" t="str">
        <f t="shared" si="23"/>
        <v/>
      </c>
      <c r="G100" s="37" t="str">
        <f t="shared" si="24"/>
        <v/>
      </c>
      <c r="H100" s="37" t="str">
        <f t="shared" si="25"/>
        <v/>
      </c>
      <c r="I100" s="37" t="str">
        <f t="shared" si="26"/>
        <v/>
      </c>
      <c r="J100" s="37" t="str">
        <f t="shared" si="27"/>
        <v/>
      </c>
      <c r="K100" s="37" t="str">
        <f t="shared" si="28"/>
        <v/>
      </c>
      <c r="L100" s="37" t="str">
        <f t="shared" si="29"/>
        <v/>
      </c>
      <c r="M100" s="37" t="str">
        <f t="shared" si="30"/>
        <v/>
      </c>
      <c r="N100" s="37" t="str">
        <f t="shared" si="31"/>
        <v/>
      </c>
      <c r="O100" s="37" t="str">
        <f t="shared" si="32"/>
        <v/>
      </c>
      <c r="P100" s="37" t="str">
        <f t="shared" si="33"/>
        <v/>
      </c>
      <c r="Q100" s="37" t="str">
        <f t="shared" si="34"/>
        <v/>
      </c>
    </row>
    <row r="101" spans="1:17" ht="15" customHeight="1" x14ac:dyDescent="0.25">
      <c r="A101" s="58">
        <v>81</v>
      </c>
      <c r="B101" s="37">
        <f t="shared" si="19"/>
        <v>80.5</v>
      </c>
      <c r="C101" s="37" t="str">
        <f t="shared" si="20"/>
        <v/>
      </c>
      <c r="D101" s="37" t="str">
        <f t="shared" si="21"/>
        <v/>
      </c>
      <c r="E101" s="37" t="str">
        <f t="shared" si="22"/>
        <v/>
      </c>
      <c r="F101" s="37" t="str">
        <f t="shared" si="23"/>
        <v/>
      </c>
      <c r="G101" s="37" t="str">
        <f t="shared" si="24"/>
        <v/>
      </c>
      <c r="H101" s="37" t="str">
        <f t="shared" si="25"/>
        <v/>
      </c>
      <c r="I101" s="37" t="str">
        <f t="shared" si="26"/>
        <v/>
      </c>
      <c r="J101" s="37" t="str">
        <f t="shared" si="27"/>
        <v/>
      </c>
      <c r="K101" s="37" t="str">
        <f t="shared" si="28"/>
        <v/>
      </c>
      <c r="L101" s="37" t="str">
        <f t="shared" si="29"/>
        <v/>
      </c>
      <c r="M101" s="37" t="str">
        <f t="shared" si="30"/>
        <v/>
      </c>
      <c r="N101" s="37" t="str">
        <f t="shared" si="31"/>
        <v/>
      </c>
      <c r="O101" s="37" t="str">
        <f t="shared" si="32"/>
        <v/>
      </c>
      <c r="P101" s="37" t="str">
        <f t="shared" si="33"/>
        <v/>
      </c>
      <c r="Q101" s="37" t="str">
        <f t="shared" si="34"/>
        <v/>
      </c>
    </row>
    <row r="102" spans="1:17" ht="15" customHeight="1" x14ac:dyDescent="0.25">
      <c r="A102" s="58">
        <v>82</v>
      </c>
      <c r="B102" s="37">
        <f t="shared" si="19"/>
        <v>81.5</v>
      </c>
      <c r="C102" s="37" t="str">
        <f t="shared" si="20"/>
        <v/>
      </c>
      <c r="D102" s="37" t="str">
        <f t="shared" si="21"/>
        <v/>
      </c>
      <c r="E102" s="37" t="str">
        <f t="shared" si="22"/>
        <v/>
      </c>
      <c r="F102" s="37" t="str">
        <f t="shared" si="23"/>
        <v/>
      </c>
      <c r="G102" s="37" t="str">
        <f t="shared" si="24"/>
        <v/>
      </c>
      <c r="H102" s="37" t="str">
        <f t="shared" si="25"/>
        <v/>
      </c>
      <c r="I102" s="37" t="str">
        <f t="shared" si="26"/>
        <v/>
      </c>
      <c r="J102" s="37" t="str">
        <f t="shared" si="27"/>
        <v/>
      </c>
      <c r="K102" s="37" t="str">
        <f t="shared" si="28"/>
        <v/>
      </c>
      <c r="L102" s="37" t="str">
        <f t="shared" si="29"/>
        <v/>
      </c>
      <c r="M102" s="37" t="str">
        <f t="shared" si="30"/>
        <v/>
      </c>
      <c r="N102" s="37" t="str">
        <f t="shared" si="31"/>
        <v/>
      </c>
      <c r="O102" s="37" t="str">
        <f t="shared" si="32"/>
        <v/>
      </c>
      <c r="P102" s="37" t="str">
        <f t="shared" si="33"/>
        <v/>
      </c>
      <c r="Q102" s="37" t="str">
        <f t="shared" si="34"/>
        <v/>
      </c>
    </row>
    <row r="103" spans="1:17" ht="15" customHeight="1" x14ac:dyDescent="0.25">
      <c r="A103" s="58">
        <v>83</v>
      </c>
      <c r="B103" s="37">
        <f t="shared" si="19"/>
        <v>82.5</v>
      </c>
      <c r="C103" s="37" t="str">
        <f t="shared" si="20"/>
        <v/>
      </c>
      <c r="D103" s="37" t="str">
        <f t="shared" si="21"/>
        <v/>
      </c>
      <c r="E103" s="37" t="str">
        <f t="shared" si="22"/>
        <v/>
      </c>
      <c r="F103" s="37" t="str">
        <f t="shared" si="23"/>
        <v/>
      </c>
      <c r="G103" s="37" t="str">
        <f t="shared" si="24"/>
        <v/>
      </c>
      <c r="H103" s="37" t="str">
        <f t="shared" si="25"/>
        <v/>
      </c>
      <c r="I103" s="37" t="str">
        <f t="shared" si="26"/>
        <v/>
      </c>
      <c r="J103" s="37" t="str">
        <f t="shared" si="27"/>
        <v/>
      </c>
      <c r="K103" s="37" t="str">
        <f t="shared" si="28"/>
        <v/>
      </c>
      <c r="L103" s="37" t="str">
        <f t="shared" si="29"/>
        <v/>
      </c>
      <c r="M103" s="37" t="str">
        <f t="shared" si="30"/>
        <v/>
      </c>
      <c r="N103" s="37" t="str">
        <f t="shared" si="31"/>
        <v/>
      </c>
      <c r="O103" s="37" t="str">
        <f t="shared" si="32"/>
        <v/>
      </c>
      <c r="P103" s="37" t="str">
        <f t="shared" si="33"/>
        <v/>
      </c>
      <c r="Q103" s="37" t="str">
        <f t="shared" si="34"/>
        <v/>
      </c>
    </row>
    <row r="104" spans="1:17" ht="15" customHeight="1" x14ac:dyDescent="0.25">
      <c r="A104" s="58">
        <v>84</v>
      </c>
      <c r="B104" s="37">
        <f t="shared" si="19"/>
        <v>83.5</v>
      </c>
      <c r="C104" s="37" t="str">
        <f t="shared" si="20"/>
        <v/>
      </c>
      <c r="D104" s="37" t="str">
        <f t="shared" si="21"/>
        <v/>
      </c>
      <c r="E104" s="37" t="str">
        <f t="shared" si="22"/>
        <v/>
      </c>
      <c r="F104" s="37" t="str">
        <f t="shared" si="23"/>
        <v/>
      </c>
      <c r="G104" s="37" t="str">
        <f t="shared" si="24"/>
        <v/>
      </c>
      <c r="H104" s="37" t="str">
        <f t="shared" si="25"/>
        <v/>
      </c>
      <c r="I104" s="37" t="str">
        <f t="shared" si="26"/>
        <v/>
      </c>
      <c r="J104" s="37" t="str">
        <f t="shared" si="27"/>
        <v/>
      </c>
      <c r="K104" s="37" t="str">
        <f t="shared" si="28"/>
        <v/>
      </c>
      <c r="L104" s="37" t="str">
        <f t="shared" si="29"/>
        <v/>
      </c>
      <c r="M104" s="37" t="str">
        <f t="shared" si="30"/>
        <v/>
      </c>
      <c r="N104" s="37" t="str">
        <f t="shared" si="31"/>
        <v/>
      </c>
      <c r="O104" s="37" t="str">
        <f t="shared" si="32"/>
        <v/>
      </c>
      <c r="P104" s="37" t="str">
        <f t="shared" si="33"/>
        <v/>
      </c>
      <c r="Q104" s="37" t="str">
        <f t="shared" si="34"/>
        <v/>
      </c>
    </row>
    <row r="105" spans="1:17" ht="15" customHeight="1" x14ac:dyDescent="0.25">
      <c r="A105" s="58">
        <v>85</v>
      </c>
      <c r="B105" s="37">
        <f t="shared" si="19"/>
        <v>84.5</v>
      </c>
      <c r="C105" s="37" t="str">
        <f t="shared" si="20"/>
        <v/>
      </c>
      <c r="D105" s="37" t="str">
        <f t="shared" si="21"/>
        <v/>
      </c>
      <c r="E105" s="37" t="str">
        <f t="shared" si="22"/>
        <v/>
      </c>
      <c r="F105" s="37" t="str">
        <f t="shared" si="23"/>
        <v/>
      </c>
      <c r="G105" s="37" t="str">
        <f t="shared" si="24"/>
        <v/>
      </c>
      <c r="H105" s="37" t="str">
        <f t="shared" si="25"/>
        <v/>
      </c>
      <c r="I105" s="37" t="str">
        <f t="shared" si="26"/>
        <v/>
      </c>
      <c r="J105" s="37" t="str">
        <f t="shared" si="27"/>
        <v/>
      </c>
      <c r="K105" s="37" t="str">
        <f t="shared" si="28"/>
        <v/>
      </c>
      <c r="L105" s="37" t="str">
        <f t="shared" si="29"/>
        <v/>
      </c>
      <c r="M105" s="37" t="str">
        <f t="shared" si="30"/>
        <v/>
      </c>
      <c r="N105" s="37" t="str">
        <f t="shared" si="31"/>
        <v/>
      </c>
      <c r="O105" s="37" t="str">
        <f t="shared" si="32"/>
        <v/>
      </c>
      <c r="P105" s="37" t="str">
        <f t="shared" si="33"/>
        <v/>
      </c>
      <c r="Q105" s="37" t="str">
        <f t="shared" si="34"/>
        <v/>
      </c>
    </row>
    <row r="106" spans="1:17" ht="15" customHeight="1" x14ac:dyDescent="0.25">
      <c r="A106" s="58">
        <v>86</v>
      </c>
      <c r="B106" s="37">
        <f t="shared" si="19"/>
        <v>85.5</v>
      </c>
      <c r="C106" s="37" t="str">
        <f t="shared" si="20"/>
        <v/>
      </c>
      <c r="D106" s="37" t="str">
        <f t="shared" si="21"/>
        <v/>
      </c>
      <c r="E106" s="37" t="str">
        <f t="shared" si="22"/>
        <v/>
      </c>
      <c r="F106" s="37" t="str">
        <f t="shared" si="23"/>
        <v/>
      </c>
      <c r="G106" s="37" t="str">
        <f t="shared" si="24"/>
        <v/>
      </c>
      <c r="H106" s="37" t="str">
        <f t="shared" si="25"/>
        <v/>
      </c>
      <c r="I106" s="37" t="str">
        <f t="shared" si="26"/>
        <v/>
      </c>
      <c r="J106" s="37" t="str">
        <f t="shared" si="27"/>
        <v/>
      </c>
      <c r="K106" s="37" t="str">
        <f t="shared" si="28"/>
        <v/>
      </c>
      <c r="L106" s="37" t="str">
        <f t="shared" si="29"/>
        <v/>
      </c>
      <c r="M106" s="37" t="str">
        <f t="shared" si="30"/>
        <v/>
      </c>
      <c r="N106" s="37" t="str">
        <f t="shared" si="31"/>
        <v/>
      </c>
      <c r="O106" s="37" t="str">
        <f t="shared" si="32"/>
        <v/>
      </c>
      <c r="P106" s="37" t="str">
        <f t="shared" si="33"/>
        <v/>
      </c>
      <c r="Q106" s="37" t="str">
        <f t="shared" si="34"/>
        <v/>
      </c>
    </row>
    <row r="107" spans="1:17" ht="15" customHeight="1" x14ac:dyDescent="0.25">
      <c r="A107" s="58">
        <v>87</v>
      </c>
      <c r="B107" s="37">
        <f t="shared" si="19"/>
        <v>86.5</v>
      </c>
      <c r="C107" s="37" t="str">
        <f t="shared" si="20"/>
        <v/>
      </c>
      <c r="D107" s="37" t="str">
        <f t="shared" si="21"/>
        <v/>
      </c>
      <c r="E107" s="37" t="str">
        <f t="shared" si="22"/>
        <v/>
      </c>
      <c r="F107" s="37" t="str">
        <f t="shared" si="23"/>
        <v/>
      </c>
      <c r="G107" s="37" t="str">
        <f t="shared" si="24"/>
        <v/>
      </c>
      <c r="H107" s="37" t="str">
        <f t="shared" si="25"/>
        <v/>
      </c>
      <c r="I107" s="37" t="str">
        <f t="shared" si="26"/>
        <v/>
      </c>
      <c r="J107" s="37" t="str">
        <f t="shared" si="27"/>
        <v/>
      </c>
      <c r="K107" s="37" t="str">
        <f t="shared" si="28"/>
        <v/>
      </c>
      <c r="L107" s="37" t="str">
        <f t="shared" si="29"/>
        <v/>
      </c>
      <c r="M107" s="37" t="str">
        <f t="shared" si="30"/>
        <v/>
      </c>
      <c r="N107" s="37" t="str">
        <f t="shared" si="31"/>
        <v/>
      </c>
      <c r="O107" s="37" t="str">
        <f t="shared" si="32"/>
        <v/>
      </c>
      <c r="P107" s="37" t="str">
        <f t="shared" si="33"/>
        <v/>
      </c>
      <c r="Q107" s="37" t="str">
        <f t="shared" si="34"/>
        <v/>
      </c>
    </row>
    <row r="108" spans="1:17" ht="15" customHeight="1" x14ac:dyDescent="0.25">
      <c r="A108" s="58">
        <v>88</v>
      </c>
      <c r="B108" s="37">
        <f t="shared" si="19"/>
        <v>87.5</v>
      </c>
      <c r="C108" s="37" t="str">
        <f t="shared" si="20"/>
        <v/>
      </c>
      <c r="D108" s="37" t="str">
        <f t="shared" si="21"/>
        <v/>
      </c>
      <c r="E108" s="37" t="str">
        <f t="shared" si="22"/>
        <v/>
      </c>
      <c r="F108" s="37" t="str">
        <f t="shared" si="23"/>
        <v/>
      </c>
      <c r="G108" s="37" t="str">
        <f t="shared" si="24"/>
        <v/>
      </c>
      <c r="H108" s="37" t="str">
        <f t="shared" si="25"/>
        <v/>
      </c>
      <c r="I108" s="37" t="str">
        <f t="shared" si="26"/>
        <v/>
      </c>
      <c r="J108" s="37" t="str">
        <f t="shared" si="27"/>
        <v/>
      </c>
      <c r="K108" s="37" t="str">
        <f t="shared" si="28"/>
        <v/>
      </c>
      <c r="L108" s="37" t="str">
        <f t="shared" si="29"/>
        <v/>
      </c>
      <c r="M108" s="37" t="str">
        <f t="shared" si="30"/>
        <v/>
      </c>
      <c r="N108" s="37" t="str">
        <f t="shared" si="31"/>
        <v/>
      </c>
      <c r="O108" s="37" t="str">
        <f t="shared" si="32"/>
        <v/>
      </c>
      <c r="P108" s="37" t="str">
        <f t="shared" si="33"/>
        <v/>
      </c>
      <c r="Q108" s="37" t="str">
        <f t="shared" si="34"/>
        <v/>
      </c>
    </row>
    <row r="109" spans="1:17" ht="15" customHeight="1" x14ac:dyDescent="0.25">
      <c r="A109" s="58">
        <v>89</v>
      </c>
      <c r="B109" s="37">
        <f t="shared" si="19"/>
        <v>88.5</v>
      </c>
      <c r="C109" s="37" t="str">
        <f t="shared" si="20"/>
        <v/>
      </c>
      <c r="D109" s="37" t="str">
        <f t="shared" si="21"/>
        <v/>
      </c>
      <c r="E109" s="37" t="str">
        <f t="shared" si="22"/>
        <v/>
      </c>
      <c r="F109" s="37" t="str">
        <f t="shared" si="23"/>
        <v/>
      </c>
      <c r="G109" s="37" t="str">
        <f t="shared" si="24"/>
        <v/>
      </c>
      <c r="H109" s="37" t="str">
        <f t="shared" si="25"/>
        <v/>
      </c>
      <c r="I109" s="37" t="str">
        <f t="shared" si="26"/>
        <v/>
      </c>
      <c r="J109" s="37" t="str">
        <f t="shared" si="27"/>
        <v/>
      </c>
      <c r="K109" s="37" t="str">
        <f t="shared" si="28"/>
        <v/>
      </c>
      <c r="L109" s="37" t="str">
        <f t="shared" si="29"/>
        <v/>
      </c>
      <c r="M109" s="37" t="str">
        <f t="shared" si="30"/>
        <v/>
      </c>
      <c r="N109" s="37" t="str">
        <f t="shared" si="31"/>
        <v/>
      </c>
      <c r="O109" s="37" t="str">
        <f t="shared" si="32"/>
        <v/>
      </c>
      <c r="P109" s="37" t="str">
        <f t="shared" si="33"/>
        <v/>
      </c>
      <c r="Q109" s="37" t="str">
        <f t="shared" si="34"/>
        <v/>
      </c>
    </row>
    <row r="110" spans="1:17" ht="15" customHeight="1" x14ac:dyDescent="0.25">
      <c r="A110" s="58">
        <v>90</v>
      </c>
      <c r="B110" s="37">
        <f t="shared" si="19"/>
        <v>89.5</v>
      </c>
      <c r="C110" s="37" t="str">
        <f t="shared" si="20"/>
        <v/>
      </c>
      <c r="D110" s="37" t="str">
        <f t="shared" si="21"/>
        <v/>
      </c>
      <c r="E110" s="37" t="str">
        <f t="shared" si="22"/>
        <v/>
      </c>
      <c r="F110" s="37" t="str">
        <f t="shared" si="23"/>
        <v/>
      </c>
      <c r="G110" s="37" t="str">
        <f t="shared" si="24"/>
        <v/>
      </c>
      <c r="H110" s="37" t="str">
        <f t="shared" si="25"/>
        <v/>
      </c>
      <c r="I110" s="37" t="str">
        <f t="shared" si="26"/>
        <v/>
      </c>
      <c r="J110" s="37" t="str">
        <f t="shared" si="27"/>
        <v/>
      </c>
      <c r="K110" s="37" t="str">
        <f t="shared" si="28"/>
        <v/>
      </c>
      <c r="L110" s="37" t="str">
        <f t="shared" si="29"/>
        <v/>
      </c>
      <c r="M110" s="37" t="str">
        <f t="shared" si="30"/>
        <v/>
      </c>
      <c r="N110" s="37" t="str">
        <f t="shared" si="31"/>
        <v/>
      </c>
      <c r="O110" s="37" t="str">
        <f t="shared" si="32"/>
        <v/>
      </c>
      <c r="P110" s="37" t="str">
        <f t="shared" si="33"/>
        <v/>
      </c>
      <c r="Q110" s="37" t="str">
        <f t="shared" si="34"/>
        <v/>
      </c>
    </row>
    <row r="111" spans="1:17" ht="15" customHeight="1" x14ac:dyDescent="0.25">
      <c r="A111" s="58">
        <v>91</v>
      </c>
      <c r="B111" s="37">
        <f t="shared" si="19"/>
        <v>90.5</v>
      </c>
      <c r="C111" s="37" t="str">
        <f t="shared" si="20"/>
        <v/>
      </c>
      <c r="D111" s="37" t="str">
        <f t="shared" si="21"/>
        <v/>
      </c>
      <c r="E111" s="37" t="str">
        <f t="shared" si="22"/>
        <v/>
      </c>
      <c r="F111" s="37" t="str">
        <f t="shared" si="23"/>
        <v/>
      </c>
      <c r="G111" s="37" t="str">
        <f t="shared" si="24"/>
        <v/>
      </c>
      <c r="H111" s="37" t="str">
        <f t="shared" si="25"/>
        <v/>
      </c>
      <c r="I111" s="37" t="str">
        <f t="shared" si="26"/>
        <v/>
      </c>
      <c r="J111" s="37" t="str">
        <f t="shared" si="27"/>
        <v/>
      </c>
      <c r="K111" s="37" t="str">
        <f t="shared" si="28"/>
        <v/>
      </c>
      <c r="L111" s="37" t="str">
        <f t="shared" si="29"/>
        <v/>
      </c>
      <c r="M111" s="37" t="str">
        <f t="shared" si="30"/>
        <v/>
      </c>
      <c r="N111" s="37" t="str">
        <f t="shared" si="31"/>
        <v/>
      </c>
      <c r="O111" s="37" t="str">
        <f t="shared" si="32"/>
        <v/>
      </c>
      <c r="P111" s="37" t="str">
        <f t="shared" si="33"/>
        <v/>
      </c>
      <c r="Q111" s="37" t="str">
        <f t="shared" si="34"/>
        <v/>
      </c>
    </row>
    <row r="112" spans="1:17" ht="15" customHeight="1" x14ac:dyDescent="0.25">
      <c r="A112" s="58">
        <v>92</v>
      </c>
      <c r="B112" s="37">
        <f t="shared" si="19"/>
        <v>91.5</v>
      </c>
      <c r="C112" s="37" t="str">
        <f t="shared" si="20"/>
        <v/>
      </c>
      <c r="D112" s="37" t="str">
        <f t="shared" si="21"/>
        <v/>
      </c>
      <c r="E112" s="37" t="str">
        <f t="shared" si="22"/>
        <v/>
      </c>
      <c r="F112" s="37" t="str">
        <f t="shared" si="23"/>
        <v/>
      </c>
      <c r="G112" s="37" t="str">
        <f t="shared" si="24"/>
        <v/>
      </c>
      <c r="H112" s="37" t="str">
        <f t="shared" si="25"/>
        <v/>
      </c>
      <c r="I112" s="37" t="str">
        <f t="shared" si="26"/>
        <v/>
      </c>
      <c r="J112" s="37" t="str">
        <f t="shared" si="27"/>
        <v/>
      </c>
      <c r="K112" s="37" t="str">
        <f t="shared" si="28"/>
        <v/>
      </c>
      <c r="L112" s="37" t="str">
        <f t="shared" si="29"/>
        <v/>
      </c>
      <c r="M112" s="37" t="str">
        <f t="shared" si="30"/>
        <v/>
      </c>
      <c r="N112" s="37" t="str">
        <f t="shared" si="31"/>
        <v/>
      </c>
      <c r="O112" s="37" t="str">
        <f t="shared" si="32"/>
        <v/>
      </c>
      <c r="P112" s="37" t="str">
        <f t="shared" si="33"/>
        <v/>
      </c>
      <c r="Q112" s="37" t="str">
        <f t="shared" si="34"/>
        <v/>
      </c>
    </row>
    <row r="113" spans="1:17" ht="15" customHeight="1" x14ac:dyDescent="0.25">
      <c r="A113" s="58">
        <v>93</v>
      </c>
      <c r="B113" s="37">
        <f t="shared" si="19"/>
        <v>92.5</v>
      </c>
      <c r="C113" s="37" t="str">
        <f t="shared" si="20"/>
        <v/>
      </c>
      <c r="D113" s="37" t="str">
        <f t="shared" si="21"/>
        <v/>
      </c>
      <c r="E113" s="37" t="str">
        <f t="shared" si="22"/>
        <v/>
      </c>
      <c r="F113" s="37" t="str">
        <f t="shared" si="23"/>
        <v/>
      </c>
      <c r="G113" s="37" t="str">
        <f t="shared" si="24"/>
        <v/>
      </c>
      <c r="H113" s="37" t="str">
        <f t="shared" si="25"/>
        <v/>
      </c>
      <c r="I113" s="37" t="str">
        <f t="shared" si="26"/>
        <v/>
      </c>
      <c r="J113" s="37" t="str">
        <f t="shared" si="27"/>
        <v/>
      </c>
      <c r="K113" s="37" t="str">
        <f t="shared" si="28"/>
        <v/>
      </c>
      <c r="L113" s="37" t="str">
        <f t="shared" si="29"/>
        <v/>
      </c>
      <c r="M113" s="37" t="str">
        <f t="shared" si="30"/>
        <v/>
      </c>
      <c r="N113" s="37" t="str">
        <f t="shared" si="31"/>
        <v/>
      </c>
      <c r="O113" s="37" t="str">
        <f t="shared" si="32"/>
        <v/>
      </c>
      <c r="P113" s="37" t="str">
        <f t="shared" si="33"/>
        <v/>
      </c>
      <c r="Q113" s="37" t="str">
        <f t="shared" si="34"/>
        <v/>
      </c>
    </row>
    <row r="114" spans="1:17" ht="15" customHeight="1" x14ac:dyDescent="0.25">
      <c r="A114" s="58">
        <v>94</v>
      </c>
      <c r="B114" s="37">
        <f t="shared" si="19"/>
        <v>93.5</v>
      </c>
      <c r="C114" s="37" t="str">
        <f t="shared" si="20"/>
        <v/>
      </c>
      <c r="D114" s="37" t="str">
        <f t="shared" si="21"/>
        <v/>
      </c>
      <c r="E114" s="37" t="str">
        <f t="shared" si="22"/>
        <v/>
      </c>
      <c r="F114" s="37" t="str">
        <f t="shared" si="23"/>
        <v/>
      </c>
      <c r="G114" s="37" t="str">
        <f t="shared" si="24"/>
        <v/>
      </c>
      <c r="H114" s="37" t="str">
        <f t="shared" si="25"/>
        <v/>
      </c>
      <c r="I114" s="37" t="str">
        <f t="shared" si="26"/>
        <v/>
      </c>
      <c r="J114" s="37" t="str">
        <f t="shared" si="27"/>
        <v/>
      </c>
      <c r="K114" s="37" t="str">
        <f t="shared" si="28"/>
        <v/>
      </c>
      <c r="L114" s="37" t="str">
        <f t="shared" si="29"/>
        <v/>
      </c>
      <c r="M114" s="37" t="str">
        <f t="shared" si="30"/>
        <v/>
      </c>
      <c r="N114" s="37" t="str">
        <f t="shared" si="31"/>
        <v/>
      </c>
      <c r="O114" s="37" t="str">
        <f t="shared" si="32"/>
        <v/>
      </c>
      <c r="P114" s="37" t="str">
        <f t="shared" si="33"/>
        <v/>
      </c>
      <c r="Q114" s="37" t="str">
        <f t="shared" si="34"/>
        <v/>
      </c>
    </row>
    <row r="115" spans="1:17" ht="15" customHeight="1" x14ac:dyDescent="0.25">
      <c r="A115" s="58">
        <v>95</v>
      </c>
      <c r="B115" s="37">
        <f t="shared" si="19"/>
        <v>94.5</v>
      </c>
      <c r="C115" s="37" t="str">
        <f t="shared" si="20"/>
        <v/>
      </c>
      <c r="D115" s="37" t="str">
        <f t="shared" si="21"/>
        <v/>
      </c>
      <c r="E115" s="37" t="str">
        <f t="shared" si="22"/>
        <v/>
      </c>
      <c r="F115" s="37" t="str">
        <f t="shared" si="23"/>
        <v/>
      </c>
      <c r="G115" s="37" t="str">
        <f t="shared" si="24"/>
        <v/>
      </c>
      <c r="H115" s="37" t="str">
        <f t="shared" si="25"/>
        <v/>
      </c>
      <c r="I115" s="37" t="str">
        <f t="shared" si="26"/>
        <v/>
      </c>
      <c r="J115" s="37" t="str">
        <f t="shared" si="27"/>
        <v/>
      </c>
      <c r="K115" s="37" t="str">
        <f t="shared" si="28"/>
        <v/>
      </c>
      <c r="L115" s="37" t="str">
        <f t="shared" si="29"/>
        <v/>
      </c>
      <c r="M115" s="37" t="str">
        <f t="shared" si="30"/>
        <v/>
      </c>
      <c r="N115" s="37" t="str">
        <f t="shared" si="31"/>
        <v/>
      </c>
      <c r="O115" s="37" t="str">
        <f t="shared" si="32"/>
        <v/>
      </c>
      <c r="P115" s="37" t="str">
        <f t="shared" si="33"/>
        <v/>
      </c>
      <c r="Q115" s="37" t="str">
        <f t="shared" si="34"/>
        <v/>
      </c>
    </row>
    <row r="116" spans="1:17" ht="15" customHeight="1" x14ac:dyDescent="0.25">
      <c r="A116" s="58">
        <v>96</v>
      </c>
      <c r="B116" s="37">
        <f t="shared" si="19"/>
        <v>95.5</v>
      </c>
      <c r="C116" s="37" t="str">
        <f t="shared" si="20"/>
        <v/>
      </c>
      <c r="D116" s="37" t="str">
        <f t="shared" si="21"/>
        <v/>
      </c>
      <c r="E116" s="37" t="str">
        <f t="shared" si="22"/>
        <v/>
      </c>
      <c r="F116" s="37" t="str">
        <f t="shared" si="23"/>
        <v/>
      </c>
      <c r="G116" s="37" t="str">
        <f t="shared" si="24"/>
        <v/>
      </c>
      <c r="H116" s="37" t="str">
        <f t="shared" si="25"/>
        <v/>
      </c>
      <c r="I116" s="37" t="str">
        <f t="shared" si="26"/>
        <v/>
      </c>
      <c r="J116" s="37" t="str">
        <f t="shared" si="27"/>
        <v/>
      </c>
      <c r="K116" s="37" t="str">
        <f t="shared" si="28"/>
        <v/>
      </c>
      <c r="L116" s="37" t="str">
        <f t="shared" si="29"/>
        <v/>
      </c>
      <c r="M116" s="37" t="str">
        <f t="shared" si="30"/>
        <v/>
      </c>
      <c r="N116" s="37" t="str">
        <f t="shared" si="31"/>
        <v/>
      </c>
      <c r="O116" s="37" t="str">
        <f t="shared" si="32"/>
        <v/>
      </c>
      <c r="P116" s="37" t="str">
        <f t="shared" si="33"/>
        <v/>
      </c>
      <c r="Q116" s="37" t="str">
        <f t="shared" si="34"/>
        <v/>
      </c>
    </row>
    <row r="117" spans="1:17" ht="15" customHeight="1" x14ac:dyDescent="0.25">
      <c r="A117" s="58">
        <v>97</v>
      </c>
      <c r="B117" s="37">
        <f t="shared" si="19"/>
        <v>96.5</v>
      </c>
      <c r="C117" s="37" t="str">
        <f t="shared" si="20"/>
        <v/>
      </c>
      <c r="D117" s="37" t="str">
        <f t="shared" si="21"/>
        <v/>
      </c>
      <c r="E117" s="37" t="str">
        <f t="shared" si="22"/>
        <v/>
      </c>
      <c r="F117" s="37" t="str">
        <f t="shared" si="23"/>
        <v/>
      </c>
      <c r="G117" s="37" t="str">
        <f t="shared" si="24"/>
        <v/>
      </c>
      <c r="H117" s="37" t="str">
        <f t="shared" si="25"/>
        <v/>
      </c>
      <c r="I117" s="37" t="str">
        <f t="shared" si="26"/>
        <v/>
      </c>
      <c r="J117" s="37" t="str">
        <f t="shared" si="27"/>
        <v/>
      </c>
      <c r="K117" s="37" t="str">
        <f t="shared" si="28"/>
        <v/>
      </c>
      <c r="L117" s="37" t="str">
        <f t="shared" si="29"/>
        <v/>
      </c>
      <c r="M117" s="37" t="str">
        <f t="shared" si="30"/>
        <v/>
      </c>
      <c r="N117" s="37" t="str">
        <f t="shared" si="31"/>
        <v/>
      </c>
      <c r="O117" s="37" t="str">
        <f t="shared" si="32"/>
        <v/>
      </c>
      <c r="P117" s="37" t="str">
        <f t="shared" si="33"/>
        <v/>
      </c>
      <c r="Q117" s="37" t="str">
        <f t="shared" si="34"/>
        <v/>
      </c>
    </row>
    <row r="118" spans="1:17" ht="15" customHeight="1" x14ac:dyDescent="0.25">
      <c r="A118" s="58">
        <v>98</v>
      </c>
      <c r="B118" s="37">
        <f t="shared" si="19"/>
        <v>97.5</v>
      </c>
      <c r="C118" s="37" t="str">
        <f t="shared" si="20"/>
        <v/>
      </c>
      <c r="D118" s="37" t="str">
        <f t="shared" si="21"/>
        <v/>
      </c>
      <c r="E118" s="37" t="str">
        <f t="shared" si="22"/>
        <v/>
      </c>
      <c r="F118" s="37" t="str">
        <f t="shared" si="23"/>
        <v/>
      </c>
      <c r="G118" s="37" t="str">
        <f t="shared" si="24"/>
        <v/>
      </c>
      <c r="H118" s="37" t="str">
        <f t="shared" si="25"/>
        <v/>
      </c>
      <c r="I118" s="37" t="str">
        <f t="shared" si="26"/>
        <v/>
      </c>
      <c r="J118" s="37" t="str">
        <f t="shared" si="27"/>
        <v/>
      </c>
      <c r="K118" s="37" t="str">
        <f t="shared" si="28"/>
        <v/>
      </c>
      <c r="L118" s="37" t="str">
        <f t="shared" si="29"/>
        <v/>
      </c>
      <c r="M118" s="37" t="str">
        <f t="shared" si="30"/>
        <v/>
      </c>
      <c r="N118" s="37" t="str">
        <f t="shared" si="31"/>
        <v/>
      </c>
      <c r="O118" s="37" t="str">
        <f t="shared" si="32"/>
        <v/>
      </c>
      <c r="P118" s="37" t="str">
        <f t="shared" si="33"/>
        <v/>
      </c>
      <c r="Q118" s="37" t="str">
        <f t="shared" si="34"/>
        <v/>
      </c>
    </row>
    <row r="119" spans="1:17" ht="15" customHeight="1" x14ac:dyDescent="0.25">
      <c r="A119" s="58">
        <v>99</v>
      </c>
      <c r="B119" s="37">
        <f t="shared" si="19"/>
        <v>98.5</v>
      </c>
      <c r="C119" s="37" t="str">
        <f t="shared" si="20"/>
        <v/>
      </c>
      <c r="D119" s="37" t="str">
        <f t="shared" si="21"/>
        <v/>
      </c>
      <c r="E119" s="37" t="str">
        <f t="shared" si="22"/>
        <v/>
      </c>
      <c r="F119" s="37" t="str">
        <f t="shared" si="23"/>
        <v/>
      </c>
      <c r="G119" s="37" t="str">
        <f t="shared" si="24"/>
        <v/>
      </c>
      <c r="H119" s="37" t="str">
        <f t="shared" si="25"/>
        <v/>
      </c>
      <c r="I119" s="37" t="str">
        <f t="shared" si="26"/>
        <v/>
      </c>
      <c r="J119" s="37" t="str">
        <f t="shared" si="27"/>
        <v/>
      </c>
      <c r="K119" s="37" t="str">
        <f t="shared" si="28"/>
        <v/>
      </c>
      <c r="L119" s="37" t="str">
        <f t="shared" si="29"/>
        <v/>
      </c>
      <c r="M119" s="37" t="str">
        <f t="shared" si="30"/>
        <v/>
      </c>
      <c r="N119" s="37" t="str">
        <f t="shared" si="31"/>
        <v/>
      </c>
      <c r="O119" s="37" t="str">
        <f t="shared" si="32"/>
        <v/>
      </c>
      <c r="P119" s="37" t="str">
        <f t="shared" si="33"/>
        <v/>
      </c>
      <c r="Q119" s="37" t="str">
        <f t="shared" si="34"/>
        <v/>
      </c>
    </row>
    <row r="120" spans="1:17" ht="15" customHeight="1" x14ac:dyDescent="0.25">
      <c r="A120" s="58">
        <v>100</v>
      </c>
      <c r="B120" s="37">
        <f t="shared" si="19"/>
        <v>99.5</v>
      </c>
      <c r="C120" s="37" t="str">
        <f t="shared" si="20"/>
        <v/>
      </c>
      <c r="D120" s="37" t="str">
        <f t="shared" si="21"/>
        <v/>
      </c>
      <c r="E120" s="37" t="str">
        <f t="shared" si="22"/>
        <v/>
      </c>
      <c r="F120" s="37" t="str">
        <f t="shared" si="23"/>
        <v/>
      </c>
      <c r="G120" s="37" t="str">
        <f t="shared" si="24"/>
        <v/>
      </c>
      <c r="H120" s="37" t="str">
        <f t="shared" si="25"/>
        <v/>
      </c>
      <c r="I120" s="37" t="str">
        <f t="shared" si="26"/>
        <v/>
      </c>
      <c r="J120" s="37" t="str">
        <f t="shared" si="27"/>
        <v/>
      </c>
      <c r="K120" s="37" t="str">
        <f t="shared" si="28"/>
        <v/>
      </c>
      <c r="L120" s="37" t="str">
        <f t="shared" si="29"/>
        <v/>
      </c>
      <c r="M120" s="37" t="str">
        <f t="shared" si="30"/>
        <v/>
      </c>
      <c r="N120" s="37" t="str">
        <f t="shared" si="31"/>
        <v/>
      </c>
      <c r="O120" s="37" t="str">
        <f t="shared" si="32"/>
        <v/>
      </c>
      <c r="P120" s="37" t="str">
        <f t="shared" si="33"/>
        <v/>
      </c>
      <c r="Q120" s="37" t="str">
        <f t="shared" si="34"/>
        <v/>
      </c>
    </row>
    <row r="121" spans="1:17" ht="15" customHeight="1" x14ac:dyDescent="0.25">
      <c r="A121" s="58">
        <v>101</v>
      </c>
      <c r="B121" s="37">
        <f t="shared" si="19"/>
        <v>100.5</v>
      </c>
      <c r="C121" s="37" t="str">
        <f t="shared" si="20"/>
        <v/>
      </c>
      <c r="D121" s="37" t="str">
        <f t="shared" si="21"/>
        <v/>
      </c>
      <c r="E121" s="37" t="str">
        <f t="shared" si="22"/>
        <v/>
      </c>
      <c r="F121" s="37" t="str">
        <f t="shared" si="23"/>
        <v/>
      </c>
      <c r="G121" s="37" t="str">
        <f t="shared" si="24"/>
        <v/>
      </c>
      <c r="H121" s="37" t="str">
        <f t="shared" si="25"/>
        <v/>
      </c>
      <c r="I121" s="37" t="str">
        <f t="shared" si="26"/>
        <v/>
      </c>
      <c r="J121" s="37" t="str">
        <f t="shared" si="27"/>
        <v/>
      </c>
      <c r="K121" s="37" t="str">
        <f t="shared" si="28"/>
        <v/>
      </c>
      <c r="L121" s="37" t="str">
        <f t="shared" si="29"/>
        <v/>
      </c>
      <c r="M121" s="37" t="str">
        <f t="shared" si="30"/>
        <v/>
      </c>
      <c r="N121" s="37" t="str">
        <f t="shared" si="31"/>
        <v/>
      </c>
      <c r="O121" s="37" t="str">
        <f t="shared" si="32"/>
        <v/>
      </c>
      <c r="P121" s="37" t="str">
        <f t="shared" si="33"/>
        <v/>
      </c>
      <c r="Q121" s="37" t="str">
        <f t="shared" si="34"/>
        <v/>
      </c>
    </row>
    <row r="122" spans="1:17" ht="15" customHeight="1" x14ac:dyDescent="0.25">
      <c r="A122" s="58">
        <v>102</v>
      </c>
      <c r="B122" s="37">
        <f t="shared" si="19"/>
        <v>101.5</v>
      </c>
      <c r="C122" s="37" t="str">
        <f t="shared" si="20"/>
        <v/>
      </c>
      <c r="D122" s="37" t="str">
        <f t="shared" si="21"/>
        <v/>
      </c>
      <c r="E122" s="37" t="str">
        <f t="shared" si="22"/>
        <v/>
      </c>
      <c r="F122" s="37" t="str">
        <f t="shared" si="23"/>
        <v/>
      </c>
      <c r="G122" s="37" t="str">
        <f t="shared" si="24"/>
        <v/>
      </c>
      <c r="H122" s="37" t="str">
        <f t="shared" si="25"/>
        <v/>
      </c>
      <c r="I122" s="37" t="str">
        <f t="shared" si="26"/>
        <v/>
      </c>
      <c r="J122" s="37" t="str">
        <f t="shared" si="27"/>
        <v/>
      </c>
      <c r="K122" s="37" t="str">
        <f t="shared" si="28"/>
        <v/>
      </c>
      <c r="L122" s="37" t="str">
        <f t="shared" si="29"/>
        <v/>
      </c>
      <c r="M122" s="37" t="str">
        <f t="shared" si="30"/>
        <v/>
      </c>
      <c r="N122" s="37" t="str">
        <f t="shared" si="31"/>
        <v/>
      </c>
      <c r="O122" s="37" t="str">
        <f t="shared" si="32"/>
        <v/>
      </c>
      <c r="P122" s="37" t="str">
        <f t="shared" si="33"/>
        <v/>
      </c>
      <c r="Q122" s="37" t="str">
        <f t="shared" si="34"/>
        <v/>
      </c>
    </row>
    <row r="123" spans="1:17" ht="15" customHeight="1" x14ac:dyDescent="0.25">
      <c r="A123" s="58">
        <v>103</v>
      </c>
      <c r="B123" s="37">
        <f t="shared" si="19"/>
        <v>102.5</v>
      </c>
      <c r="C123" s="37" t="str">
        <f t="shared" si="20"/>
        <v/>
      </c>
      <c r="D123" s="37" t="str">
        <f t="shared" si="21"/>
        <v/>
      </c>
      <c r="E123" s="37" t="str">
        <f t="shared" si="22"/>
        <v/>
      </c>
      <c r="F123" s="37" t="str">
        <f t="shared" si="23"/>
        <v/>
      </c>
      <c r="G123" s="37" t="str">
        <f t="shared" si="24"/>
        <v/>
      </c>
      <c r="H123" s="37" t="str">
        <f t="shared" si="25"/>
        <v/>
      </c>
      <c r="I123" s="37" t="str">
        <f t="shared" si="26"/>
        <v/>
      </c>
      <c r="J123" s="37" t="str">
        <f t="shared" si="27"/>
        <v/>
      </c>
      <c r="K123" s="37" t="str">
        <f t="shared" si="28"/>
        <v/>
      </c>
      <c r="L123" s="37" t="str">
        <f t="shared" si="29"/>
        <v/>
      </c>
      <c r="M123" s="37" t="str">
        <f t="shared" si="30"/>
        <v/>
      </c>
      <c r="N123" s="37" t="str">
        <f t="shared" si="31"/>
        <v/>
      </c>
      <c r="O123" s="37" t="str">
        <f t="shared" si="32"/>
        <v/>
      </c>
      <c r="P123" s="37" t="str">
        <f t="shared" si="33"/>
        <v/>
      </c>
      <c r="Q123" s="37" t="str">
        <f t="shared" si="34"/>
        <v/>
      </c>
    </row>
    <row r="124" spans="1:17" ht="15" customHeight="1" x14ac:dyDescent="0.25">
      <c r="A124" s="58">
        <v>104</v>
      </c>
      <c r="B124" s="37">
        <f t="shared" si="19"/>
        <v>103.5</v>
      </c>
      <c r="C124" s="37" t="str">
        <f t="shared" si="20"/>
        <v/>
      </c>
      <c r="D124" s="37" t="str">
        <f t="shared" si="21"/>
        <v/>
      </c>
      <c r="E124" s="37" t="str">
        <f t="shared" si="22"/>
        <v/>
      </c>
      <c r="F124" s="37" t="str">
        <f t="shared" si="23"/>
        <v/>
      </c>
      <c r="G124" s="37" t="str">
        <f t="shared" si="24"/>
        <v/>
      </c>
      <c r="H124" s="37" t="str">
        <f t="shared" si="25"/>
        <v/>
      </c>
      <c r="I124" s="37" t="str">
        <f t="shared" si="26"/>
        <v/>
      </c>
      <c r="J124" s="37" t="str">
        <f t="shared" si="27"/>
        <v/>
      </c>
      <c r="K124" s="37" t="str">
        <f t="shared" si="28"/>
        <v/>
      </c>
      <c r="L124" s="37" t="str">
        <f t="shared" si="29"/>
        <v/>
      </c>
      <c r="M124" s="37" t="str">
        <f t="shared" si="30"/>
        <v/>
      </c>
      <c r="N124" s="37" t="str">
        <f t="shared" si="31"/>
        <v/>
      </c>
      <c r="O124" s="37" t="str">
        <f t="shared" si="32"/>
        <v/>
      </c>
      <c r="P124" s="37" t="str">
        <f t="shared" si="33"/>
        <v/>
      </c>
      <c r="Q124" s="37" t="str">
        <f t="shared" si="34"/>
        <v/>
      </c>
    </row>
    <row r="125" spans="1:17" ht="15" customHeight="1" x14ac:dyDescent="0.25">
      <c r="A125" s="58">
        <v>105</v>
      </c>
      <c r="B125" s="37">
        <f t="shared" si="19"/>
        <v>104.5</v>
      </c>
      <c r="C125" s="37" t="str">
        <f t="shared" si="20"/>
        <v/>
      </c>
      <c r="D125" s="37" t="str">
        <f t="shared" si="21"/>
        <v/>
      </c>
      <c r="E125" s="37" t="str">
        <f t="shared" si="22"/>
        <v/>
      </c>
      <c r="F125" s="37" t="str">
        <f t="shared" si="23"/>
        <v/>
      </c>
      <c r="G125" s="37" t="str">
        <f t="shared" si="24"/>
        <v/>
      </c>
      <c r="H125" s="37" t="str">
        <f t="shared" si="25"/>
        <v/>
      </c>
      <c r="I125" s="37" t="str">
        <f t="shared" si="26"/>
        <v/>
      </c>
      <c r="J125" s="37" t="str">
        <f t="shared" si="27"/>
        <v/>
      </c>
      <c r="K125" s="37" t="str">
        <f t="shared" si="28"/>
        <v/>
      </c>
      <c r="L125" s="37" t="str">
        <f t="shared" si="29"/>
        <v/>
      </c>
      <c r="M125" s="37" t="str">
        <f t="shared" si="30"/>
        <v/>
      </c>
      <c r="N125" s="37" t="str">
        <f t="shared" si="31"/>
        <v/>
      </c>
      <c r="O125" s="37" t="str">
        <f t="shared" si="32"/>
        <v/>
      </c>
      <c r="P125" s="37" t="str">
        <f t="shared" si="33"/>
        <v/>
      </c>
      <c r="Q125" s="37" t="str">
        <f t="shared" si="34"/>
        <v/>
      </c>
    </row>
    <row r="126" spans="1:17" ht="15" customHeight="1" x14ac:dyDescent="0.25">
      <c r="A126" s="58">
        <v>106</v>
      </c>
      <c r="B126" s="37">
        <f t="shared" si="19"/>
        <v>105.5</v>
      </c>
      <c r="C126" s="37" t="str">
        <f t="shared" si="20"/>
        <v/>
      </c>
      <c r="D126" s="37" t="str">
        <f t="shared" si="21"/>
        <v/>
      </c>
      <c r="E126" s="37" t="str">
        <f t="shared" si="22"/>
        <v/>
      </c>
      <c r="F126" s="37" t="str">
        <f t="shared" si="23"/>
        <v/>
      </c>
      <c r="G126" s="37" t="str">
        <f t="shared" si="24"/>
        <v/>
      </c>
      <c r="H126" s="37" t="str">
        <f t="shared" si="25"/>
        <v/>
      </c>
      <c r="I126" s="37" t="str">
        <f t="shared" si="26"/>
        <v/>
      </c>
      <c r="J126" s="37" t="str">
        <f t="shared" si="27"/>
        <v/>
      </c>
      <c r="K126" s="37" t="str">
        <f t="shared" si="28"/>
        <v/>
      </c>
      <c r="L126" s="37" t="str">
        <f t="shared" si="29"/>
        <v/>
      </c>
      <c r="M126" s="37" t="str">
        <f t="shared" si="30"/>
        <v/>
      </c>
      <c r="N126" s="37" t="str">
        <f t="shared" si="31"/>
        <v/>
      </c>
      <c r="O126" s="37" t="str">
        <f t="shared" si="32"/>
        <v/>
      </c>
      <c r="P126" s="37" t="str">
        <f t="shared" si="33"/>
        <v/>
      </c>
      <c r="Q126" s="37" t="str">
        <f t="shared" si="34"/>
        <v/>
      </c>
    </row>
    <row r="127" spans="1:17" ht="15" customHeight="1" x14ac:dyDescent="0.25">
      <c r="A127" s="58">
        <v>107</v>
      </c>
      <c r="B127" s="37">
        <f t="shared" si="19"/>
        <v>106.5</v>
      </c>
      <c r="C127" s="37" t="str">
        <f t="shared" si="20"/>
        <v/>
      </c>
      <c r="D127" s="37" t="str">
        <f t="shared" si="21"/>
        <v/>
      </c>
      <c r="E127" s="37" t="str">
        <f t="shared" si="22"/>
        <v/>
      </c>
      <c r="F127" s="37" t="str">
        <f t="shared" si="23"/>
        <v/>
      </c>
      <c r="G127" s="37" t="str">
        <f t="shared" si="24"/>
        <v/>
      </c>
      <c r="H127" s="37" t="str">
        <f t="shared" si="25"/>
        <v/>
      </c>
      <c r="I127" s="37" t="str">
        <f t="shared" si="26"/>
        <v/>
      </c>
      <c r="J127" s="37" t="str">
        <f t="shared" si="27"/>
        <v/>
      </c>
      <c r="K127" s="37" t="str">
        <f t="shared" si="28"/>
        <v/>
      </c>
      <c r="L127" s="37" t="str">
        <f t="shared" si="29"/>
        <v/>
      </c>
      <c r="M127" s="37" t="str">
        <f t="shared" si="30"/>
        <v/>
      </c>
      <c r="N127" s="37" t="str">
        <f t="shared" si="31"/>
        <v/>
      </c>
      <c r="O127" s="37" t="str">
        <f t="shared" si="32"/>
        <v/>
      </c>
      <c r="P127" s="37" t="str">
        <f t="shared" si="33"/>
        <v/>
      </c>
      <c r="Q127" s="37" t="str">
        <f t="shared" si="34"/>
        <v/>
      </c>
    </row>
    <row r="128" spans="1:17" ht="15" customHeight="1" x14ac:dyDescent="0.25">
      <c r="A128" s="58">
        <v>108</v>
      </c>
      <c r="B128" s="37">
        <f t="shared" si="19"/>
        <v>107.5</v>
      </c>
      <c r="C128" s="37" t="str">
        <f t="shared" si="20"/>
        <v/>
      </c>
      <c r="D128" s="37" t="str">
        <f t="shared" si="21"/>
        <v/>
      </c>
      <c r="E128" s="37" t="str">
        <f t="shared" si="22"/>
        <v/>
      </c>
      <c r="F128" s="37" t="str">
        <f t="shared" si="23"/>
        <v/>
      </c>
      <c r="G128" s="37" t="str">
        <f t="shared" si="24"/>
        <v/>
      </c>
      <c r="H128" s="37" t="str">
        <f t="shared" si="25"/>
        <v/>
      </c>
      <c r="I128" s="37" t="str">
        <f t="shared" si="26"/>
        <v/>
      </c>
      <c r="J128" s="37" t="str">
        <f t="shared" si="27"/>
        <v/>
      </c>
      <c r="K128" s="37" t="str">
        <f t="shared" si="28"/>
        <v/>
      </c>
      <c r="L128" s="37" t="str">
        <f t="shared" si="29"/>
        <v/>
      </c>
      <c r="M128" s="37" t="str">
        <f t="shared" si="30"/>
        <v/>
      </c>
      <c r="N128" s="37" t="str">
        <f t="shared" si="31"/>
        <v/>
      </c>
      <c r="O128" s="37" t="str">
        <f t="shared" si="32"/>
        <v/>
      </c>
      <c r="P128" s="37" t="str">
        <f t="shared" si="33"/>
        <v/>
      </c>
      <c r="Q128" s="37" t="str">
        <f t="shared" si="34"/>
        <v/>
      </c>
    </row>
    <row r="129" spans="1:17" ht="15" customHeight="1" x14ac:dyDescent="0.25">
      <c r="A129" s="58">
        <v>109</v>
      </c>
      <c r="B129" s="37">
        <f t="shared" si="19"/>
        <v>108.5</v>
      </c>
      <c r="C129" s="37" t="str">
        <f t="shared" si="20"/>
        <v/>
      </c>
      <c r="D129" s="37" t="str">
        <f t="shared" si="21"/>
        <v/>
      </c>
      <c r="E129" s="37" t="str">
        <f t="shared" si="22"/>
        <v/>
      </c>
      <c r="F129" s="37" t="str">
        <f t="shared" si="23"/>
        <v/>
      </c>
      <c r="G129" s="37" t="str">
        <f t="shared" si="24"/>
        <v/>
      </c>
      <c r="H129" s="37" t="str">
        <f t="shared" si="25"/>
        <v/>
      </c>
      <c r="I129" s="37" t="str">
        <f t="shared" si="26"/>
        <v/>
      </c>
      <c r="J129" s="37" t="str">
        <f t="shared" si="27"/>
        <v/>
      </c>
      <c r="K129" s="37" t="str">
        <f t="shared" si="28"/>
        <v/>
      </c>
      <c r="L129" s="37" t="str">
        <f t="shared" si="29"/>
        <v/>
      </c>
      <c r="M129" s="37" t="str">
        <f t="shared" si="30"/>
        <v/>
      </c>
      <c r="N129" s="37" t="str">
        <f t="shared" si="31"/>
        <v/>
      </c>
      <c r="O129" s="37" t="str">
        <f t="shared" si="32"/>
        <v/>
      </c>
      <c r="P129" s="37" t="str">
        <f t="shared" si="33"/>
        <v/>
      </c>
      <c r="Q129" s="37" t="str">
        <f t="shared" si="34"/>
        <v/>
      </c>
    </row>
    <row r="130" spans="1:17" ht="15" customHeight="1" x14ac:dyDescent="0.25">
      <c r="A130" s="58">
        <v>110</v>
      </c>
      <c r="B130" s="37">
        <f t="shared" si="19"/>
        <v>109.5</v>
      </c>
      <c r="C130" s="37" t="str">
        <f t="shared" si="20"/>
        <v/>
      </c>
      <c r="D130" s="37" t="str">
        <f t="shared" si="21"/>
        <v/>
      </c>
      <c r="E130" s="37" t="str">
        <f t="shared" si="22"/>
        <v/>
      </c>
      <c r="F130" s="37" t="str">
        <f t="shared" si="23"/>
        <v/>
      </c>
      <c r="G130" s="37" t="str">
        <f t="shared" si="24"/>
        <v/>
      </c>
      <c r="H130" s="37" t="str">
        <f t="shared" si="25"/>
        <v/>
      </c>
      <c r="I130" s="37" t="str">
        <f t="shared" si="26"/>
        <v/>
      </c>
      <c r="J130" s="37" t="str">
        <f t="shared" si="27"/>
        <v/>
      </c>
      <c r="K130" s="37" t="str">
        <f t="shared" si="28"/>
        <v/>
      </c>
      <c r="L130" s="37" t="str">
        <f t="shared" si="29"/>
        <v/>
      </c>
      <c r="M130" s="37" t="str">
        <f t="shared" si="30"/>
        <v/>
      </c>
      <c r="N130" s="37" t="str">
        <f t="shared" si="31"/>
        <v/>
      </c>
      <c r="O130" s="37" t="str">
        <f t="shared" si="32"/>
        <v/>
      </c>
      <c r="P130" s="37" t="str">
        <f t="shared" si="33"/>
        <v/>
      </c>
      <c r="Q130" s="37" t="str">
        <f t="shared" si="34"/>
        <v/>
      </c>
    </row>
    <row r="131" spans="1:17" ht="15" customHeight="1" x14ac:dyDescent="0.25">
      <c r="A131" s="58">
        <v>111</v>
      </c>
      <c r="B131" s="37">
        <f t="shared" si="19"/>
        <v>110.5</v>
      </c>
      <c r="C131" s="37" t="str">
        <f t="shared" si="20"/>
        <v/>
      </c>
      <c r="D131" s="37" t="str">
        <f t="shared" si="21"/>
        <v/>
      </c>
      <c r="E131" s="37" t="str">
        <f t="shared" si="22"/>
        <v/>
      </c>
      <c r="F131" s="37" t="str">
        <f t="shared" si="23"/>
        <v/>
      </c>
      <c r="G131" s="37" t="str">
        <f t="shared" si="24"/>
        <v/>
      </c>
      <c r="H131" s="37" t="str">
        <f t="shared" si="25"/>
        <v/>
      </c>
      <c r="I131" s="37" t="str">
        <f t="shared" si="26"/>
        <v/>
      </c>
      <c r="J131" s="37" t="str">
        <f t="shared" si="27"/>
        <v/>
      </c>
      <c r="K131" s="37" t="str">
        <f t="shared" si="28"/>
        <v/>
      </c>
      <c r="L131" s="37" t="str">
        <f t="shared" si="29"/>
        <v/>
      </c>
      <c r="M131" s="37" t="str">
        <f t="shared" si="30"/>
        <v/>
      </c>
      <c r="N131" s="37" t="str">
        <f t="shared" si="31"/>
        <v/>
      </c>
      <c r="O131" s="37" t="str">
        <f t="shared" si="32"/>
        <v/>
      </c>
      <c r="P131" s="37" t="str">
        <f t="shared" si="33"/>
        <v/>
      </c>
      <c r="Q131" s="37" t="str">
        <f t="shared" si="34"/>
        <v/>
      </c>
    </row>
    <row r="132" spans="1:17" ht="15" customHeight="1" x14ac:dyDescent="0.25">
      <c r="A132" s="58">
        <v>112</v>
      </c>
      <c r="B132" s="37">
        <f t="shared" si="19"/>
        <v>111.5</v>
      </c>
      <c r="C132" s="37" t="str">
        <f t="shared" si="20"/>
        <v/>
      </c>
      <c r="D132" s="37" t="str">
        <f t="shared" si="21"/>
        <v/>
      </c>
      <c r="E132" s="37" t="str">
        <f t="shared" si="22"/>
        <v/>
      </c>
      <c r="F132" s="37" t="str">
        <f t="shared" si="23"/>
        <v/>
      </c>
      <c r="G132" s="37" t="str">
        <f t="shared" si="24"/>
        <v/>
      </c>
      <c r="H132" s="37" t="str">
        <f t="shared" si="25"/>
        <v/>
      </c>
      <c r="I132" s="37" t="str">
        <f t="shared" si="26"/>
        <v/>
      </c>
      <c r="J132" s="37" t="str">
        <f t="shared" si="27"/>
        <v/>
      </c>
      <c r="K132" s="37" t="str">
        <f t="shared" si="28"/>
        <v/>
      </c>
      <c r="L132" s="37" t="str">
        <f t="shared" si="29"/>
        <v/>
      </c>
      <c r="M132" s="37" t="str">
        <f t="shared" si="30"/>
        <v/>
      </c>
      <c r="N132" s="37" t="str">
        <f t="shared" si="31"/>
        <v/>
      </c>
      <c r="O132" s="37" t="str">
        <f t="shared" si="32"/>
        <v/>
      </c>
      <c r="P132" s="37" t="str">
        <f t="shared" si="33"/>
        <v/>
      </c>
      <c r="Q132" s="37" t="str">
        <f t="shared" si="34"/>
        <v/>
      </c>
    </row>
    <row r="133" spans="1:17" ht="15" customHeight="1" x14ac:dyDescent="0.25">
      <c r="A133" s="58">
        <v>113</v>
      </c>
      <c r="B133" s="37">
        <f t="shared" si="19"/>
        <v>112.5</v>
      </c>
      <c r="C133" s="37" t="str">
        <f t="shared" si="20"/>
        <v/>
      </c>
      <c r="D133" s="37" t="str">
        <f t="shared" si="21"/>
        <v/>
      </c>
      <c r="E133" s="37" t="str">
        <f t="shared" si="22"/>
        <v/>
      </c>
      <c r="F133" s="37" t="str">
        <f t="shared" si="23"/>
        <v/>
      </c>
      <c r="G133" s="37" t="str">
        <f t="shared" si="24"/>
        <v/>
      </c>
      <c r="H133" s="37" t="str">
        <f t="shared" si="25"/>
        <v/>
      </c>
      <c r="I133" s="37" t="str">
        <f t="shared" si="26"/>
        <v/>
      </c>
      <c r="J133" s="37" t="str">
        <f t="shared" si="27"/>
        <v/>
      </c>
      <c r="K133" s="37" t="str">
        <f t="shared" si="28"/>
        <v/>
      </c>
      <c r="L133" s="37" t="str">
        <f t="shared" si="29"/>
        <v/>
      </c>
      <c r="M133" s="37" t="str">
        <f t="shared" si="30"/>
        <v/>
      </c>
      <c r="N133" s="37" t="str">
        <f t="shared" si="31"/>
        <v/>
      </c>
      <c r="O133" s="37" t="str">
        <f t="shared" si="32"/>
        <v/>
      </c>
      <c r="P133" s="37" t="str">
        <f t="shared" si="33"/>
        <v/>
      </c>
      <c r="Q133" s="37" t="str">
        <f t="shared" si="34"/>
        <v/>
      </c>
    </row>
    <row r="134" spans="1:17" ht="15" customHeight="1" x14ac:dyDescent="0.25">
      <c r="A134" s="58">
        <v>114</v>
      </c>
      <c r="B134" s="37">
        <f t="shared" si="19"/>
        <v>113.5</v>
      </c>
      <c r="C134" s="37" t="str">
        <f t="shared" si="20"/>
        <v/>
      </c>
      <c r="D134" s="37" t="str">
        <f t="shared" si="21"/>
        <v/>
      </c>
      <c r="E134" s="37" t="str">
        <f t="shared" si="22"/>
        <v/>
      </c>
      <c r="F134" s="37" t="str">
        <f t="shared" si="23"/>
        <v/>
      </c>
      <c r="G134" s="37" t="str">
        <f t="shared" si="24"/>
        <v/>
      </c>
      <c r="H134" s="37" t="str">
        <f t="shared" si="25"/>
        <v/>
      </c>
      <c r="I134" s="37" t="str">
        <f t="shared" si="26"/>
        <v/>
      </c>
      <c r="J134" s="37" t="str">
        <f t="shared" si="27"/>
        <v/>
      </c>
      <c r="K134" s="37" t="str">
        <f t="shared" si="28"/>
        <v/>
      </c>
      <c r="L134" s="37" t="str">
        <f t="shared" si="29"/>
        <v/>
      </c>
      <c r="M134" s="37" t="str">
        <f t="shared" si="30"/>
        <v/>
      </c>
      <c r="N134" s="37" t="str">
        <f t="shared" si="31"/>
        <v/>
      </c>
      <c r="O134" s="37" t="str">
        <f t="shared" si="32"/>
        <v/>
      </c>
      <c r="P134" s="37" t="str">
        <f t="shared" si="33"/>
        <v/>
      </c>
      <c r="Q134" s="37" t="str">
        <f t="shared" si="34"/>
        <v/>
      </c>
    </row>
    <row r="135" spans="1:17" ht="15" customHeight="1" x14ac:dyDescent="0.25">
      <c r="A135" s="58">
        <v>115</v>
      </c>
      <c r="B135" s="37">
        <f t="shared" si="19"/>
        <v>114.5</v>
      </c>
      <c r="C135" s="37" t="str">
        <f t="shared" si="20"/>
        <v/>
      </c>
      <c r="D135" s="37" t="str">
        <f t="shared" si="21"/>
        <v/>
      </c>
      <c r="E135" s="37" t="str">
        <f t="shared" si="22"/>
        <v/>
      </c>
      <c r="F135" s="37" t="str">
        <f t="shared" si="23"/>
        <v/>
      </c>
      <c r="G135" s="37" t="str">
        <f t="shared" si="24"/>
        <v/>
      </c>
      <c r="H135" s="37" t="str">
        <f t="shared" si="25"/>
        <v/>
      </c>
      <c r="I135" s="37" t="str">
        <f t="shared" si="26"/>
        <v/>
      </c>
      <c r="J135" s="37" t="str">
        <f t="shared" si="27"/>
        <v/>
      </c>
      <c r="K135" s="37" t="str">
        <f t="shared" si="28"/>
        <v/>
      </c>
      <c r="L135" s="37" t="str">
        <f t="shared" si="29"/>
        <v/>
      </c>
      <c r="M135" s="37" t="str">
        <f t="shared" si="30"/>
        <v/>
      </c>
      <c r="N135" s="37" t="str">
        <f t="shared" si="31"/>
        <v/>
      </c>
      <c r="O135" s="37" t="str">
        <f t="shared" si="32"/>
        <v/>
      </c>
      <c r="P135" s="37" t="str">
        <f t="shared" si="33"/>
        <v/>
      </c>
      <c r="Q135" s="37" t="str">
        <f t="shared" si="34"/>
        <v/>
      </c>
    </row>
    <row r="136" spans="1:17" ht="15" customHeight="1" x14ac:dyDescent="0.25">
      <c r="A136" s="58">
        <v>116</v>
      </c>
      <c r="B136" s="37">
        <f t="shared" si="19"/>
        <v>115.5</v>
      </c>
      <c r="C136" s="37" t="str">
        <f t="shared" si="20"/>
        <v/>
      </c>
      <c r="D136" s="37" t="str">
        <f t="shared" si="21"/>
        <v/>
      </c>
      <c r="E136" s="37" t="str">
        <f t="shared" si="22"/>
        <v/>
      </c>
      <c r="F136" s="37" t="str">
        <f t="shared" si="23"/>
        <v/>
      </c>
      <c r="G136" s="37" t="str">
        <f t="shared" si="24"/>
        <v/>
      </c>
      <c r="H136" s="37" t="str">
        <f t="shared" si="25"/>
        <v/>
      </c>
      <c r="I136" s="37" t="str">
        <f t="shared" si="26"/>
        <v/>
      </c>
      <c r="J136" s="37" t="str">
        <f t="shared" si="27"/>
        <v/>
      </c>
      <c r="K136" s="37" t="str">
        <f t="shared" si="28"/>
        <v/>
      </c>
      <c r="L136" s="37" t="str">
        <f t="shared" si="29"/>
        <v/>
      </c>
      <c r="M136" s="37" t="str">
        <f t="shared" si="30"/>
        <v/>
      </c>
      <c r="N136" s="37" t="str">
        <f t="shared" si="31"/>
        <v/>
      </c>
      <c r="O136" s="37" t="str">
        <f t="shared" si="32"/>
        <v/>
      </c>
      <c r="P136" s="37" t="str">
        <f t="shared" si="33"/>
        <v/>
      </c>
      <c r="Q136" s="37" t="str">
        <f t="shared" si="34"/>
        <v/>
      </c>
    </row>
    <row r="137" spans="1:17" ht="15" customHeight="1" x14ac:dyDescent="0.25">
      <c r="A137" s="58">
        <v>117</v>
      </c>
      <c r="B137" s="37">
        <f t="shared" si="19"/>
        <v>116.5</v>
      </c>
      <c r="C137" s="37" t="str">
        <f t="shared" si="20"/>
        <v/>
      </c>
      <c r="D137" s="37" t="str">
        <f t="shared" si="21"/>
        <v/>
      </c>
      <c r="E137" s="37" t="str">
        <f t="shared" si="22"/>
        <v/>
      </c>
      <c r="F137" s="37" t="str">
        <f t="shared" si="23"/>
        <v/>
      </c>
      <c r="G137" s="37" t="str">
        <f t="shared" si="24"/>
        <v/>
      </c>
      <c r="H137" s="37" t="str">
        <f t="shared" si="25"/>
        <v/>
      </c>
      <c r="I137" s="37" t="str">
        <f t="shared" si="26"/>
        <v/>
      </c>
      <c r="J137" s="37" t="str">
        <f t="shared" si="27"/>
        <v/>
      </c>
      <c r="K137" s="37" t="str">
        <f t="shared" si="28"/>
        <v/>
      </c>
      <c r="L137" s="37" t="str">
        <f t="shared" si="29"/>
        <v/>
      </c>
      <c r="M137" s="37" t="str">
        <f t="shared" si="30"/>
        <v/>
      </c>
      <c r="N137" s="37" t="str">
        <f t="shared" si="31"/>
        <v/>
      </c>
      <c r="O137" s="37" t="str">
        <f t="shared" si="32"/>
        <v/>
      </c>
      <c r="P137" s="37" t="str">
        <f t="shared" si="33"/>
        <v/>
      </c>
      <c r="Q137" s="37" t="str">
        <f t="shared" si="34"/>
        <v/>
      </c>
    </row>
    <row r="138" spans="1:17" ht="15" customHeight="1" x14ac:dyDescent="0.25">
      <c r="A138" s="58">
        <v>118</v>
      </c>
      <c r="B138" s="37">
        <f t="shared" si="19"/>
        <v>117.5</v>
      </c>
      <c r="C138" s="37" t="str">
        <f t="shared" si="20"/>
        <v/>
      </c>
      <c r="D138" s="37" t="str">
        <f t="shared" si="21"/>
        <v/>
      </c>
      <c r="E138" s="37" t="str">
        <f t="shared" si="22"/>
        <v/>
      </c>
      <c r="F138" s="37" t="str">
        <f t="shared" si="23"/>
        <v/>
      </c>
      <c r="G138" s="37" t="str">
        <f t="shared" si="24"/>
        <v/>
      </c>
      <c r="H138" s="37" t="str">
        <f t="shared" si="25"/>
        <v/>
      </c>
      <c r="I138" s="37" t="str">
        <f t="shared" si="26"/>
        <v/>
      </c>
      <c r="J138" s="37" t="str">
        <f t="shared" si="27"/>
        <v/>
      </c>
      <c r="K138" s="37" t="str">
        <f t="shared" si="28"/>
        <v/>
      </c>
      <c r="L138" s="37" t="str">
        <f t="shared" si="29"/>
        <v/>
      </c>
      <c r="M138" s="37" t="str">
        <f t="shared" si="30"/>
        <v/>
      </c>
      <c r="N138" s="37" t="str">
        <f t="shared" si="31"/>
        <v/>
      </c>
      <c r="O138" s="37" t="str">
        <f t="shared" si="32"/>
        <v/>
      </c>
      <c r="P138" s="37" t="str">
        <f t="shared" si="33"/>
        <v/>
      </c>
      <c r="Q138" s="37" t="str">
        <f t="shared" si="34"/>
        <v/>
      </c>
    </row>
    <row r="139" spans="1:17" ht="15" customHeight="1" x14ac:dyDescent="0.25">
      <c r="A139" s="58">
        <v>119</v>
      </c>
      <c r="B139" s="37">
        <f t="shared" si="19"/>
        <v>118.5</v>
      </c>
      <c r="C139" s="37" t="str">
        <f t="shared" si="20"/>
        <v/>
      </c>
      <c r="D139" s="37" t="str">
        <f t="shared" si="21"/>
        <v/>
      </c>
      <c r="E139" s="37" t="str">
        <f t="shared" si="22"/>
        <v/>
      </c>
      <c r="F139" s="37" t="str">
        <f t="shared" si="23"/>
        <v/>
      </c>
      <c r="G139" s="37" t="str">
        <f t="shared" si="24"/>
        <v/>
      </c>
      <c r="H139" s="37" t="str">
        <f t="shared" si="25"/>
        <v/>
      </c>
      <c r="I139" s="37" t="str">
        <f t="shared" si="26"/>
        <v/>
      </c>
      <c r="J139" s="37" t="str">
        <f t="shared" si="27"/>
        <v/>
      </c>
      <c r="K139" s="37" t="str">
        <f t="shared" si="28"/>
        <v/>
      </c>
      <c r="L139" s="37" t="str">
        <f t="shared" si="29"/>
        <v/>
      </c>
      <c r="M139" s="37" t="str">
        <f t="shared" si="30"/>
        <v/>
      </c>
      <c r="N139" s="37" t="str">
        <f t="shared" si="31"/>
        <v/>
      </c>
      <c r="O139" s="37" t="str">
        <f t="shared" si="32"/>
        <v/>
      </c>
      <c r="P139" s="37" t="str">
        <f t="shared" si="33"/>
        <v/>
      </c>
      <c r="Q139" s="37" t="str">
        <f t="shared" si="34"/>
        <v/>
      </c>
    </row>
    <row r="140" spans="1:17" ht="15" customHeight="1" x14ac:dyDescent="0.25">
      <c r="A140" s="58">
        <v>120</v>
      </c>
      <c r="B140" s="37">
        <f t="shared" si="19"/>
        <v>119.5</v>
      </c>
      <c r="C140" s="37" t="str">
        <f t="shared" si="20"/>
        <v/>
      </c>
      <c r="D140" s="37" t="str">
        <f t="shared" si="21"/>
        <v/>
      </c>
      <c r="E140" s="37" t="str">
        <f t="shared" si="22"/>
        <v/>
      </c>
      <c r="F140" s="37" t="str">
        <f t="shared" si="23"/>
        <v/>
      </c>
      <c r="G140" s="37" t="str">
        <f t="shared" si="24"/>
        <v/>
      </c>
      <c r="H140" s="37" t="str">
        <f t="shared" si="25"/>
        <v/>
      </c>
      <c r="I140" s="37" t="str">
        <f t="shared" si="26"/>
        <v/>
      </c>
      <c r="J140" s="37" t="str">
        <f t="shared" si="27"/>
        <v/>
      </c>
      <c r="K140" s="37" t="str">
        <f t="shared" si="28"/>
        <v/>
      </c>
      <c r="L140" s="37" t="str">
        <f t="shared" si="29"/>
        <v/>
      </c>
      <c r="M140" s="37" t="str">
        <f t="shared" si="30"/>
        <v/>
      </c>
      <c r="N140" s="37" t="str">
        <f t="shared" si="31"/>
        <v/>
      </c>
      <c r="O140" s="37" t="str">
        <f t="shared" si="32"/>
        <v/>
      </c>
      <c r="P140" s="37" t="str">
        <f t="shared" si="33"/>
        <v/>
      </c>
      <c r="Q140" s="37" t="str">
        <f t="shared" si="34"/>
        <v/>
      </c>
    </row>
    <row r="141" spans="1:17" ht="15" customHeight="1" x14ac:dyDescent="0.25">
      <c r="A141" s="58">
        <v>121</v>
      </c>
      <c r="B141" s="37">
        <f t="shared" si="19"/>
        <v>120.5</v>
      </c>
      <c r="C141" s="37" t="str">
        <f t="shared" si="20"/>
        <v/>
      </c>
      <c r="D141" s="37" t="str">
        <f t="shared" si="21"/>
        <v/>
      </c>
      <c r="E141" s="37" t="str">
        <f t="shared" si="22"/>
        <v/>
      </c>
      <c r="F141" s="37" t="str">
        <f t="shared" si="23"/>
        <v/>
      </c>
      <c r="G141" s="37" t="str">
        <f t="shared" si="24"/>
        <v/>
      </c>
      <c r="H141" s="37" t="str">
        <f t="shared" si="25"/>
        <v/>
      </c>
      <c r="I141" s="37" t="str">
        <f t="shared" si="26"/>
        <v/>
      </c>
      <c r="J141" s="37" t="str">
        <f t="shared" si="27"/>
        <v/>
      </c>
      <c r="K141" s="37" t="str">
        <f t="shared" si="28"/>
        <v/>
      </c>
      <c r="L141" s="37" t="str">
        <f t="shared" si="29"/>
        <v/>
      </c>
      <c r="M141" s="37" t="str">
        <f t="shared" si="30"/>
        <v/>
      </c>
      <c r="N141" s="37" t="str">
        <f t="shared" si="31"/>
        <v/>
      </c>
      <c r="O141" s="37" t="str">
        <f t="shared" si="32"/>
        <v/>
      </c>
      <c r="P141" s="37" t="str">
        <f t="shared" si="33"/>
        <v/>
      </c>
      <c r="Q141" s="37" t="str">
        <f t="shared" si="34"/>
        <v/>
      </c>
    </row>
    <row r="142" spans="1:17" ht="15" customHeight="1" x14ac:dyDescent="0.25">
      <c r="A142" s="58">
        <v>122</v>
      </c>
      <c r="B142" s="37">
        <f t="shared" si="19"/>
        <v>121.5</v>
      </c>
      <c r="C142" s="37" t="str">
        <f t="shared" si="20"/>
        <v/>
      </c>
      <c r="D142" s="37" t="str">
        <f t="shared" si="21"/>
        <v/>
      </c>
      <c r="E142" s="37" t="str">
        <f t="shared" si="22"/>
        <v/>
      </c>
      <c r="F142" s="37" t="str">
        <f t="shared" si="23"/>
        <v/>
      </c>
      <c r="G142" s="37" t="str">
        <f t="shared" si="24"/>
        <v/>
      </c>
      <c r="H142" s="37" t="str">
        <f t="shared" si="25"/>
        <v/>
      </c>
      <c r="I142" s="37" t="str">
        <f t="shared" si="26"/>
        <v/>
      </c>
      <c r="J142" s="37" t="str">
        <f t="shared" si="27"/>
        <v/>
      </c>
      <c r="K142" s="37" t="str">
        <f t="shared" si="28"/>
        <v/>
      </c>
      <c r="L142" s="37" t="str">
        <f t="shared" si="29"/>
        <v/>
      </c>
      <c r="M142" s="37" t="str">
        <f t="shared" si="30"/>
        <v/>
      </c>
      <c r="N142" s="37" t="str">
        <f t="shared" si="31"/>
        <v/>
      </c>
      <c r="O142" s="37" t="str">
        <f t="shared" si="32"/>
        <v/>
      </c>
      <c r="P142" s="37" t="str">
        <f t="shared" si="33"/>
        <v/>
      </c>
      <c r="Q142" s="37" t="str">
        <f t="shared" si="34"/>
        <v/>
      </c>
    </row>
    <row r="143" spans="1:17" ht="15" customHeight="1" x14ac:dyDescent="0.25">
      <c r="A143" s="58">
        <v>123</v>
      </c>
      <c r="B143" s="37">
        <f t="shared" si="19"/>
        <v>122.5</v>
      </c>
      <c r="C143" s="37" t="str">
        <f t="shared" si="20"/>
        <v/>
      </c>
      <c r="D143" s="37" t="str">
        <f t="shared" si="21"/>
        <v/>
      </c>
      <c r="E143" s="37" t="str">
        <f t="shared" si="22"/>
        <v/>
      </c>
      <c r="F143" s="37" t="str">
        <f t="shared" si="23"/>
        <v/>
      </c>
      <c r="G143" s="37" t="str">
        <f t="shared" si="24"/>
        <v/>
      </c>
      <c r="H143" s="37" t="str">
        <f t="shared" si="25"/>
        <v/>
      </c>
      <c r="I143" s="37" t="str">
        <f t="shared" si="26"/>
        <v/>
      </c>
      <c r="J143" s="37" t="str">
        <f t="shared" si="27"/>
        <v/>
      </c>
      <c r="K143" s="37" t="str">
        <f t="shared" si="28"/>
        <v/>
      </c>
      <c r="L143" s="37" t="str">
        <f t="shared" si="29"/>
        <v/>
      </c>
      <c r="M143" s="37" t="str">
        <f t="shared" si="30"/>
        <v/>
      </c>
      <c r="N143" s="37" t="str">
        <f t="shared" si="31"/>
        <v/>
      </c>
      <c r="O143" s="37" t="str">
        <f t="shared" si="32"/>
        <v/>
      </c>
      <c r="P143" s="37" t="str">
        <f t="shared" si="33"/>
        <v/>
      </c>
      <c r="Q143" s="37" t="str">
        <f t="shared" si="34"/>
        <v/>
      </c>
    </row>
    <row r="144" spans="1:17" ht="15" customHeight="1" x14ac:dyDescent="0.25">
      <c r="A144" s="58">
        <v>124</v>
      </c>
      <c r="B144" s="37">
        <f t="shared" si="19"/>
        <v>123.5</v>
      </c>
      <c r="C144" s="37" t="str">
        <f t="shared" si="20"/>
        <v/>
      </c>
      <c r="D144" s="37" t="str">
        <f t="shared" si="21"/>
        <v/>
      </c>
      <c r="E144" s="37" t="str">
        <f t="shared" si="22"/>
        <v/>
      </c>
      <c r="F144" s="37" t="str">
        <f t="shared" si="23"/>
        <v/>
      </c>
      <c r="G144" s="37" t="str">
        <f t="shared" si="24"/>
        <v/>
      </c>
      <c r="H144" s="37" t="str">
        <f t="shared" si="25"/>
        <v/>
      </c>
      <c r="I144" s="37" t="str">
        <f t="shared" si="26"/>
        <v/>
      </c>
      <c r="J144" s="37" t="str">
        <f t="shared" si="27"/>
        <v/>
      </c>
      <c r="K144" s="37" t="str">
        <f t="shared" si="28"/>
        <v/>
      </c>
      <c r="L144" s="37" t="str">
        <f t="shared" si="29"/>
        <v/>
      </c>
      <c r="M144" s="37" t="str">
        <f t="shared" si="30"/>
        <v/>
      </c>
      <c r="N144" s="37" t="str">
        <f t="shared" si="31"/>
        <v/>
      </c>
      <c r="O144" s="37" t="str">
        <f t="shared" si="32"/>
        <v/>
      </c>
      <c r="P144" s="37" t="str">
        <f t="shared" si="33"/>
        <v/>
      </c>
      <c r="Q144" s="37" t="str">
        <f t="shared" si="34"/>
        <v/>
      </c>
    </row>
    <row r="145" spans="1:17" ht="15" customHeight="1" x14ac:dyDescent="0.25">
      <c r="A145" s="58">
        <v>125</v>
      </c>
      <c r="B145" s="37">
        <f t="shared" si="19"/>
        <v>124.5</v>
      </c>
      <c r="C145" s="37" t="str">
        <f t="shared" si="20"/>
        <v/>
      </c>
      <c r="D145" s="37" t="str">
        <f t="shared" si="21"/>
        <v/>
      </c>
      <c r="E145" s="37" t="str">
        <f t="shared" si="22"/>
        <v/>
      </c>
      <c r="F145" s="37" t="str">
        <f t="shared" si="23"/>
        <v/>
      </c>
      <c r="G145" s="37" t="str">
        <f t="shared" si="24"/>
        <v/>
      </c>
      <c r="H145" s="37" t="str">
        <f t="shared" si="25"/>
        <v/>
      </c>
      <c r="I145" s="37" t="str">
        <f t="shared" si="26"/>
        <v/>
      </c>
      <c r="J145" s="37" t="str">
        <f t="shared" si="27"/>
        <v/>
      </c>
      <c r="K145" s="37" t="str">
        <f t="shared" si="28"/>
        <v/>
      </c>
      <c r="L145" s="37" t="str">
        <f t="shared" si="29"/>
        <v/>
      </c>
      <c r="M145" s="37" t="str">
        <f t="shared" si="30"/>
        <v/>
      </c>
      <c r="N145" s="37" t="str">
        <f t="shared" si="31"/>
        <v/>
      </c>
      <c r="O145" s="37" t="str">
        <f t="shared" si="32"/>
        <v/>
      </c>
      <c r="P145" s="37" t="str">
        <f t="shared" si="33"/>
        <v/>
      </c>
      <c r="Q145" s="37" t="str">
        <f t="shared" si="34"/>
        <v/>
      </c>
    </row>
    <row r="146" spans="1:17" ht="15" customHeight="1" x14ac:dyDescent="0.25">
      <c r="A146" s="58">
        <v>126</v>
      </c>
      <c r="B146" s="37">
        <f t="shared" si="19"/>
        <v>125.5</v>
      </c>
      <c r="C146" s="37" t="str">
        <f t="shared" si="20"/>
        <v/>
      </c>
      <c r="D146" s="37" t="str">
        <f t="shared" si="21"/>
        <v/>
      </c>
      <c r="E146" s="37" t="str">
        <f t="shared" si="22"/>
        <v/>
      </c>
      <c r="F146" s="37" t="str">
        <f t="shared" si="23"/>
        <v/>
      </c>
      <c r="G146" s="37" t="str">
        <f t="shared" si="24"/>
        <v/>
      </c>
      <c r="H146" s="37" t="str">
        <f t="shared" si="25"/>
        <v/>
      </c>
      <c r="I146" s="37" t="str">
        <f t="shared" si="26"/>
        <v/>
      </c>
      <c r="J146" s="37" t="str">
        <f t="shared" si="27"/>
        <v/>
      </c>
      <c r="K146" s="37" t="str">
        <f t="shared" si="28"/>
        <v/>
      </c>
      <c r="L146" s="37" t="str">
        <f t="shared" si="29"/>
        <v/>
      </c>
      <c r="M146" s="37" t="str">
        <f t="shared" si="30"/>
        <v/>
      </c>
      <c r="N146" s="37" t="str">
        <f t="shared" si="31"/>
        <v/>
      </c>
      <c r="O146" s="37" t="str">
        <f t="shared" si="32"/>
        <v/>
      </c>
      <c r="P146" s="37" t="str">
        <f t="shared" si="33"/>
        <v/>
      </c>
      <c r="Q146" s="37" t="str">
        <f t="shared" si="34"/>
        <v/>
      </c>
    </row>
    <row r="147" spans="1:17" ht="15" customHeight="1" x14ac:dyDescent="0.25">
      <c r="A147" s="58">
        <v>127</v>
      </c>
      <c r="B147" s="37">
        <f t="shared" si="19"/>
        <v>126.5</v>
      </c>
      <c r="C147" s="37" t="str">
        <f t="shared" si="20"/>
        <v/>
      </c>
      <c r="D147" s="37" t="str">
        <f t="shared" si="21"/>
        <v/>
      </c>
      <c r="E147" s="37" t="str">
        <f t="shared" si="22"/>
        <v/>
      </c>
      <c r="F147" s="37" t="str">
        <f t="shared" si="23"/>
        <v/>
      </c>
      <c r="G147" s="37" t="str">
        <f t="shared" si="24"/>
        <v/>
      </c>
      <c r="H147" s="37" t="str">
        <f t="shared" si="25"/>
        <v/>
      </c>
      <c r="I147" s="37" t="str">
        <f t="shared" si="26"/>
        <v/>
      </c>
      <c r="J147" s="37" t="str">
        <f t="shared" si="27"/>
        <v/>
      </c>
      <c r="K147" s="37" t="str">
        <f t="shared" si="28"/>
        <v/>
      </c>
      <c r="L147" s="37" t="str">
        <f t="shared" si="29"/>
        <v/>
      </c>
      <c r="M147" s="37" t="str">
        <f t="shared" si="30"/>
        <v/>
      </c>
      <c r="N147" s="37" t="str">
        <f t="shared" si="31"/>
        <v/>
      </c>
      <c r="O147" s="37" t="str">
        <f t="shared" si="32"/>
        <v/>
      </c>
      <c r="P147" s="37" t="str">
        <f t="shared" si="33"/>
        <v/>
      </c>
      <c r="Q147" s="37" t="str">
        <f t="shared" si="34"/>
        <v/>
      </c>
    </row>
    <row r="148" spans="1:17" ht="15" customHeight="1" x14ac:dyDescent="0.25">
      <c r="A148" s="58">
        <v>128</v>
      </c>
      <c r="B148" s="37">
        <f t="shared" si="19"/>
        <v>127.5</v>
      </c>
      <c r="C148" s="37" t="str">
        <f t="shared" si="20"/>
        <v/>
      </c>
      <c r="D148" s="37" t="str">
        <f t="shared" si="21"/>
        <v/>
      </c>
      <c r="E148" s="37" t="str">
        <f t="shared" si="22"/>
        <v/>
      </c>
      <c r="F148" s="37" t="str">
        <f t="shared" si="23"/>
        <v/>
      </c>
      <c r="G148" s="37" t="str">
        <f t="shared" si="24"/>
        <v/>
      </c>
      <c r="H148" s="37" t="str">
        <f t="shared" si="25"/>
        <v/>
      </c>
      <c r="I148" s="37" t="str">
        <f t="shared" si="26"/>
        <v/>
      </c>
      <c r="J148" s="37" t="str">
        <f t="shared" si="27"/>
        <v/>
      </c>
      <c r="K148" s="37" t="str">
        <f t="shared" si="28"/>
        <v/>
      </c>
      <c r="L148" s="37" t="str">
        <f t="shared" si="29"/>
        <v/>
      </c>
      <c r="M148" s="37" t="str">
        <f t="shared" si="30"/>
        <v/>
      </c>
      <c r="N148" s="37" t="str">
        <f t="shared" si="31"/>
        <v/>
      </c>
      <c r="O148" s="37" t="str">
        <f t="shared" si="32"/>
        <v/>
      </c>
      <c r="P148" s="37" t="str">
        <f t="shared" si="33"/>
        <v/>
      </c>
      <c r="Q148" s="37" t="str">
        <f t="shared" si="34"/>
        <v/>
      </c>
    </row>
    <row r="149" spans="1:17" ht="15" customHeight="1" x14ac:dyDescent="0.25">
      <c r="A149" s="58">
        <v>129</v>
      </c>
      <c r="B149" s="37">
        <f t="shared" ref="B149:B212" si="35">(A149-0.5)*u_w</f>
        <v>128.5</v>
      </c>
      <c r="C149" s="37" t="str">
        <f t="shared" ref="C149:C212" si="36">IF(OR(A149&gt;NL_b,$B$12=""),"",IF((ABS(B149-$B$12)+lane_off)&lt;=0,0,IF((ABS(B149-$B$12)+lane_off)&gt;=v_sh^2/a_sh,(ABS(B149-$B$12)+lane_off)/v_sh+v_sh/a_sh,2*SQRT((ABS(B149-$B$12)+lane_off)/a_sh))))</f>
        <v/>
      </c>
      <c r="D149" s="37" t="str">
        <f t="shared" ref="D149:D212" si="37">IF(OR(A149&gt;NL_b,$B$13=""),"",IF((ABS(B149-$B$13)+lane_off)&lt;=0,0,IF((ABS(B149-$B$13)+lane_off)&gt;=v_sh^2/a_sh,(ABS(B149-$B$13)+lane_off)/v_sh+v_sh/a_sh,2*SQRT((ABS(B149-$B$13)+lane_off)/a_sh))))</f>
        <v/>
      </c>
      <c r="E149" s="37" t="str">
        <f t="shared" ref="E149:E212" si="38">IF(OR(A149&gt;NL_b,$B$14=""),"",IF((ABS(B149-$B$14)+lane_off)&lt;=0,0,IF((ABS(B149-$B$14)+lane_off)&gt;=v_sh^2/a_sh,(ABS(B149-$B$14)+lane_off)/v_sh+v_sh/a_sh,2*SQRT((ABS(B149-$B$14)+lane_off)/a_sh))))</f>
        <v/>
      </c>
      <c r="F149" s="37" t="str">
        <f t="shared" ref="F149:F212" si="39">IF(OR(A149&gt;NL_b,$B$15=""),"",IF((ABS(B149-$B$15)+lane_off)&lt;=0,0,IF((ABS(B149-$B$15)+lane_off)&gt;=v_sh^2/a_sh,(ABS(B149-$B$15)+lane_off)/v_sh+v_sh/a_sh,2*SQRT((ABS(B149-$B$15)+lane_off)/a_sh))))</f>
        <v/>
      </c>
      <c r="G149" s="37" t="str">
        <f t="shared" ref="G149:G212" si="40">IF(OR(A149&gt;NL_b,$B$16=""),"",IF((ABS(B149-$B$16)+lane_off)&lt;=0,0,IF((ABS(B149-$B$16)+lane_off)&gt;=v_sh^2/a_sh,(ABS(B149-$B$16)+lane_off)/v_sh+v_sh/a_sh,2*SQRT((ABS(B149-$B$16)+lane_off)/a_sh))))</f>
        <v/>
      </c>
      <c r="H149" s="37" t="str">
        <f t="shared" ref="H149:H212" si="41">IF(OR(A149&gt;NL_b,$B$17=""),"",IF((ABS(B149-$B$17)+lane_off)&lt;=0,0,IF((ABS(B149-$B$17)+lane_off)&gt;=v_sh^2/a_sh,(ABS(B149-$B$17)+lane_off)/v_sh+v_sh/a_sh,2*SQRT((ABS(B149-$B$17)+lane_off)/a_sh))))</f>
        <v/>
      </c>
      <c r="I149" s="37" t="str">
        <f t="shared" ref="I149:I212" si="42">IF(C149="","",2*C149+w_conv*$D$12/v_conv)</f>
        <v/>
      </c>
      <c r="J149" s="37" t="str">
        <f t="shared" ref="J149:J212" si="43">IF(D149="","",2*D149+w_conv*$D$13/v_conv)</f>
        <v/>
      </c>
      <c r="K149" s="37" t="str">
        <f t="shared" ref="K149:K212" si="44">IF(E149="","",2*E149+w_conv*$D$14/v_conv)</f>
        <v/>
      </c>
      <c r="L149" s="37" t="str">
        <f t="shared" ref="L149:L212" si="45">IF(F149="","",2*F149+w_conv*$D$15/v_conv)</f>
        <v/>
      </c>
      <c r="M149" s="37" t="str">
        <f t="shared" ref="M149:M212" si="46">IF(G149="","",2*G149+w_conv*$D$16/v_conv)</f>
        <v/>
      </c>
      <c r="N149" s="37" t="str">
        <f t="shared" ref="N149:N212" si="47">IF(H149="","",2*H149+w_conv*$D$17/v_conv)</f>
        <v/>
      </c>
      <c r="O149" s="37" t="str">
        <f t="shared" ref="O149:O212" si="48">IF(A149&gt;NL_b,"",MIN(I149:N149))</f>
        <v/>
      </c>
      <c r="P149" s="37" t="str">
        <f t="shared" ref="P149:P212" si="49">IF(O149="","",INDEX(C149:H149,MATCH(O149,I149:N149,0)))</f>
        <v/>
      </c>
      <c r="Q149" s="37" t="str">
        <f t="shared" ref="Q149:Q212" si="50">IF(O149="","",INDEX($D$12:$D$17,MATCH(O149,I149:N149,0)))</f>
        <v/>
      </c>
    </row>
    <row r="150" spans="1:17" ht="15" customHeight="1" x14ac:dyDescent="0.25">
      <c r="A150" s="58">
        <v>130</v>
      </c>
      <c r="B150" s="37">
        <f t="shared" si="35"/>
        <v>129.5</v>
      </c>
      <c r="C150" s="37" t="str">
        <f t="shared" si="36"/>
        <v/>
      </c>
      <c r="D150" s="37" t="str">
        <f t="shared" si="37"/>
        <v/>
      </c>
      <c r="E150" s="37" t="str">
        <f t="shared" si="38"/>
        <v/>
      </c>
      <c r="F150" s="37" t="str">
        <f t="shared" si="39"/>
        <v/>
      </c>
      <c r="G150" s="37" t="str">
        <f t="shared" si="40"/>
        <v/>
      </c>
      <c r="H150" s="37" t="str">
        <f t="shared" si="41"/>
        <v/>
      </c>
      <c r="I150" s="37" t="str">
        <f t="shared" si="42"/>
        <v/>
      </c>
      <c r="J150" s="37" t="str">
        <f t="shared" si="43"/>
        <v/>
      </c>
      <c r="K150" s="37" t="str">
        <f t="shared" si="44"/>
        <v/>
      </c>
      <c r="L150" s="37" t="str">
        <f t="shared" si="45"/>
        <v/>
      </c>
      <c r="M150" s="37" t="str">
        <f t="shared" si="46"/>
        <v/>
      </c>
      <c r="N150" s="37" t="str">
        <f t="shared" si="47"/>
        <v/>
      </c>
      <c r="O150" s="37" t="str">
        <f t="shared" si="48"/>
        <v/>
      </c>
      <c r="P150" s="37" t="str">
        <f t="shared" si="49"/>
        <v/>
      </c>
      <c r="Q150" s="37" t="str">
        <f t="shared" si="50"/>
        <v/>
      </c>
    </row>
    <row r="151" spans="1:17" ht="15" customHeight="1" x14ac:dyDescent="0.25">
      <c r="A151" s="58">
        <v>131</v>
      </c>
      <c r="B151" s="37">
        <f t="shared" si="35"/>
        <v>130.5</v>
      </c>
      <c r="C151" s="37" t="str">
        <f t="shared" si="36"/>
        <v/>
      </c>
      <c r="D151" s="37" t="str">
        <f t="shared" si="37"/>
        <v/>
      </c>
      <c r="E151" s="37" t="str">
        <f t="shared" si="38"/>
        <v/>
      </c>
      <c r="F151" s="37" t="str">
        <f t="shared" si="39"/>
        <v/>
      </c>
      <c r="G151" s="37" t="str">
        <f t="shared" si="40"/>
        <v/>
      </c>
      <c r="H151" s="37" t="str">
        <f t="shared" si="41"/>
        <v/>
      </c>
      <c r="I151" s="37" t="str">
        <f t="shared" si="42"/>
        <v/>
      </c>
      <c r="J151" s="37" t="str">
        <f t="shared" si="43"/>
        <v/>
      </c>
      <c r="K151" s="37" t="str">
        <f t="shared" si="44"/>
        <v/>
      </c>
      <c r="L151" s="37" t="str">
        <f t="shared" si="45"/>
        <v/>
      </c>
      <c r="M151" s="37" t="str">
        <f t="shared" si="46"/>
        <v/>
      </c>
      <c r="N151" s="37" t="str">
        <f t="shared" si="47"/>
        <v/>
      </c>
      <c r="O151" s="37" t="str">
        <f t="shared" si="48"/>
        <v/>
      </c>
      <c r="P151" s="37" t="str">
        <f t="shared" si="49"/>
        <v/>
      </c>
      <c r="Q151" s="37" t="str">
        <f t="shared" si="50"/>
        <v/>
      </c>
    </row>
    <row r="152" spans="1:17" ht="15" customHeight="1" x14ac:dyDescent="0.25">
      <c r="A152" s="58">
        <v>132</v>
      </c>
      <c r="B152" s="37">
        <f t="shared" si="35"/>
        <v>131.5</v>
      </c>
      <c r="C152" s="37" t="str">
        <f t="shared" si="36"/>
        <v/>
      </c>
      <c r="D152" s="37" t="str">
        <f t="shared" si="37"/>
        <v/>
      </c>
      <c r="E152" s="37" t="str">
        <f t="shared" si="38"/>
        <v/>
      </c>
      <c r="F152" s="37" t="str">
        <f t="shared" si="39"/>
        <v/>
      </c>
      <c r="G152" s="37" t="str">
        <f t="shared" si="40"/>
        <v/>
      </c>
      <c r="H152" s="37" t="str">
        <f t="shared" si="41"/>
        <v/>
      </c>
      <c r="I152" s="37" t="str">
        <f t="shared" si="42"/>
        <v/>
      </c>
      <c r="J152" s="37" t="str">
        <f t="shared" si="43"/>
        <v/>
      </c>
      <c r="K152" s="37" t="str">
        <f t="shared" si="44"/>
        <v/>
      </c>
      <c r="L152" s="37" t="str">
        <f t="shared" si="45"/>
        <v/>
      </c>
      <c r="M152" s="37" t="str">
        <f t="shared" si="46"/>
        <v/>
      </c>
      <c r="N152" s="37" t="str">
        <f t="shared" si="47"/>
        <v/>
      </c>
      <c r="O152" s="37" t="str">
        <f t="shared" si="48"/>
        <v/>
      </c>
      <c r="P152" s="37" t="str">
        <f t="shared" si="49"/>
        <v/>
      </c>
      <c r="Q152" s="37" t="str">
        <f t="shared" si="50"/>
        <v/>
      </c>
    </row>
    <row r="153" spans="1:17" ht="15" customHeight="1" x14ac:dyDescent="0.25">
      <c r="A153" s="58">
        <v>133</v>
      </c>
      <c r="B153" s="37">
        <f t="shared" si="35"/>
        <v>132.5</v>
      </c>
      <c r="C153" s="37" t="str">
        <f t="shared" si="36"/>
        <v/>
      </c>
      <c r="D153" s="37" t="str">
        <f t="shared" si="37"/>
        <v/>
      </c>
      <c r="E153" s="37" t="str">
        <f t="shared" si="38"/>
        <v/>
      </c>
      <c r="F153" s="37" t="str">
        <f t="shared" si="39"/>
        <v/>
      </c>
      <c r="G153" s="37" t="str">
        <f t="shared" si="40"/>
        <v/>
      </c>
      <c r="H153" s="37" t="str">
        <f t="shared" si="41"/>
        <v/>
      </c>
      <c r="I153" s="37" t="str">
        <f t="shared" si="42"/>
        <v/>
      </c>
      <c r="J153" s="37" t="str">
        <f t="shared" si="43"/>
        <v/>
      </c>
      <c r="K153" s="37" t="str">
        <f t="shared" si="44"/>
        <v/>
      </c>
      <c r="L153" s="37" t="str">
        <f t="shared" si="45"/>
        <v/>
      </c>
      <c r="M153" s="37" t="str">
        <f t="shared" si="46"/>
        <v/>
      </c>
      <c r="N153" s="37" t="str">
        <f t="shared" si="47"/>
        <v/>
      </c>
      <c r="O153" s="37" t="str">
        <f t="shared" si="48"/>
        <v/>
      </c>
      <c r="P153" s="37" t="str">
        <f t="shared" si="49"/>
        <v/>
      </c>
      <c r="Q153" s="37" t="str">
        <f t="shared" si="50"/>
        <v/>
      </c>
    </row>
    <row r="154" spans="1:17" ht="15" customHeight="1" x14ac:dyDescent="0.25">
      <c r="A154" s="58">
        <v>134</v>
      </c>
      <c r="B154" s="37">
        <f t="shared" si="35"/>
        <v>133.5</v>
      </c>
      <c r="C154" s="37" t="str">
        <f t="shared" si="36"/>
        <v/>
      </c>
      <c r="D154" s="37" t="str">
        <f t="shared" si="37"/>
        <v/>
      </c>
      <c r="E154" s="37" t="str">
        <f t="shared" si="38"/>
        <v/>
      </c>
      <c r="F154" s="37" t="str">
        <f t="shared" si="39"/>
        <v/>
      </c>
      <c r="G154" s="37" t="str">
        <f t="shared" si="40"/>
        <v/>
      </c>
      <c r="H154" s="37" t="str">
        <f t="shared" si="41"/>
        <v/>
      </c>
      <c r="I154" s="37" t="str">
        <f t="shared" si="42"/>
        <v/>
      </c>
      <c r="J154" s="37" t="str">
        <f t="shared" si="43"/>
        <v/>
      </c>
      <c r="K154" s="37" t="str">
        <f t="shared" si="44"/>
        <v/>
      </c>
      <c r="L154" s="37" t="str">
        <f t="shared" si="45"/>
        <v/>
      </c>
      <c r="M154" s="37" t="str">
        <f t="shared" si="46"/>
        <v/>
      </c>
      <c r="N154" s="37" t="str">
        <f t="shared" si="47"/>
        <v/>
      </c>
      <c r="O154" s="37" t="str">
        <f t="shared" si="48"/>
        <v/>
      </c>
      <c r="P154" s="37" t="str">
        <f t="shared" si="49"/>
        <v/>
      </c>
      <c r="Q154" s="37" t="str">
        <f t="shared" si="50"/>
        <v/>
      </c>
    </row>
    <row r="155" spans="1:17" ht="15" customHeight="1" x14ac:dyDescent="0.25">
      <c r="A155" s="58">
        <v>135</v>
      </c>
      <c r="B155" s="37">
        <f t="shared" si="35"/>
        <v>134.5</v>
      </c>
      <c r="C155" s="37" t="str">
        <f t="shared" si="36"/>
        <v/>
      </c>
      <c r="D155" s="37" t="str">
        <f t="shared" si="37"/>
        <v/>
      </c>
      <c r="E155" s="37" t="str">
        <f t="shared" si="38"/>
        <v/>
      </c>
      <c r="F155" s="37" t="str">
        <f t="shared" si="39"/>
        <v/>
      </c>
      <c r="G155" s="37" t="str">
        <f t="shared" si="40"/>
        <v/>
      </c>
      <c r="H155" s="37" t="str">
        <f t="shared" si="41"/>
        <v/>
      </c>
      <c r="I155" s="37" t="str">
        <f t="shared" si="42"/>
        <v/>
      </c>
      <c r="J155" s="37" t="str">
        <f t="shared" si="43"/>
        <v/>
      </c>
      <c r="K155" s="37" t="str">
        <f t="shared" si="44"/>
        <v/>
      </c>
      <c r="L155" s="37" t="str">
        <f t="shared" si="45"/>
        <v/>
      </c>
      <c r="M155" s="37" t="str">
        <f t="shared" si="46"/>
        <v/>
      </c>
      <c r="N155" s="37" t="str">
        <f t="shared" si="47"/>
        <v/>
      </c>
      <c r="O155" s="37" t="str">
        <f t="shared" si="48"/>
        <v/>
      </c>
      <c r="P155" s="37" t="str">
        <f t="shared" si="49"/>
        <v/>
      </c>
      <c r="Q155" s="37" t="str">
        <f t="shared" si="50"/>
        <v/>
      </c>
    </row>
    <row r="156" spans="1:17" ht="15" customHeight="1" x14ac:dyDescent="0.25">
      <c r="A156" s="58">
        <v>136</v>
      </c>
      <c r="B156" s="37">
        <f t="shared" si="35"/>
        <v>135.5</v>
      </c>
      <c r="C156" s="37" t="str">
        <f t="shared" si="36"/>
        <v/>
      </c>
      <c r="D156" s="37" t="str">
        <f t="shared" si="37"/>
        <v/>
      </c>
      <c r="E156" s="37" t="str">
        <f t="shared" si="38"/>
        <v/>
      </c>
      <c r="F156" s="37" t="str">
        <f t="shared" si="39"/>
        <v/>
      </c>
      <c r="G156" s="37" t="str">
        <f t="shared" si="40"/>
        <v/>
      </c>
      <c r="H156" s="37" t="str">
        <f t="shared" si="41"/>
        <v/>
      </c>
      <c r="I156" s="37" t="str">
        <f t="shared" si="42"/>
        <v/>
      </c>
      <c r="J156" s="37" t="str">
        <f t="shared" si="43"/>
        <v/>
      </c>
      <c r="K156" s="37" t="str">
        <f t="shared" si="44"/>
        <v/>
      </c>
      <c r="L156" s="37" t="str">
        <f t="shared" si="45"/>
        <v/>
      </c>
      <c r="M156" s="37" t="str">
        <f t="shared" si="46"/>
        <v/>
      </c>
      <c r="N156" s="37" t="str">
        <f t="shared" si="47"/>
        <v/>
      </c>
      <c r="O156" s="37" t="str">
        <f t="shared" si="48"/>
        <v/>
      </c>
      <c r="P156" s="37" t="str">
        <f t="shared" si="49"/>
        <v/>
      </c>
      <c r="Q156" s="37" t="str">
        <f t="shared" si="50"/>
        <v/>
      </c>
    </row>
    <row r="157" spans="1:17" ht="15" customHeight="1" x14ac:dyDescent="0.25">
      <c r="A157" s="58">
        <v>137</v>
      </c>
      <c r="B157" s="37">
        <f t="shared" si="35"/>
        <v>136.5</v>
      </c>
      <c r="C157" s="37" t="str">
        <f t="shared" si="36"/>
        <v/>
      </c>
      <c r="D157" s="37" t="str">
        <f t="shared" si="37"/>
        <v/>
      </c>
      <c r="E157" s="37" t="str">
        <f t="shared" si="38"/>
        <v/>
      </c>
      <c r="F157" s="37" t="str">
        <f t="shared" si="39"/>
        <v/>
      </c>
      <c r="G157" s="37" t="str">
        <f t="shared" si="40"/>
        <v/>
      </c>
      <c r="H157" s="37" t="str">
        <f t="shared" si="41"/>
        <v/>
      </c>
      <c r="I157" s="37" t="str">
        <f t="shared" si="42"/>
        <v/>
      </c>
      <c r="J157" s="37" t="str">
        <f t="shared" si="43"/>
        <v/>
      </c>
      <c r="K157" s="37" t="str">
        <f t="shared" si="44"/>
        <v/>
      </c>
      <c r="L157" s="37" t="str">
        <f t="shared" si="45"/>
        <v/>
      </c>
      <c r="M157" s="37" t="str">
        <f t="shared" si="46"/>
        <v/>
      </c>
      <c r="N157" s="37" t="str">
        <f t="shared" si="47"/>
        <v/>
      </c>
      <c r="O157" s="37" t="str">
        <f t="shared" si="48"/>
        <v/>
      </c>
      <c r="P157" s="37" t="str">
        <f t="shared" si="49"/>
        <v/>
      </c>
      <c r="Q157" s="37" t="str">
        <f t="shared" si="50"/>
        <v/>
      </c>
    </row>
    <row r="158" spans="1:17" ht="15" customHeight="1" x14ac:dyDescent="0.25">
      <c r="A158" s="58">
        <v>138</v>
      </c>
      <c r="B158" s="37">
        <f t="shared" si="35"/>
        <v>137.5</v>
      </c>
      <c r="C158" s="37" t="str">
        <f t="shared" si="36"/>
        <v/>
      </c>
      <c r="D158" s="37" t="str">
        <f t="shared" si="37"/>
        <v/>
      </c>
      <c r="E158" s="37" t="str">
        <f t="shared" si="38"/>
        <v/>
      </c>
      <c r="F158" s="37" t="str">
        <f t="shared" si="39"/>
        <v/>
      </c>
      <c r="G158" s="37" t="str">
        <f t="shared" si="40"/>
        <v/>
      </c>
      <c r="H158" s="37" t="str">
        <f t="shared" si="41"/>
        <v/>
      </c>
      <c r="I158" s="37" t="str">
        <f t="shared" si="42"/>
        <v/>
      </c>
      <c r="J158" s="37" t="str">
        <f t="shared" si="43"/>
        <v/>
      </c>
      <c r="K158" s="37" t="str">
        <f t="shared" si="44"/>
        <v/>
      </c>
      <c r="L158" s="37" t="str">
        <f t="shared" si="45"/>
        <v/>
      </c>
      <c r="M158" s="37" t="str">
        <f t="shared" si="46"/>
        <v/>
      </c>
      <c r="N158" s="37" t="str">
        <f t="shared" si="47"/>
        <v/>
      </c>
      <c r="O158" s="37" t="str">
        <f t="shared" si="48"/>
        <v/>
      </c>
      <c r="P158" s="37" t="str">
        <f t="shared" si="49"/>
        <v/>
      </c>
      <c r="Q158" s="37" t="str">
        <f t="shared" si="50"/>
        <v/>
      </c>
    </row>
    <row r="159" spans="1:17" ht="15" customHeight="1" x14ac:dyDescent="0.25">
      <c r="A159" s="58">
        <v>139</v>
      </c>
      <c r="B159" s="37">
        <f t="shared" si="35"/>
        <v>138.5</v>
      </c>
      <c r="C159" s="37" t="str">
        <f t="shared" si="36"/>
        <v/>
      </c>
      <c r="D159" s="37" t="str">
        <f t="shared" si="37"/>
        <v/>
      </c>
      <c r="E159" s="37" t="str">
        <f t="shared" si="38"/>
        <v/>
      </c>
      <c r="F159" s="37" t="str">
        <f t="shared" si="39"/>
        <v/>
      </c>
      <c r="G159" s="37" t="str">
        <f t="shared" si="40"/>
        <v/>
      </c>
      <c r="H159" s="37" t="str">
        <f t="shared" si="41"/>
        <v/>
      </c>
      <c r="I159" s="37" t="str">
        <f t="shared" si="42"/>
        <v/>
      </c>
      <c r="J159" s="37" t="str">
        <f t="shared" si="43"/>
        <v/>
      </c>
      <c r="K159" s="37" t="str">
        <f t="shared" si="44"/>
        <v/>
      </c>
      <c r="L159" s="37" t="str">
        <f t="shared" si="45"/>
        <v/>
      </c>
      <c r="M159" s="37" t="str">
        <f t="shared" si="46"/>
        <v/>
      </c>
      <c r="N159" s="37" t="str">
        <f t="shared" si="47"/>
        <v/>
      </c>
      <c r="O159" s="37" t="str">
        <f t="shared" si="48"/>
        <v/>
      </c>
      <c r="P159" s="37" t="str">
        <f t="shared" si="49"/>
        <v/>
      </c>
      <c r="Q159" s="37" t="str">
        <f t="shared" si="50"/>
        <v/>
      </c>
    </row>
    <row r="160" spans="1:17" ht="15" customHeight="1" x14ac:dyDescent="0.25">
      <c r="A160" s="58">
        <v>140</v>
      </c>
      <c r="B160" s="37">
        <f t="shared" si="35"/>
        <v>139.5</v>
      </c>
      <c r="C160" s="37" t="str">
        <f t="shared" si="36"/>
        <v/>
      </c>
      <c r="D160" s="37" t="str">
        <f t="shared" si="37"/>
        <v/>
      </c>
      <c r="E160" s="37" t="str">
        <f t="shared" si="38"/>
        <v/>
      </c>
      <c r="F160" s="37" t="str">
        <f t="shared" si="39"/>
        <v/>
      </c>
      <c r="G160" s="37" t="str">
        <f t="shared" si="40"/>
        <v/>
      </c>
      <c r="H160" s="37" t="str">
        <f t="shared" si="41"/>
        <v/>
      </c>
      <c r="I160" s="37" t="str">
        <f t="shared" si="42"/>
        <v/>
      </c>
      <c r="J160" s="37" t="str">
        <f t="shared" si="43"/>
        <v/>
      </c>
      <c r="K160" s="37" t="str">
        <f t="shared" si="44"/>
        <v/>
      </c>
      <c r="L160" s="37" t="str">
        <f t="shared" si="45"/>
        <v/>
      </c>
      <c r="M160" s="37" t="str">
        <f t="shared" si="46"/>
        <v/>
      </c>
      <c r="N160" s="37" t="str">
        <f t="shared" si="47"/>
        <v/>
      </c>
      <c r="O160" s="37" t="str">
        <f t="shared" si="48"/>
        <v/>
      </c>
      <c r="P160" s="37" t="str">
        <f t="shared" si="49"/>
        <v/>
      </c>
      <c r="Q160" s="37" t="str">
        <f t="shared" si="50"/>
        <v/>
      </c>
    </row>
    <row r="161" spans="1:17" ht="15" customHeight="1" x14ac:dyDescent="0.25">
      <c r="A161" s="58">
        <v>141</v>
      </c>
      <c r="B161" s="37">
        <f t="shared" si="35"/>
        <v>140.5</v>
      </c>
      <c r="C161" s="37" t="str">
        <f t="shared" si="36"/>
        <v/>
      </c>
      <c r="D161" s="37" t="str">
        <f t="shared" si="37"/>
        <v/>
      </c>
      <c r="E161" s="37" t="str">
        <f t="shared" si="38"/>
        <v/>
      </c>
      <c r="F161" s="37" t="str">
        <f t="shared" si="39"/>
        <v/>
      </c>
      <c r="G161" s="37" t="str">
        <f t="shared" si="40"/>
        <v/>
      </c>
      <c r="H161" s="37" t="str">
        <f t="shared" si="41"/>
        <v/>
      </c>
      <c r="I161" s="37" t="str">
        <f t="shared" si="42"/>
        <v/>
      </c>
      <c r="J161" s="37" t="str">
        <f t="shared" si="43"/>
        <v/>
      </c>
      <c r="K161" s="37" t="str">
        <f t="shared" si="44"/>
        <v/>
      </c>
      <c r="L161" s="37" t="str">
        <f t="shared" si="45"/>
        <v/>
      </c>
      <c r="M161" s="37" t="str">
        <f t="shared" si="46"/>
        <v/>
      </c>
      <c r="N161" s="37" t="str">
        <f t="shared" si="47"/>
        <v/>
      </c>
      <c r="O161" s="37" t="str">
        <f t="shared" si="48"/>
        <v/>
      </c>
      <c r="P161" s="37" t="str">
        <f t="shared" si="49"/>
        <v/>
      </c>
      <c r="Q161" s="37" t="str">
        <f t="shared" si="50"/>
        <v/>
      </c>
    </row>
    <row r="162" spans="1:17" ht="15" customHeight="1" x14ac:dyDescent="0.25">
      <c r="A162" s="58">
        <v>142</v>
      </c>
      <c r="B162" s="37">
        <f t="shared" si="35"/>
        <v>141.5</v>
      </c>
      <c r="C162" s="37" t="str">
        <f t="shared" si="36"/>
        <v/>
      </c>
      <c r="D162" s="37" t="str">
        <f t="shared" si="37"/>
        <v/>
      </c>
      <c r="E162" s="37" t="str">
        <f t="shared" si="38"/>
        <v/>
      </c>
      <c r="F162" s="37" t="str">
        <f t="shared" si="39"/>
        <v/>
      </c>
      <c r="G162" s="37" t="str">
        <f t="shared" si="40"/>
        <v/>
      </c>
      <c r="H162" s="37" t="str">
        <f t="shared" si="41"/>
        <v/>
      </c>
      <c r="I162" s="37" t="str">
        <f t="shared" si="42"/>
        <v/>
      </c>
      <c r="J162" s="37" t="str">
        <f t="shared" si="43"/>
        <v/>
      </c>
      <c r="K162" s="37" t="str">
        <f t="shared" si="44"/>
        <v/>
      </c>
      <c r="L162" s="37" t="str">
        <f t="shared" si="45"/>
        <v/>
      </c>
      <c r="M162" s="37" t="str">
        <f t="shared" si="46"/>
        <v/>
      </c>
      <c r="N162" s="37" t="str">
        <f t="shared" si="47"/>
        <v/>
      </c>
      <c r="O162" s="37" t="str">
        <f t="shared" si="48"/>
        <v/>
      </c>
      <c r="P162" s="37" t="str">
        <f t="shared" si="49"/>
        <v/>
      </c>
      <c r="Q162" s="37" t="str">
        <f t="shared" si="50"/>
        <v/>
      </c>
    </row>
    <row r="163" spans="1:17" ht="15" customHeight="1" x14ac:dyDescent="0.25">
      <c r="A163" s="58">
        <v>143</v>
      </c>
      <c r="B163" s="37">
        <f t="shared" si="35"/>
        <v>142.5</v>
      </c>
      <c r="C163" s="37" t="str">
        <f t="shared" si="36"/>
        <v/>
      </c>
      <c r="D163" s="37" t="str">
        <f t="shared" si="37"/>
        <v/>
      </c>
      <c r="E163" s="37" t="str">
        <f t="shared" si="38"/>
        <v/>
      </c>
      <c r="F163" s="37" t="str">
        <f t="shared" si="39"/>
        <v/>
      </c>
      <c r="G163" s="37" t="str">
        <f t="shared" si="40"/>
        <v/>
      </c>
      <c r="H163" s="37" t="str">
        <f t="shared" si="41"/>
        <v/>
      </c>
      <c r="I163" s="37" t="str">
        <f t="shared" si="42"/>
        <v/>
      </c>
      <c r="J163" s="37" t="str">
        <f t="shared" si="43"/>
        <v/>
      </c>
      <c r="K163" s="37" t="str">
        <f t="shared" si="44"/>
        <v/>
      </c>
      <c r="L163" s="37" t="str">
        <f t="shared" si="45"/>
        <v/>
      </c>
      <c r="M163" s="37" t="str">
        <f t="shared" si="46"/>
        <v/>
      </c>
      <c r="N163" s="37" t="str">
        <f t="shared" si="47"/>
        <v/>
      </c>
      <c r="O163" s="37" t="str">
        <f t="shared" si="48"/>
        <v/>
      </c>
      <c r="P163" s="37" t="str">
        <f t="shared" si="49"/>
        <v/>
      </c>
      <c r="Q163" s="37" t="str">
        <f t="shared" si="50"/>
        <v/>
      </c>
    </row>
    <row r="164" spans="1:17" ht="15" customHeight="1" x14ac:dyDescent="0.25">
      <c r="A164" s="58">
        <v>144</v>
      </c>
      <c r="B164" s="37">
        <f t="shared" si="35"/>
        <v>143.5</v>
      </c>
      <c r="C164" s="37" t="str">
        <f t="shared" si="36"/>
        <v/>
      </c>
      <c r="D164" s="37" t="str">
        <f t="shared" si="37"/>
        <v/>
      </c>
      <c r="E164" s="37" t="str">
        <f t="shared" si="38"/>
        <v/>
      </c>
      <c r="F164" s="37" t="str">
        <f t="shared" si="39"/>
        <v/>
      </c>
      <c r="G164" s="37" t="str">
        <f t="shared" si="40"/>
        <v/>
      </c>
      <c r="H164" s="37" t="str">
        <f t="shared" si="41"/>
        <v/>
      </c>
      <c r="I164" s="37" t="str">
        <f t="shared" si="42"/>
        <v/>
      </c>
      <c r="J164" s="37" t="str">
        <f t="shared" si="43"/>
        <v/>
      </c>
      <c r="K164" s="37" t="str">
        <f t="shared" si="44"/>
        <v/>
      </c>
      <c r="L164" s="37" t="str">
        <f t="shared" si="45"/>
        <v/>
      </c>
      <c r="M164" s="37" t="str">
        <f t="shared" si="46"/>
        <v/>
      </c>
      <c r="N164" s="37" t="str">
        <f t="shared" si="47"/>
        <v/>
      </c>
      <c r="O164" s="37" t="str">
        <f t="shared" si="48"/>
        <v/>
      </c>
      <c r="P164" s="37" t="str">
        <f t="shared" si="49"/>
        <v/>
      </c>
      <c r="Q164" s="37" t="str">
        <f t="shared" si="50"/>
        <v/>
      </c>
    </row>
    <row r="165" spans="1:17" ht="15" customHeight="1" x14ac:dyDescent="0.25">
      <c r="A165" s="58">
        <v>145</v>
      </c>
      <c r="B165" s="37">
        <f t="shared" si="35"/>
        <v>144.5</v>
      </c>
      <c r="C165" s="37" t="str">
        <f t="shared" si="36"/>
        <v/>
      </c>
      <c r="D165" s="37" t="str">
        <f t="shared" si="37"/>
        <v/>
      </c>
      <c r="E165" s="37" t="str">
        <f t="shared" si="38"/>
        <v/>
      </c>
      <c r="F165" s="37" t="str">
        <f t="shared" si="39"/>
        <v/>
      </c>
      <c r="G165" s="37" t="str">
        <f t="shared" si="40"/>
        <v/>
      </c>
      <c r="H165" s="37" t="str">
        <f t="shared" si="41"/>
        <v/>
      </c>
      <c r="I165" s="37" t="str">
        <f t="shared" si="42"/>
        <v/>
      </c>
      <c r="J165" s="37" t="str">
        <f t="shared" si="43"/>
        <v/>
      </c>
      <c r="K165" s="37" t="str">
        <f t="shared" si="44"/>
        <v/>
      </c>
      <c r="L165" s="37" t="str">
        <f t="shared" si="45"/>
        <v/>
      </c>
      <c r="M165" s="37" t="str">
        <f t="shared" si="46"/>
        <v/>
      </c>
      <c r="N165" s="37" t="str">
        <f t="shared" si="47"/>
        <v/>
      </c>
      <c r="O165" s="37" t="str">
        <f t="shared" si="48"/>
        <v/>
      </c>
      <c r="P165" s="37" t="str">
        <f t="shared" si="49"/>
        <v/>
      </c>
      <c r="Q165" s="37" t="str">
        <f t="shared" si="50"/>
        <v/>
      </c>
    </row>
    <row r="166" spans="1:17" ht="15" customHeight="1" x14ac:dyDescent="0.25">
      <c r="A166" s="58">
        <v>146</v>
      </c>
      <c r="B166" s="37">
        <f t="shared" si="35"/>
        <v>145.5</v>
      </c>
      <c r="C166" s="37" t="str">
        <f t="shared" si="36"/>
        <v/>
      </c>
      <c r="D166" s="37" t="str">
        <f t="shared" si="37"/>
        <v/>
      </c>
      <c r="E166" s="37" t="str">
        <f t="shared" si="38"/>
        <v/>
      </c>
      <c r="F166" s="37" t="str">
        <f t="shared" si="39"/>
        <v/>
      </c>
      <c r="G166" s="37" t="str">
        <f t="shared" si="40"/>
        <v/>
      </c>
      <c r="H166" s="37" t="str">
        <f t="shared" si="41"/>
        <v/>
      </c>
      <c r="I166" s="37" t="str">
        <f t="shared" si="42"/>
        <v/>
      </c>
      <c r="J166" s="37" t="str">
        <f t="shared" si="43"/>
        <v/>
      </c>
      <c r="K166" s="37" t="str">
        <f t="shared" si="44"/>
        <v/>
      </c>
      <c r="L166" s="37" t="str">
        <f t="shared" si="45"/>
        <v/>
      </c>
      <c r="M166" s="37" t="str">
        <f t="shared" si="46"/>
        <v/>
      </c>
      <c r="N166" s="37" t="str">
        <f t="shared" si="47"/>
        <v/>
      </c>
      <c r="O166" s="37" t="str">
        <f t="shared" si="48"/>
        <v/>
      </c>
      <c r="P166" s="37" t="str">
        <f t="shared" si="49"/>
        <v/>
      </c>
      <c r="Q166" s="37" t="str">
        <f t="shared" si="50"/>
        <v/>
      </c>
    </row>
    <row r="167" spans="1:17" ht="15" customHeight="1" x14ac:dyDescent="0.25">
      <c r="A167" s="58">
        <v>147</v>
      </c>
      <c r="B167" s="37">
        <f t="shared" si="35"/>
        <v>146.5</v>
      </c>
      <c r="C167" s="37" t="str">
        <f t="shared" si="36"/>
        <v/>
      </c>
      <c r="D167" s="37" t="str">
        <f t="shared" si="37"/>
        <v/>
      </c>
      <c r="E167" s="37" t="str">
        <f t="shared" si="38"/>
        <v/>
      </c>
      <c r="F167" s="37" t="str">
        <f t="shared" si="39"/>
        <v/>
      </c>
      <c r="G167" s="37" t="str">
        <f t="shared" si="40"/>
        <v/>
      </c>
      <c r="H167" s="37" t="str">
        <f t="shared" si="41"/>
        <v/>
      </c>
      <c r="I167" s="37" t="str">
        <f t="shared" si="42"/>
        <v/>
      </c>
      <c r="J167" s="37" t="str">
        <f t="shared" si="43"/>
        <v/>
      </c>
      <c r="K167" s="37" t="str">
        <f t="shared" si="44"/>
        <v/>
      </c>
      <c r="L167" s="37" t="str">
        <f t="shared" si="45"/>
        <v/>
      </c>
      <c r="M167" s="37" t="str">
        <f t="shared" si="46"/>
        <v/>
      </c>
      <c r="N167" s="37" t="str">
        <f t="shared" si="47"/>
        <v/>
      </c>
      <c r="O167" s="37" t="str">
        <f t="shared" si="48"/>
        <v/>
      </c>
      <c r="P167" s="37" t="str">
        <f t="shared" si="49"/>
        <v/>
      </c>
      <c r="Q167" s="37" t="str">
        <f t="shared" si="50"/>
        <v/>
      </c>
    </row>
    <row r="168" spans="1:17" ht="15" customHeight="1" x14ac:dyDescent="0.25">
      <c r="A168" s="58">
        <v>148</v>
      </c>
      <c r="B168" s="37">
        <f t="shared" si="35"/>
        <v>147.5</v>
      </c>
      <c r="C168" s="37" t="str">
        <f t="shared" si="36"/>
        <v/>
      </c>
      <c r="D168" s="37" t="str">
        <f t="shared" si="37"/>
        <v/>
      </c>
      <c r="E168" s="37" t="str">
        <f t="shared" si="38"/>
        <v/>
      </c>
      <c r="F168" s="37" t="str">
        <f t="shared" si="39"/>
        <v/>
      </c>
      <c r="G168" s="37" t="str">
        <f t="shared" si="40"/>
        <v/>
      </c>
      <c r="H168" s="37" t="str">
        <f t="shared" si="41"/>
        <v/>
      </c>
      <c r="I168" s="37" t="str">
        <f t="shared" si="42"/>
        <v/>
      </c>
      <c r="J168" s="37" t="str">
        <f t="shared" si="43"/>
        <v/>
      </c>
      <c r="K168" s="37" t="str">
        <f t="shared" si="44"/>
        <v/>
      </c>
      <c r="L168" s="37" t="str">
        <f t="shared" si="45"/>
        <v/>
      </c>
      <c r="M168" s="37" t="str">
        <f t="shared" si="46"/>
        <v/>
      </c>
      <c r="N168" s="37" t="str">
        <f t="shared" si="47"/>
        <v/>
      </c>
      <c r="O168" s="37" t="str">
        <f t="shared" si="48"/>
        <v/>
      </c>
      <c r="P168" s="37" t="str">
        <f t="shared" si="49"/>
        <v/>
      </c>
      <c r="Q168" s="37" t="str">
        <f t="shared" si="50"/>
        <v/>
      </c>
    </row>
    <row r="169" spans="1:17" ht="15" customHeight="1" x14ac:dyDescent="0.25">
      <c r="A169" s="58">
        <v>149</v>
      </c>
      <c r="B169" s="37">
        <f t="shared" si="35"/>
        <v>148.5</v>
      </c>
      <c r="C169" s="37" t="str">
        <f t="shared" si="36"/>
        <v/>
      </c>
      <c r="D169" s="37" t="str">
        <f t="shared" si="37"/>
        <v/>
      </c>
      <c r="E169" s="37" t="str">
        <f t="shared" si="38"/>
        <v/>
      </c>
      <c r="F169" s="37" t="str">
        <f t="shared" si="39"/>
        <v/>
      </c>
      <c r="G169" s="37" t="str">
        <f t="shared" si="40"/>
        <v/>
      </c>
      <c r="H169" s="37" t="str">
        <f t="shared" si="41"/>
        <v/>
      </c>
      <c r="I169" s="37" t="str">
        <f t="shared" si="42"/>
        <v/>
      </c>
      <c r="J169" s="37" t="str">
        <f t="shared" si="43"/>
        <v/>
      </c>
      <c r="K169" s="37" t="str">
        <f t="shared" si="44"/>
        <v/>
      </c>
      <c r="L169" s="37" t="str">
        <f t="shared" si="45"/>
        <v/>
      </c>
      <c r="M169" s="37" t="str">
        <f t="shared" si="46"/>
        <v/>
      </c>
      <c r="N169" s="37" t="str">
        <f t="shared" si="47"/>
        <v/>
      </c>
      <c r="O169" s="37" t="str">
        <f t="shared" si="48"/>
        <v/>
      </c>
      <c r="P169" s="37" t="str">
        <f t="shared" si="49"/>
        <v/>
      </c>
      <c r="Q169" s="37" t="str">
        <f t="shared" si="50"/>
        <v/>
      </c>
    </row>
    <row r="170" spans="1:17" ht="15" customHeight="1" x14ac:dyDescent="0.25">
      <c r="A170" s="58">
        <v>150</v>
      </c>
      <c r="B170" s="37">
        <f t="shared" si="35"/>
        <v>149.5</v>
      </c>
      <c r="C170" s="37" t="str">
        <f t="shared" si="36"/>
        <v/>
      </c>
      <c r="D170" s="37" t="str">
        <f t="shared" si="37"/>
        <v/>
      </c>
      <c r="E170" s="37" t="str">
        <f t="shared" si="38"/>
        <v/>
      </c>
      <c r="F170" s="37" t="str">
        <f t="shared" si="39"/>
        <v/>
      </c>
      <c r="G170" s="37" t="str">
        <f t="shared" si="40"/>
        <v/>
      </c>
      <c r="H170" s="37" t="str">
        <f t="shared" si="41"/>
        <v/>
      </c>
      <c r="I170" s="37" t="str">
        <f t="shared" si="42"/>
        <v/>
      </c>
      <c r="J170" s="37" t="str">
        <f t="shared" si="43"/>
        <v/>
      </c>
      <c r="K170" s="37" t="str">
        <f t="shared" si="44"/>
        <v/>
      </c>
      <c r="L170" s="37" t="str">
        <f t="shared" si="45"/>
        <v/>
      </c>
      <c r="M170" s="37" t="str">
        <f t="shared" si="46"/>
        <v/>
      </c>
      <c r="N170" s="37" t="str">
        <f t="shared" si="47"/>
        <v/>
      </c>
      <c r="O170" s="37" t="str">
        <f t="shared" si="48"/>
        <v/>
      </c>
      <c r="P170" s="37" t="str">
        <f t="shared" si="49"/>
        <v/>
      </c>
      <c r="Q170" s="37" t="str">
        <f t="shared" si="50"/>
        <v/>
      </c>
    </row>
    <row r="171" spans="1:17" ht="15" customHeight="1" x14ac:dyDescent="0.25">
      <c r="A171" s="58">
        <v>151</v>
      </c>
      <c r="B171" s="37">
        <f t="shared" si="35"/>
        <v>150.5</v>
      </c>
      <c r="C171" s="37" t="str">
        <f t="shared" si="36"/>
        <v/>
      </c>
      <c r="D171" s="37" t="str">
        <f t="shared" si="37"/>
        <v/>
      </c>
      <c r="E171" s="37" t="str">
        <f t="shared" si="38"/>
        <v/>
      </c>
      <c r="F171" s="37" t="str">
        <f t="shared" si="39"/>
        <v/>
      </c>
      <c r="G171" s="37" t="str">
        <f t="shared" si="40"/>
        <v/>
      </c>
      <c r="H171" s="37" t="str">
        <f t="shared" si="41"/>
        <v/>
      </c>
      <c r="I171" s="37" t="str">
        <f t="shared" si="42"/>
        <v/>
      </c>
      <c r="J171" s="37" t="str">
        <f t="shared" si="43"/>
        <v/>
      </c>
      <c r="K171" s="37" t="str">
        <f t="shared" si="44"/>
        <v/>
      </c>
      <c r="L171" s="37" t="str">
        <f t="shared" si="45"/>
        <v/>
      </c>
      <c r="M171" s="37" t="str">
        <f t="shared" si="46"/>
        <v/>
      </c>
      <c r="N171" s="37" t="str">
        <f t="shared" si="47"/>
        <v/>
      </c>
      <c r="O171" s="37" t="str">
        <f t="shared" si="48"/>
        <v/>
      </c>
      <c r="P171" s="37" t="str">
        <f t="shared" si="49"/>
        <v/>
      </c>
      <c r="Q171" s="37" t="str">
        <f t="shared" si="50"/>
        <v/>
      </c>
    </row>
    <row r="172" spans="1:17" ht="15" customHeight="1" x14ac:dyDescent="0.25">
      <c r="A172" s="58">
        <v>152</v>
      </c>
      <c r="B172" s="37">
        <f t="shared" si="35"/>
        <v>151.5</v>
      </c>
      <c r="C172" s="37" t="str">
        <f t="shared" si="36"/>
        <v/>
      </c>
      <c r="D172" s="37" t="str">
        <f t="shared" si="37"/>
        <v/>
      </c>
      <c r="E172" s="37" t="str">
        <f t="shared" si="38"/>
        <v/>
      </c>
      <c r="F172" s="37" t="str">
        <f t="shared" si="39"/>
        <v/>
      </c>
      <c r="G172" s="37" t="str">
        <f t="shared" si="40"/>
        <v/>
      </c>
      <c r="H172" s="37" t="str">
        <f t="shared" si="41"/>
        <v/>
      </c>
      <c r="I172" s="37" t="str">
        <f t="shared" si="42"/>
        <v/>
      </c>
      <c r="J172" s="37" t="str">
        <f t="shared" si="43"/>
        <v/>
      </c>
      <c r="K172" s="37" t="str">
        <f t="shared" si="44"/>
        <v/>
      </c>
      <c r="L172" s="37" t="str">
        <f t="shared" si="45"/>
        <v/>
      </c>
      <c r="M172" s="37" t="str">
        <f t="shared" si="46"/>
        <v/>
      </c>
      <c r="N172" s="37" t="str">
        <f t="shared" si="47"/>
        <v/>
      </c>
      <c r="O172" s="37" t="str">
        <f t="shared" si="48"/>
        <v/>
      </c>
      <c r="P172" s="37" t="str">
        <f t="shared" si="49"/>
        <v/>
      </c>
      <c r="Q172" s="37" t="str">
        <f t="shared" si="50"/>
        <v/>
      </c>
    </row>
    <row r="173" spans="1:17" ht="15" customHeight="1" x14ac:dyDescent="0.25">
      <c r="A173" s="58">
        <v>153</v>
      </c>
      <c r="B173" s="37">
        <f t="shared" si="35"/>
        <v>152.5</v>
      </c>
      <c r="C173" s="37" t="str">
        <f t="shared" si="36"/>
        <v/>
      </c>
      <c r="D173" s="37" t="str">
        <f t="shared" si="37"/>
        <v/>
      </c>
      <c r="E173" s="37" t="str">
        <f t="shared" si="38"/>
        <v/>
      </c>
      <c r="F173" s="37" t="str">
        <f t="shared" si="39"/>
        <v/>
      </c>
      <c r="G173" s="37" t="str">
        <f t="shared" si="40"/>
        <v/>
      </c>
      <c r="H173" s="37" t="str">
        <f t="shared" si="41"/>
        <v/>
      </c>
      <c r="I173" s="37" t="str">
        <f t="shared" si="42"/>
        <v/>
      </c>
      <c r="J173" s="37" t="str">
        <f t="shared" si="43"/>
        <v/>
      </c>
      <c r="K173" s="37" t="str">
        <f t="shared" si="44"/>
        <v/>
      </c>
      <c r="L173" s="37" t="str">
        <f t="shared" si="45"/>
        <v/>
      </c>
      <c r="M173" s="37" t="str">
        <f t="shared" si="46"/>
        <v/>
      </c>
      <c r="N173" s="37" t="str">
        <f t="shared" si="47"/>
        <v/>
      </c>
      <c r="O173" s="37" t="str">
        <f t="shared" si="48"/>
        <v/>
      </c>
      <c r="P173" s="37" t="str">
        <f t="shared" si="49"/>
        <v/>
      </c>
      <c r="Q173" s="37" t="str">
        <f t="shared" si="50"/>
        <v/>
      </c>
    </row>
    <row r="174" spans="1:17" ht="15" customHeight="1" x14ac:dyDescent="0.25">
      <c r="A174" s="58">
        <v>154</v>
      </c>
      <c r="B174" s="37">
        <f t="shared" si="35"/>
        <v>153.5</v>
      </c>
      <c r="C174" s="37" t="str">
        <f t="shared" si="36"/>
        <v/>
      </c>
      <c r="D174" s="37" t="str">
        <f t="shared" si="37"/>
        <v/>
      </c>
      <c r="E174" s="37" t="str">
        <f t="shared" si="38"/>
        <v/>
      </c>
      <c r="F174" s="37" t="str">
        <f t="shared" si="39"/>
        <v/>
      </c>
      <c r="G174" s="37" t="str">
        <f t="shared" si="40"/>
        <v/>
      </c>
      <c r="H174" s="37" t="str">
        <f t="shared" si="41"/>
        <v/>
      </c>
      <c r="I174" s="37" t="str">
        <f t="shared" si="42"/>
        <v/>
      </c>
      <c r="J174" s="37" t="str">
        <f t="shared" si="43"/>
        <v/>
      </c>
      <c r="K174" s="37" t="str">
        <f t="shared" si="44"/>
        <v/>
      </c>
      <c r="L174" s="37" t="str">
        <f t="shared" si="45"/>
        <v/>
      </c>
      <c r="M174" s="37" t="str">
        <f t="shared" si="46"/>
        <v/>
      </c>
      <c r="N174" s="37" t="str">
        <f t="shared" si="47"/>
        <v/>
      </c>
      <c r="O174" s="37" t="str">
        <f t="shared" si="48"/>
        <v/>
      </c>
      <c r="P174" s="37" t="str">
        <f t="shared" si="49"/>
        <v/>
      </c>
      <c r="Q174" s="37" t="str">
        <f t="shared" si="50"/>
        <v/>
      </c>
    </row>
    <row r="175" spans="1:17" ht="15" customHeight="1" x14ac:dyDescent="0.25">
      <c r="A175" s="58">
        <v>155</v>
      </c>
      <c r="B175" s="37">
        <f t="shared" si="35"/>
        <v>154.5</v>
      </c>
      <c r="C175" s="37" t="str">
        <f t="shared" si="36"/>
        <v/>
      </c>
      <c r="D175" s="37" t="str">
        <f t="shared" si="37"/>
        <v/>
      </c>
      <c r="E175" s="37" t="str">
        <f t="shared" si="38"/>
        <v/>
      </c>
      <c r="F175" s="37" t="str">
        <f t="shared" si="39"/>
        <v/>
      </c>
      <c r="G175" s="37" t="str">
        <f t="shared" si="40"/>
        <v/>
      </c>
      <c r="H175" s="37" t="str">
        <f t="shared" si="41"/>
        <v/>
      </c>
      <c r="I175" s="37" t="str">
        <f t="shared" si="42"/>
        <v/>
      </c>
      <c r="J175" s="37" t="str">
        <f t="shared" si="43"/>
        <v/>
      </c>
      <c r="K175" s="37" t="str">
        <f t="shared" si="44"/>
        <v/>
      </c>
      <c r="L175" s="37" t="str">
        <f t="shared" si="45"/>
        <v/>
      </c>
      <c r="M175" s="37" t="str">
        <f t="shared" si="46"/>
        <v/>
      </c>
      <c r="N175" s="37" t="str">
        <f t="shared" si="47"/>
        <v/>
      </c>
      <c r="O175" s="37" t="str">
        <f t="shared" si="48"/>
        <v/>
      </c>
      <c r="P175" s="37" t="str">
        <f t="shared" si="49"/>
        <v/>
      </c>
      <c r="Q175" s="37" t="str">
        <f t="shared" si="50"/>
        <v/>
      </c>
    </row>
    <row r="176" spans="1:17" ht="15" customHeight="1" x14ac:dyDescent="0.25">
      <c r="A176" s="58">
        <v>156</v>
      </c>
      <c r="B176" s="37">
        <f t="shared" si="35"/>
        <v>155.5</v>
      </c>
      <c r="C176" s="37" t="str">
        <f t="shared" si="36"/>
        <v/>
      </c>
      <c r="D176" s="37" t="str">
        <f t="shared" si="37"/>
        <v/>
      </c>
      <c r="E176" s="37" t="str">
        <f t="shared" si="38"/>
        <v/>
      </c>
      <c r="F176" s="37" t="str">
        <f t="shared" si="39"/>
        <v/>
      </c>
      <c r="G176" s="37" t="str">
        <f t="shared" si="40"/>
        <v/>
      </c>
      <c r="H176" s="37" t="str">
        <f t="shared" si="41"/>
        <v/>
      </c>
      <c r="I176" s="37" t="str">
        <f t="shared" si="42"/>
        <v/>
      </c>
      <c r="J176" s="37" t="str">
        <f t="shared" si="43"/>
        <v/>
      </c>
      <c r="K176" s="37" t="str">
        <f t="shared" si="44"/>
        <v/>
      </c>
      <c r="L176" s="37" t="str">
        <f t="shared" si="45"/>
        <v/>
      </c>
      <c r="M176" s="37" t="str">
        <f t="shared" si="46"/>
        <v/>
      </c>
      <c r="N176" s="37" t="str">
        <f t="shared" si="47"/>
        <v/>
      </c>
      <c r="O176" s="37" t="str">
        <f t="shared" si="48"/>
        <v/>
      </c>
      <c r="P176" s="37" t="str">
        <f t="shared" si="49"/>
        <v/>
      </c>
      <c r="Q176" s="37" t="str">
        <f t="shared" si="50"/>
        <v/>
      </c>
    </row>
    <row r="177" spans="1:17" ht="15" customHeight="1" x14ac:dyDescent="0.25">
      <c r="A177" s="58">
        <v>157</v>
      </c>
      <c r="B177" s="37">
        <f t="shared" si="35"/>
        <v>156.5</v>
      </c>
      <c r="C177" s="37" t="str">
        <f t="shared" si="36"/>
        <v/>
      </c>
      <c r="D177" s="37" t="str">
        <f t="shared" si="37"/>
        <v/>
      </c>
      <c r="E177" s="37" t="str">
        <f t="shared" si="38"/>
        <v/>
      </c>
      <c r="F177" s="37" t="str">
        <f t="shared" si="39"/>
        <v/>
      </c>
      <c r="G177" s="37" t="str">
        <f t="shared" si="40"/>
        <v/>
      </c>
      <c r="H177" s="37" t="str">
        <f t="shared" si="41"/>
        <v/>
      </c>
      <c r="I177" s="37" t="str">
        <f t="shared" si="42"/>
        <v/>
      </c>
      <c r="J177" s="37" t="str">
        <f t="shared" si="43"/>
        <v/>
      </c>
      <c r="K177" s="37" t="str">
        <f t="shared" si="44"/>
        <v/>
      </c>
      <c r="L177" s="37" t="str">
        <f t="shared" si="45"/>
        <v/>
      </c>
      <c r="M177" s="37" t="str">
        <f t="shared" si="46"/>
        <v/>
      </c>
      <c r="N177" s="37" t="str">
        <f t="shared" si="47"/>
        <v/>
      </c>
      <c r="O177" s="37" t="str">
        <f t="shared" si="48"/>
        <v/>
      </c>
      <c r="P177" s="37" t="str">
        <f t="shared" si="49"/>
        <v/>
      </c>
      <c r="Q177" s="37" t="str">
        <f t="shared" si="50"/>
        <v/>
      </c>
    </row>
    <row r="178" spans="1:17" ht="15" customHeight="1" x14ac:dyDescent="0.25">
      <c r="A178" s="58">
        <v>158</v>
      </c>
      <c r="B178" s="37">
        <f t="shared" si="35"/>
        <v>157.5</v>
      </c>
      <c r="C178" s="37" t="str">
        <f t="shared" si="36"/>
        <v/>
      </c>
      <c r="D178" s="37" t="str">
        <f t="shared" si="37"/>
        <v/>
      </c>
      <c r="E178" s="37" t="str">
        <f t="shared" si="38"/>
        <v/>
      </c>
      <c r="F178" s="37" t="str">
        <f t="shared" si="39"/>
        <v/>
      </c>
      <c r="G178" s="37" t="str">
        <f t="shared" si="40"/>
        <v/>
      </c>
      <c r="H178" s="37" t="str">
        <f t="shared" si="41"/>
        <v/>
      </c>
      <c r="I178" s="37" t="str">
        <f t="shared" si="42"/>
        <v/>
      </c>
      <c r="J178" s="37" t="str">
        <f t="shared" si="43"/>
        <v/>
      </c>
      <c r="K178" s="37" t="str">
        <f t="shared" si="44"/>
        <v/>
      </c>
      <c r="L178" s="37" t="str">
        <f t="shared" si="45"/>
        <v/>
      </c>
      <c r="M178" s="37" t="str">
        <f t="shared" si="46"/>
        <v/>
      </c>
      <c r="N178" s="37" t="str">
        <f t="shared" si="47"/>
        <v/>
      </c>
      <c r="O178" s="37" t="str">
        <f t="shared" si="48"/>
        <v/>
      </c>
      <c r="P178" s="37" t="str">
        <f t="shared" si="49"/>
        <v/>
      </c>
      <c r="Q178" s="37" t="str">
        <f t="shared" si="50"/>
        <v/>
      </c>
    </row>
    <row r="179" spans="1:17" ht="15" customHeight="1" x14ac:dyDescent="0.25">
      <c r="A179" s="58">
        <v>159</v>
      </c>
      <c r="B179" s="37">
        <f t="shared" si="35"/>
        <v>158.5</v>
      </c>
      <c r="C179" s="37" t="str">
        <f t="shared" si="36"/>
        <v/>
      </c>
      <c r="D179" s="37" t="str">
        <f t="shared" si="37"/>
        <v/>
      </c>
      <c r="E179" s="37" t="str">
        <f t="shared" si="38"/>
        <v/>
      </c>
      <c r="F179" s="37" t="str">
        <f t="shared" si="39"/>
        <v/>
      </c>
      <c r="G179" s="37" t="str">
        <f t="shared" si="40"/>
        <v/>
      </c>
      <c r="H179" s="37" t="str">
        <f t="shared" si="41"/>
        <v/>
      </c>
      <c r="I179" s="37" t="str">
        <f t="shared" si="42"/>
        <v/>
      </c>
      <c r="J179" s="37" t="str">
        <f t="shared" si="43"/>
        <v/>
      </c>
      <c r="K179" s="37" t="str">
        <f t="shared" si="44"/>
        <v/>
      </c>
      <c r="L179" s="37" t="str">
        <f t="shared" si="45"/>
        <v/>
      </c>
      <c r="M179" s="37" t="str">
        <f t="shared" si="46"/>
        <v/>
      </c>
      <c r="N179" s="37" t="str">
        <f t="shared" si="47"/>
        <v/>
      </c>
      <c r="O179" s="37" t="str">
        <f t="shared" si="48"/>
        <v/>
      </c>
      <c r="P179" s="37" t="str">
        <f t="shared" si="49"/>
        <v/>
      </c>
      <c r="Q179" s="37" t="str">
        <f t="shared" si="50"/>
        <v/>
      </c>
    </row>
    <row r="180" spans="1:17" ht="15" customHeight="1" x14ac:dyDescent="0.25">
      <c r="A180" s="58">
        <v>160</v>
      </c>
      <c r="B180" s="37">
        <f t="shared" si="35"/>
        <v>159.5</v>
      </c>
      <c r="C180" s="37" t="str">
        <f t="shared" si="36"/>
        <v/>
      </c>
      <c r="D180" s="37" t="str">
        <f t="shared" si="37"/>
        <v/>
      </c>
      <c r="E180" s="37" t="str">
        <f t="shared" si="38"/>
        <v/>
      </c>
      <c r="F180" s="37" t="str">
        <f t="shared" si="39"/>
        <v/>
      </c>
      <c r="G180" s="37" t="str">
        <f t="shared" si="40"/>
        <v/>
      </c>
      <c r="H180" s="37" t="str">
        <f t="shared" si="41"/>
        <v/>
      </c>
      <c r="I180" s="37" t="str">
        <f t="shared" si="42"/>
        <v/>
      </c>
      <c r="J180" s="37" t="str">
        <f t="shared" si="43"/>
        <v/>
      </c>
      <c r="K180" s="37" t="str">
        <f t="shared" si="44"/>
        <v/>
      </c>
      <c r="L180" s="37" t="str">
        <f t="shared" si="45"/>
        <v/>
      </c>
      <c r="M180" s="37" t="str">
        <f t="shared" si="46"/>
        <v/>
      </c>
      <c r="N180" s="37" t="str">
        <f t="shared" si="47"/>
        <v/>
      </c>
      <c r="O180" s="37" t="str">
        <f t="shared" si="48"/>
        <v/>
      </c>
      <c r="P180" s="37" t="str">
        <f t="shared" si="49"/>
        <v/>
      </c>
      <c r="Q180" s="37" t="str">
        <f t="shared" si="50"/>
        <v/>
      </c>
    </row>
    <row r="181" spans="1:17" ht="15" customHeight="1" x14ac:dyDescent="0.25">
      <c r="A181" s="58">
        <v>161</v>
      </c>
      <c r="B181" s="37">
        <f t="shared" si="35"/>
        <v>160.5</v>
      </c>
      <c r="C181" s="37" t="str">
        <f t="shared" si="36"/>
        <v/>
      </c>
      <c r="D181" s="37" t="str">
        <f t="shared" si="37"/>
        <v/>
      </c>
      <c r="E181" s="37" t="str">
        <f t="shared" si="38"/>
        <v/>
      </c>
      <c r="F181" s="37" t="str">
        <f t="shared" si="39"/>
        <v/>
      </c>
      <c r="G181" s="37" t="str">
        <f t="shared" si="40"/>
        <v/>
      </c>
      <c r="H181" s="37" t="str">
        <f t="shared" si="41"/>
        <v/>
      </c>
      <c r="I181" s="37" t="str">
        <f t="shared" si="42"/>
        <v/>
      </c>
      <c r="J181" s="37" t="str">
        <f t="shared" si="43"/>
        <v/>
      </c>
      <c r="K181" s="37" t="str">
        <f t="shared" si="44"/>
        <v/>
      </c>
      <c r="L181" s="37" t="str">
        <f t="shared" si="45"/>
        <v/>
      </c>
      <c r="M181" s="37" t="str">
        <f t="shared" si="46"/>
        <v/>
      </c>
      <c r="N181" s="37" t="str">
        <f t="shared" si="47"/>
        <v/>
      </c>
      <c r="O181" s="37" t="str">
        <f t="shared" si="48"/>
        <v/>
      </c>
      <c r="P181" s="37" t="str">
        <f t="shared" si="49"/>
        <v/>
      </c>
      <c r="Q181" s="37" t="str">
        <f t="shared" si="50"/>
        <v/>
      </c>
    </row>
    <row r="182" spans="1:17" ht="15" customHeight="1" x14ac:dyDescent="0.25">
      <c r="A182" s="58">
        <v>162</v>
      </c>
      <c r="B182" s="37">
        <f t="shared" si="35"/>
        <v>161.5</v>
      </c>
      <c r="C182" s="37" t="str">
        <f t="shared" si="36"/>
        <v/>
      </c>
      <c r="D182" s="37" t="str">
        <f t="shared" si="37"/>
        <v/>
      </c>
      <c r="E182" s="37" t="str">
        <f t="shared" si="38"/>
        <v/>
      </c>
      <c r="F182" s="37" t="str">
        <f t="shared" si="39"/>
        <v/>
      </c>
      <c r="G182" s="37" t="str">
        <f t="shared" si="40"/>
        <v/>
      </c>
      <c r="H182" s="37" t="str">
        <f t="shared" si="41"/>
        <v/>
      </c>
      <c r="I182" s="37" t="str">
        <f t="shared" si="42"/>
        <v/>
      </c>
      <c r="J182" s="37" t="str">
        <f t="shared" si="43"/>
        <v/>
      </c>
      <c r="K182" s="37" t="str">
        <f t="shared" si="44"/>
        <v/>
      </c>
      <c r="L182" s="37" t="str">
        <f t="shared" si="45"/>
        <v/>
      </c>
      <c r="M182" s="37" t="str">
        <f t="shared" si="46"/>
        <v/>
      </c>
      <c r="N182" s="37" t="str">
        <f t="shared" si="47"/>
        <v/>
      </c>
      <c r="O182" s="37" t="str">
        <f t="shared" si="48"/>
        <v/>
      </c>
      <c r="P182" s="37" t="str">
        <f t="shared" si="49"/>
        <v/>
      </c>
      <c r="Q182" s="37" t="str">
        <f t="shared" si="50"/>
        <v/>
      </c>
    </row>
    <row r="183" spans="1:17" ht="15" customHeight="1" x14ac:dyDescent="0.25">
      <c r="A183" s="58">
        <v>163</v>
      </c>
      <c r="B183" s="37">
        <f t="shared" si="35"/>
        <v>162.5</v>
      </c>
      <c r="C183" s="37" t="str">
        <f t="shared" si="36"/>
        <v/>
      </c>
      <c r="D183" s="37" t="str">
        <f t="shared" si="37"/>
        <v/>
      </c>
      <c r="E183" s="37" t="str">
        <f t="shared" si="38"/>
        <v/>
      </c>
      <c r="F183" s="37" t="str">
        <f t="shared" si="39"/>
        <v/>
      </c>
      <c r="G183" s="37" t="str">
        <f t="shared" si="40"/>
        <v/>
      </c>
      <c r="H183" s="37" t="str">
        <f t="shared" si="41"/>
        <v/>
      </c>
      <c r="I183" s="37" t="str">
        <f t="shared" si="42"/>
        <v/>
      </c>
      <c r="J183" s="37" t="str">
        <f t="shared" si="43"/>
        <v/>
      </c>
      <c r="K183" s="37" t="str">
        <f t="shared" si="44"/>
        <v/>
      </c>
      <c r="L183" s="37" t="str">
        <f t="shared" si="45"/>
        <v/>
      </c>
      <c r="M183" s="37" t="str">
        <f t="shared" si="46"/>
        <v/>
      </c>
      <c r="N183" s="37" t="str">
        <f t="shared" si="47"/>
        <v/>
      </c>
      <c r="O183" s="37" t="str">
        <f t="shared" si="48"/>
        <v/>
      </c>
      <c r="P183" s="37" t="str">
        <f t="shared" si="49"/>
        <v/>
      </c>
      <c r="Q183" s="37" t="str">
        <f t="shared" si="50"/>
        <v/>
      </c>
    </row>
    <row r="184" spans="1:17" ht="15" customHeight="1" x14ac:dyDescent="0.25">
      <c r="A184" s="58">
        <v>164</v>
      </c>
      <c r="B184" s="37">
        <f t="shared" si="35"/>
        <v>163.5</v>
      </c>
      <c r="C184" s="37" t="str">
        <f t="shared" si="36"/>
        <v/>
      </c>
      <c r="D184" s="37" t="str">
        <f t="shared" si="37"/>
        <v/>
      </c>
      <c r="E184" s="37" t="str">
        <f t="shared" si="38"/>
        <v/>
      </c>
      <c r="F184" s="37" t="str">
        <f t="shared" si="39"/>
        <v/>
      </c>
      <c r="G184" s="37" t="str">
        <f t="shared" si="40"/>
        <v/>
      </c>
      <c r="H184" s="37" t="str">
        <f t="shared" si="41"/>
        <v/>
      </c>
      <c r="I184" s="37" t="str">
        <f t="shared" si="42"/>
        <v/>
      </c>
      <c r="J184" s="37" t="str">
        <f t="shared" si="43"/>
        <v/>
      </c>
      <c r="K184" s="37" t="str">
        <f t="shared" si="44"/>
        <v/>
      </c>
      <c r="L184" s="37" t="str">
        <f t="shared" si="45"/>
        <v/>
      </c>
      <c r="M184" s="37" t="str">
        <f t="shared" si="46"/>
        <v/>
      </c>
      <c r="N184" s="37" t="str">
        <f t="shared" si="47"/>
        <v/>
      </c>
      <c r="O184" s="37" t="str">
        <f t="shared" si="48"/>
        <v/>
      </c>
      <c r="P184" s="37" t="str">
        <f t="shared" si="49"/>
        <v/>
      </c>
      <c r="Q184" s="37" t="str">
        <f t="shared" si="50"/>
        <v/>
      </c>
    </row>
    <row r="185" spans="1:17" ht="15" customHeight="1" x14ac:dyDescent="0.25">
      <c r="A185" s="58">
        <v>165</v>
      </c>
      <c r="B185" s="37">
        <f t="shared" si="35"/>
        <v>164.5</v>
      </c>
      <c r="C185" s="37" t="str">
        <f t="shared" si="36"/>
        <v/>
      </c>
      <c r="D185" s="37" t="str">
        <f t="shared" si="37"/>
        <v/>
      </c>
      <c r="E185" s="37" t="str">
        <f t="shared" si="38"/>
        <v/>
      </c>
      <c r="F185" s="37" t="str">
        <f t="shared" si="39"/>
        <v/>
      </c>
      <c r="G185" s="37" t="str">
        <f t="shared" si="40"/>
        <v/>
      </c>
      <c r="H185" s="37" t="str">
        <f t="shared" si="41"/>
        <v/>
      </c>
      <c r="I185" s="37" t="str">
        <f t="shared" si="42"/>
        <v/>
      </c>
      <c r="J185" s="37" t="str">
        <f t="shared" si="43"/>
        <v/>
      </c>
      <c r="K185" s="37" t="str">
        <f t="shared" si="44"/>
        <v/>
      </c>
      <c r="L185" s="37" t="str">
        <f t="shared" si="45"/>
        <v/>
      </c>
      <c r="M185" s="37" t="str">
        <f t="shared" si="46"/>
        <v/>
      </c>
      <c r="N185" s="37" t="str">
        <f t="shared" si="47"/>
        <v/>
      </c>
      <c r="O185" s="37" t="str">
        <f t="shared" si="48"/>
        <v/>
      </c>
      <c r="P185" s="37" t="str">
        <f t="shared" si="49"/>
        <v/>
      </c>
      <c r="Q185" s="37" t="str">
        <f t="shared" si="50"/>
        <v/>
      </c>
    </row>
    <row r="186" spans="1:17" ht="15" customHeight="1" x14ac:dyDescent="0.25">
      <c r="A186" s="58">
        <v>166</v>
      </c>
      <c r="B186" s="37">
        <f t="shared" si="35"/>
        <v>165.5</v>
      </c>
      <c r="C186" s="37" t="str">
        <f t="shared" si="36"/>
        <v/>
      </c>
      <c r="D186" s="37" t="str">
        <f t="shared" si="37"/>
        <v/>
      </c>
      <c r="E186" s="37" t="str">
        <f t="shared" si="38"/>
        <v/>
      </c>
      <c r="F186" s="37" t="str">
        <f t="shared" si="39"/>
        <v/>
      </c>
      <c r="G186" s="37" t="str">
        <f t="shared" si="40"/>
        <v/>
      </c>
      <c r="H186" s="37" t="str">
        <f t="shared" si="41"/>
        <v/>
      </c>
      <c r="I186" s="37" t="str">
        <f t="shared" si="42"/>
        <v/>
      </c>
      <c r="J186" s="37" t="str">
        <f t="shared" si="43"/>
        <v/>
      </c>
      <c r="K186" s="37" t="str">
        <f t="shared" si="44"/>
        <v/>
      </c>
      <c r="L186" s="37" t="str">
        <f t="shared" si="45"/>
        <v/>
      </c>
      <c r="M186" s="37" t="str">
        <f t="shared" si="46"/>
        <v/>
      </c>
      <c r="N186" s="37" t="str">
        <f t="shared" si="47"/>
        <v/>
      </c>
      <c r="O186" s="37" t="str">
        <f t="shared" si="48"/>
        <v/>
      </c>
      <c r="P186" s="37" t="str">
        <f t="shared" si="49"/>
        <v/>
      </c>
      <c r="Q186" s="37" t="str">
        <f t="shared" si="50"/>
        <v/>
      </c>
    </row>
    <row r="187" spans="1:17" ht="15" customHeight="1" x14ac:dyDescent="0.25">
      <c r="A187" s="58">
        <v>167</v>
      </c>
      <c r="B187" s="37">
        <f t="shared" si="35"/>
        <v>166.5</v>
      </c>
      <c r="C187" s="37" t="str">
        <f t="shared" si="36"/>
        <v/>
      </c>
      <c r="D187" s="37" t="str">
        <f t="shared" si="37"/>
        <v/>
      </c>
      <c r="E187" s="37" t="str">
        <f t="shared" si="38"/>
        <v/>
      </c>
      <c r="F187" s="37" t="str">
        <f t="shared" si="39"/>
        <v/>
      </c>
      <c r="G187" s="37" t="str">
        <f t="shared" si="40"/>
        <v/>
      </c>
      <c r="H187" s="37" t="str">
        <f t="shared" si="41"/>
        <v/>
      </c>
      <c r="I187" s="37" t="str">
        <f t="shared" si="42"/>
        <v/>
      </c>
      <c r="J187" s="37" t="str">
        <f t="shared" si="43"/>
        <v/>
      </c>
      <c r="K187" s="37" t="str">
        <f t="shared" si="44"/>
        <v/>
      </c>
      <c r="L187" s="37" t="str">
        <f t="shared" si="45"/>
        <v/>
      </c>
      <c r="M187" s="37" t="str">
        <f t="shared" si="46"/>
        <v/>
      </c>
      <c r="N187" s="37" t="str">
        <f t="shared" si="47"/>
        <v/>
      </c>
      <c r="O187" s="37" t="str">
        <f t="shared" si="48"/>
        <v/>
      </c>
      <c r="P187" s="37" t="str">
        <f t="shared" si="49"/>
        <v/>
      </c>
      <c r="Q187" s="37" t="str">
        <f t="shared" si="50"/>
        <v/>
      </c>
    </row>
    <row r="188" spans="1:17" ht="15" customHeight="1" x14ac:dyDescent="0.25">
      <c r="A188" s="58">
        <v>168</v>
      </c>
      <c r="B188" s="37">
        <f t="shared" si="35"/>
        <v>167.5</v>
      </c>
      <c r="C188" s="37" t="str">
        <f t="shared" si="36"/>
        <v/>
      </c>
      <c r="D188" s="37" t="str">
        <f t="shared" si="37"/>
        <v/>
      </c>
      <c r="E188" s="37" t="str">
        <f t="shared" si="38"/>
        <v/>
      </c>
      <c r="F188" s="37" t="str">
        <f t="shared" si="39"/>
        <v/>
      </c>
      <c r="G188" s="37" t="str">
        <f t="shared" si="40"/>
        <v/>
      </c>
      <c r="H188" s="37" t="str">
        <f t="shared" si="41"/>
        <v/>
      </c>
      <c r="I188" s="37" t="str">
        <f t="shared" si="42"/>
        <v/>
      </c>
      <c r="J188" s="37" t="str">
        <f t="shared" si="43"/>
        <v/>
      </c>
      <c r="K188" s="37" t="str">
        <f t="shared" si="44"/>
        <v/>
      </c>
      <c r="L188" s="37" t="str">
        <f t="shared" si="45"/>
        <v/>
      </c>
      <c r="M188" s="37" t="str">
        <f t="shared" si="46"/>
        <v/>
      </c>
      <c r="N188" s="37" t="str">
        <f t="shared" si="47"/>
        <v/>
      </c>
      <c r="O188" s="37" t="str">
        <f t="shared" si="48"/>
        <v/>
      </c>
      <c r="P188" s="37" t="str">
        <f t="shared" si="49"/>
        <v/>
      </c>
      <c r="Q188" s="37" t="str">
        <f t="shared" si="50"/>
        <v/>
      </c>
    </row>
    <row r="189" spans="1:17" ht="15" customHeight="1" x14ac:dyDescent="0.25">
      <c r="A189" s="58">
        <v>169</v>
      </c>
      <c r="B189" s="37">
        <f t="shared" si="35"/>
        <v>168.5</v>
      </c>
      <c r="C189" s="37" t="str">
        <f t="shared" si="36"/>
        <v/>
      </c>
      <c r="D189" s="37" t="str">
        <f t="shared" si="37"/>
        <v/>
      </c>
      <c r="E189" s="37" t="str">
        <f t="shared" si="38"/>
        <v/>
      </c>
      <c r="F189" s="37" t="str">
        <f t="shared" si="39"/>
        <v/>
      </c>
      <c r="G189" s="37" t="str">
        <f t="shared" si="40"/>
        <v/>
      </c>
      <c r="H189" s="37" t="str">
        <f t="shared" si="41"/>
        <v/>
      </c>
      <c r="I189" s="37" t="str">
        <f t="shared" si="42"/>
        <v/>
      </c>
      <c r="J189" s="37" t="str">
        <f t="shared" si="43"/>
        <v/>
      </c>
      <c r="K189" s="37" t="str">
        <f t="shared" si="44"/>
        <v/>
      </c>
      <c r="L189" s="37" t="str">
        <f t="shared" si="45"/>
        <v/>
      </c>
      <c r="M189" s="37" t="str">
        <f t="shared" si="46"/>
        <v/>
      </c>
      <c r="N189" s="37" t="str">
        <f t="shared" si="47"/>
        <v/>
      </c>
      <c r="O189" s="37" t="str">
        <f t="shared" si="48"/>
        <v/>
      </c>
      <c r="P189" s="37" t="str">
        <f t="shared" si="49"/>
        <v/>
      </c>
      <c r="Q189" s="37" t="str">
        <f t="shared" si="50"/>
        <v/>
      </c>
    </row>
    <row r="190" spans="1:17" ht="15" customHeight="1" x14ac:dyDescent="0.25">
      <c r="A190" s="58">
        <v>170</v>
      </c>
      <c r="B190" s="37">
        <f t="shared" si="35"/>
        <v>169.5</v>
      </c>
      <c r="C190" s="37" t="str">
        <f t="shared" si="36"/>
        <v/>
      </c>
      <c r="D190" s="37" t="str">
        <f t="shared" si="37"/>
        <v/>
      </c>
      <c r="E190" s="37" t="str">
        <f t="shared" si="38"/>
        <v/>
      </c>
      <c r="F190" s="37" t="str">
        <f t="shared" si="39"/>
        <v/>
      </c>
      <c r="G190" s="37" t="str">
        <f t="shared" si="40"/>
        <v/>
      </c>
      <c r="H190" s="37" t="str">
        <f t="shared" si="41"/>
        <v/>
      </c>
      <c r="I190" s="37" t="str">
        <f t="shared" si="42"/>
        <v/>
      </c>
      <c r="J190" s="37" t="str">
        <f t="shared" si="43"/>
        <v/>
      </c>
      <c r="K190" s="37" t="str">
        <f t="shared" si="44"/>
        <v/>
      </c>
      <c r="L190" s="37" t="str">
        <f t="shared" si="45"/>
        <v/>
      </c>
      <c r="M190" s="37" t="str">
        <f t="shared" si="46"/>
        <v/>
      </c>
      <c r="N190" s="37" t="str">
        <f t="shared" si="47"/>
        <v/>
      </c>
      <c r="O190" s="37" t="str">
        <f t="shared" si="48"/>
        <v/>
      </c>
      <c r="P190" s="37" t="str">
        <f t="shared" si="49"/>
        <v/>
      </c>
      <c r="Q190" s="37" t="str">
        <f t="shared" si="50"/>
        <v/>
      </c>
    </row>
    <row r="191" spans="1:17" ht="15" customHeight="1" x14ac:dyDescent="0.25">
      <c r="A191" s="58">
        <v>171</v>
      </c>
      <c r="B191" s="37">
        <f t="shared" si="35"/>
        <v>170.5</v>
      </c>
      <c r="C191" s="37" t="str">
        <f t="shared" si="36"/>
        <v/>
      </c>
      <c r="D191" s="37" t="str">
        <f t="shared" si="37"/>
        <v/>
      </c>
      <c r="E191" s="37" t="str">
        <f t="shared" si="38"/>
        <v/>
      </c>
      <c r="F191" s="37" t="str">
        <f t="shared" si="39"/>
        <v/>
      </c>
      <c r="G191" s="37" t="str">
        <f t="shared" si="40"/>
        <v/>
      </c>
      <c r="H191" s="37" t="str">
        <f t="shared" si="41"/>
        <v/>
      </c>
      <c r="I191" s="37" t="str">
        <f t="shared" si="42"/>
        <v/>
      </c>
      <c r="J191" s="37" t="str">
        <f t="shared" si="43"/>
        <v/>
      </c>
      <c r="K191" s="37" t="str">
        <f t="shared" si="44"/>
        <v/>
      </c>
      <c r="L191" s="37" t="str">
        <f t="shared" si="45"/>
        <v/>
      </c>
      <c r="M191" s="37" t="str">
        <f t="shared" si="46"/>
        <v/>
      </c>
      <c r="N191" s="37" t="str">
        <f t="shared" si="47"/>
        <v/>
      </c>
      <c r="O191" s="37" t="str">
        <f t="shared" si="48"/>
        <v/>
      </c>
      <c r="P191" s="37" t="str">
        <f t="shared" si="49"/>
        <v/>
      </c>
      <c r="Q191" s="37" t="str">
        <f t="shared" si="50"/>
        <v/>
      </c>
    </row>
    <row r="192" spans="1:17" ht="15" customHeight="1" x14ac:dyDescent="0.25">
      <c r="A192" s="58">
        <v>172</v>
      </c>
      <c r="B192" s="37">
        <f t="shared" si="35"/>
        <v>171.5</v>
      </c>
      <c r="C192" s="37" t="str">
        <f t="shared" si="36"/>
        <v/>
      </c>
      <c r="D192" s="37" t="str">
        <f t="shared" si="37"/>
        <v/>
      </c>
      <c r="E192" s="37" t="str">
        <f t="shared" si="38"/>
        <v/>
      </c>
      <c r="F192" s="37" t="str">
        <f t="shared" si="39"/>
        <v/>
      </c>
      <c r="G192" s="37" t="str">
        <f t="shared" si="40"/>
        <v/>
      </c>
      <c r="H192" s="37" t="str">
        <f t="shared" si="41"/>
        <v/>
      </c>
      <c r="I192" s="37" t="str">
        <f t="shared" si="42"/>
        <v/>
      </c>
      <c r="J192" s="37" t="str">
        <f t="shared" si="43"/>
        <v/>
      </c>
      <c r="K192" s="37" t="str">
        <f t="shared" si="44"/>
        <v/>
      </c>
      <c r="L192" s="37" t="str">
        <f t="shared" si="45"/>
        <v/>
      </c>
      <c r="M192" s="37" t="str">
        <f t="shared" si="46"/>
        <v/>
      </c>
      <c r="N192" s="37" t="str">
        <f t="shared" si="47"/>
        <v/>
      </c>
      <c r="O192" s="37" t="str">
        <f t="shared" si="48"/>
        <v/>
      </c>
      <c r="P192" s="37" t="str">
        <f t="shared" si="49"/>
        <v/>
      </c>
      <c r="Q192" s="37" t="str">
        <f t="shared" si="50"/>
        <v/>
      </c>
    </row>
    <row r="193" spans="1:17" ht="15" customHeight="1" x14ac:dyDescent="0.25">
      <c r="A193" s="58">
        <v>173</v>
      </c>
      <c r="B193" s="37">
        <f t="shared" si="35"/>
        <v>172.5</v>
      </c>
      <c r="C193" s="37" t="str">
        <f t="shared" si="36"/>
        <v/>
      </c>
      <c r="D193" s="37" t="str">
        <f t="shared" si="37"/>
        <v/>
      </c>
      <c r="E193" s="37" t="str">
        <f t="shared" si="38"/>
        <v/>
      </c>
      <c r="F193" s="37" t="str">
        <f t="shared" si="39"/>
        <v/>
      </c>
      <c r="G193" s="37" t="str">
        <f t="shared" si="40"/>
        <v/>
      </c>
      <c r="H193" s="37" t="str">
        <f t="shared" si="41"/>
        <v/>
      </c>
      <c r="I193" s="37" t="str">
        <f t="shared" si="42"/>
        <v/>
      </c>
      <c r="J193" s="37" t="str">
        <f t="shared" si="43"/>
        <v/>
      </c>
      <c r="K193" s="37" t="str">
        <f t="shared" si="44"/>
        <v/>
      </c>
      <c r="L193" s="37" t="str">
        <f t="shared" si="45"/>
        <v/>
      </c>
      <c r="M193" s="37" t="str">
        <f t="shared" si="46"/>
        <v/>
      </c>
      <c r="N193" s="37" t="str">
        <f t="shared" si="47"/>
        <v/>
      </c>
      <c r="O193" s="37" t="str">
        <f t="shared" si="48"/>
        <v/>
      </c>
      <c r="P193" s="37" t="str">
        <f t="shared" si="49"/>
        <v/>
      </c>
      <c r="Q193" s="37" t="str">
        <f t="shared" si="50"/>
        <v/>
      </c>
    </row>
    <row r="194" spans="1:17" ht="15" customHeight="1" x14ac:dyDescent="0.25">
      <c r="A194" s="58">
        <v>174</v>
      </c>
      <c r="B194" s="37">
        <f t="shared" si="35"/>
        <v>173.5</v>
      </c>
      <c r="C194" s="37" t="str">
        <f t="shared" si="36"/>
        <v/>
      </c>
      <c r="D194" s="37" t="str">
        <f t="shared" si="37"/>
        <v/>
      </c>
      <c r="E194" s="37" t="str">
        <f t="shared" si="38"/>
        <v/>
      </c>
      <c r="F194" s="37" t="str">
        <f t="shared" si="39"/>
        <v/>
      </c>
      <c r="G194" s="37" t="str">
        <f t="shared" si="40"/>
        <v/>
      </c>
      <c r="H194" s="37" t="str">
        <f t="shared" si="41"/>
        <v/>
      </c>
      <c r="I194" s="37" t="str">
        <f t="shared" si="42"/>
        <v/>
      </c>
      <c r="J194" s="37" t="str">
        <f t="shared" si="43"/>
        <v/>
      </c>
      <c r="K194" s="37" t="str">
        <f t="shared" si="44"/>
        <v/>
      </c>
      <c r="L194" s="37" t="str">
        <f t="shared" si="45"/>
        <v/>
      </c>
      <c r="M194" s="37" t="str">
        <f t="shared" si="46"/>
        <v/>
      </c>
      <c r="N194" s="37" t="str">
        <f t="shared" si="47"/>
        <v/>
      </c>
      <c r="O194" s="37" t="str">
        <f t="shared" si="48"/>
        <v/>
      </c>
      <c r="P194" s="37" t="str">
        <f t="shared" si="49"/>
        <v/>
      </c>
      <c r="Q194" s="37" t="str">
        <f t="shared" si="50"/>
        <v/>
      </c>
    </row>
    <row r="195" spans="1:17" ht="15" customHeight="1" x14ac:dyDescent="0.25">
      <c r="A195" s="58">
        <v>175</v>
      </c>
      <c r="B195" s="37">
        <f t="shared" si="35"/>
        <v>174.5</v>
      </c>
      <c r="C195" s="37" t="str">
        <f t="shared" si="36"/>
        <v/>
      </c>
      <c r="D195" s="37" t="str">
        <f t="shared" si="37"/>
        <v/>
      </c>
      <c r="E195" s="37" t="str">
        <f t="shared" si="38"/>
        <v/>
      </c>
      <c r="F195" s="37" t="str">
        <f t="shared" si="39"/>
        <v/>
      </c>
      <c r="G195" s="37" t="str">
        <f t="shared" si="40"/>
        <v/>
      </c>
      <c r="H195" s="37" t="str">
        <f t="shared" si="41"/>
        <v/>
      </c>
      <c r="I195" s="37" t="str">
        <f t="shared" si="42"/>
        <v/>
      </c>
      <c r="J195" s="37" t="str">
        <f t="shared" si="43"/>
        <v/>
      </c>
      <c r="K195" s="37" t="str">
        <f t="shared" si="44"/>
        <v/>
      </c>
      <c r="L195" s="37" t="str">
        <f t="shared" si="45"/>
        <v/>
      </c>
      <c r="M195" s="37" t="str">
        <f t="shared" si="46"/>
        <v/>
      </c>
      <c r="N195" s="37" t="str">
        <f t="shared" si="47"/>
        <v/>
      </c>
      <c r="O195" s="37" t="str">
        <f t="shared" si="48"/>
        <v/>
      </c>
      <c r="P195" s="37" t="str">
        <f t="shared" si="49"/>
        <v/>
      </c>
      <c r="Q195" s="37" t="str">
        <f t="shared" si="50"/>
        <v/>
      </c>
    </row>
    <row r="196" spans="1:17" ht="15" customHeight="1" x14ac:dyDescent="0.25">
      <c r="A196" s="58">
        <v>176</v>
      </c>
      <c r="B196" s="37">
        <f t="shared" si="35"/>
        <v>175.5</v>
      </c>
      <c r="C196" s="37" t="str">
        <f t="shared" si="36"/>
        <v/>
      </c>
      <c r="D196" s="37" t="str">
        <f t="shared" si="37"/>
        <v/>
      </c>
      <c r="E196" s="37" t="str">
        <f t="shared" si="38"/>
        <v/>
      </c>
      <c r="F196" s="37" t="str">
        <f t="shared" si="39"/>
        <v/>
      </c>
      <c r="G196" s="37" t="str">
        <f t="shared" si="40"/>
        <v/>
      </c>
      <c r="H196" s="37" t="str">
        <f t="shared" si="41"/>
        <v/>
      </c>
      <c r="I196" s="37" t="str">
        <f t="shared" si="42"/>
        <v/>
      </c>
      <c r="J196" s="37" t="str">
        <f t="shared" si="43"/>
        <v/>
      </c>
      <c r="K196" s="37" t="str">
        <f t="shared" si="44"/>
        <v/>
      </c>
      <c r="L196" s="37" t="str">
        <f t="shared" si="45"/>
        <v/>
      </c>
      <c r="M196" s="37" t="str">
        <f t="shared" si="46"/>
        <v/>
      </c>
      <c r="N196" s="37" t="str">
        <f t="shared" si="47"/>
        <v/>
      </c>
      <c r="O196" s="37" t="str">
        <f t="shared" si="48"/>
        <v/>
      </c>
      <c r="P196" s="37" t="str">
        <f t="shared" si="49"/>
        <v/>
      </c>
      <c r="Q196" s="37" t="str">
        <f t="shared" si="50"/>
        <v/>
      </c>
    </row>
    <row r="197" spans="1:17" ht="15" customHeight="1" x14ac:dyDescent="0.25">
      <c r="A197" s="58">
        <v>177</v>
      </c>
      <c r="B197" s="37">
        <f t="shared" si="35"/>
        <v>176.5</v>
      </c>
      <c r="C197" s="37" t="str">
        <f t="shared" si="36"/>
        <v/>
      </c>
      <c r="D197" s="37" t="str">
        <f t="shared" si="37"/>
        <v/>
      </c>
      <c r="E197" s="37" t="str">
        <f t="shared" si="38"/>
        <v/>
      </c>
      <c r="F197" s="37" t="str">
        <f t="shared" si="39"/>
        <v/>
      </c>
      <c r="G197" s="37" t="str">
        <f t="shared" si="40"/>
        <v/>
      </c>
      <c r="H197" s="37" t="str">
        <f t="shared" si="41"/>
        <v/>
      </c>
      <c r="I197" s="37" t="str">
        <f t="shared" si="42"/>
        <v/>
      </c>
      <c r="J197" s="37" t="str">
        <f t="shared" si="43"/>
        <v/>
      </c>
      <c r="K197" s="37" t="str">
        <f t="shared" si="44"/>
        <v/>
      </c>
      <c r="L197" s="37" t="str">
        <f t="shared" si="45"/>
        <v/>
      </c>
      <c r="M197" s="37" t="str">
        <f t="shared" si="46"/>
        <v/>
      </c>
      <c r="N197" s="37" t="str">
        <f t="shared" si="47"/>
        <v/>
      </c>
      <c r="O197" s="37" t="str">
        <f t="shared" si="48"/>
        <v/>
      </c>
      <c r="P197" s="37" t="str">
        <f t="shared" si="49"/>
        <v/>
      </c>
      <c r="Q197" s="37" t="str">
        <f t="shared" si="50"/>
        <v/>
      </c>
    </row>
    <row r="198" spans="1:17" ht="15" customHeight="1" x14ac:dyDescent="0.25">
      <c r="A198" s="58">
        <v>178</v>
      </c>
      <c r="B198" s="37">
        <f t="shared" si="35"/>
        <v>177.5</v>
      </c>
      <c r="C198" s="37" t="str">
        <f t="shared" si="36"/>
        <v/>
      </c>
      <c r="D198" s="37" t="str">
        <f t="shared" si="37"/>
        <v/>
      </c>
      <c r="E198" s="37" t="str">
        <f t="shared" si="38"/>
        <v/>
      </c>
      <c r="F198" s="37" t="str">
        <f t="shared" si="39"/>
        <v/>
      </c>
      <c r="G198" s="37" t="str">
        <f t="shared" si="40"/>
        <v/>
      </c>
      <c r="H198" s="37" t="str">
        <f t="shared" si="41"/>
        <v/>
      </c>
      <c r="I198" s="37" t="str">
        <f t="shared" si="42"/>
        <v/>
      </c>
      <c r="J198" s="37" t="str">
        <f t="shared" si="43"/>
        <v/>
      </c>
      <c r="K198" s="37" t="str">
        <f t="shared" si="44"/>
        <v/>
      </c>
      <c r="L198" s="37" t="str">
        <f t="shared" si="45"/>
        <v/>
      </c>
      <c r="M198" s="37" t="str">
        <f t="shared" si="46"/>
        <v/>
      </c>
      <c r="N198" s="37" t="str">
        <f t="shared" si="47"/>
        <v/>
      </c>
      <c r="O198" s="37" t="str">
        <f t="shared" si="48"/>
        <v/>
      </c>
      <c r="P198" s="37" t="str">
        <f t="shared" si="49"/>
        <v/>
      </c>
      <c r="Q198" s="37" t="str">
        <f t="shared" si="50"/>
        <v/>
      </c>
    </row>
    <row r="199" spans="1:17" ht="15" customHeight="1" x14ac:dyDescent="0.25">
      <c r="A199" s="58">
        <v>179</v>
      </c>
      <c r="B199" s="37">
        <f t="shared" si="35"/>
        <v>178.5</v>
      </c>
      <c r="C199" s="37" t="str">
        <f t="shared" si="36"/>
        <v/>
      </c>
      <c r="D199" s="37" t="str">
        <f t="shared" si="37"/>
        <v/>
      </c>
      <c r="E199" s="37" t="str">
        <f t="shared" si="38"/>
        <v/>
      </c>
      <c r="F199" s="37" t="str">
        <f t="shared" si="39"/>
        <v/>
      </c>
      <c r="G199" s="37" t="str">
        <f t="shared" si="40"/>
        <v/>
      </c>
      <c r="H199" s="37" t="str">
        <f t="shared" si="41"/>
        <v/>
      </c>
      <c r="I199" s="37" t="str">
        <f t="shared" si="42"/>
        <v/>
      </c>
      <c r="J199" s="37" t="str">
        <f t="shared" si="43"/>
        <v/>
      </c>
      <c r="K199" s="37" t="str">
        <f t="shared" si="44"/>
        <v/>
      </c>
      <c r="L199" s="37" t="str">
        <f t="shared" si="45"/>
        <v/>
      </c>
      <c r="M199" s="37" t="str">
        <f t="shared" si="46"/>
        <v/>
      </c>
      <c r="N199" s="37" t="str">
        <f t="shared" si="47"/>
        <v/>
      </c>
      <c r="O199" s="37" t="str">
        <f t="shared" si="48"/>
        <v/>
      </c>
      <c r="P199" s="37" t="str">
        <f t="shared" si="49"/>
        <v/>
      </c>
      <c r="Q199" s="37" t="str">
        <f t="shared" si="50"/>
        <v/>
      </c>
    </row>
    <row r="200" spans="1:17" ht="15" customHeight="1" x14ac:dyDescent="0.25">
      <c r="A200" s="58">
        <v>180</v>
      </c>
      <c r="B200" s="37">
        <f t="shared" si="35"/>
        <v>179.5</v>
      </c>
      <c r="C200" s="37" t="str">
        <f t="shared" si="36"/>
        <v/>
      </c>
      <c r="D200" s="37" t="str">
        <f t="shared" si="37"/>
        <v/>
      </c>
      <c r="E200" s="37" t="str">
        <f t="shared" si="38"/>
        <v/>
      </c>
      <c r="F200" s="37" t="str">
        <f t="shared" si="39"/>
        <v/>
      </c>
      <c r="G200" s="37" t="str">
        <f t="shared" si="40"/>
        <v/>
      </c>
      <c r="H200" s="37" t="str">
        <f t="shared" si="41"/>
        <v/>
      </c>
      <c r="I200" s="37" t="str">
        <f t="shared" si="42"/>
        <v/>
      </c>
      <c r="J200" s="37" t="str">
        <f t="shared" si="43"/>
        <v/>
      </c>
      <c r="K200" s="37" t="str">
        <f t="shared" si="44"/>
        <v/>
      </c>
      <c r="L200" s="37" t="str">
        <f t="shared" si="45"/>
        <v/>
      </c>
      <c r="M200" s="37" t="str">
        <f t="shared" si="46"/>
        <v/>
      </c>
      <c r="N200" s="37" t="str">
        <f t="shared" si="47"/>
        <v/>
      </c>
      <c r="O200" s="37" t="str">
        <f t="shared" si="48"/>
        <v/>
      </c>
      <c r="P200" s="37" t="str">
        <f t="shared" si="49"/>
        <v/>
      </c>
      <c r="Q200" s="37" t="str">
        <f t="shared" si="50"/>
        <v/>
      </c>
    </row>
    <row r="201" spans="1:17" ht="15" customHeight="1" x14ac:dyDescent="0.25">
      <c r="A201" s="58">
        <v>181</v>
      </c>
      <c r="B201" s="37">
        <f t="shared" si="35"/>
        <v>180.5</v>
      </c>
      <c r="C201" s="37" t="str">
        <f t="shared" si="36"/>
        <v/>
      </c>
      <c r="D201" s="37" t="str">
        <f t="shared" si="37"/>
        <v/>
      </c>
      <c r="E201" s="37" t="str">
        <f t="shared" si="38"/>
        <v/>
      </c>
      <c r="F201" s="37" t="str">
        <f t="shared" si="39"/>
        <v/>
      </c>
      <c r="G201" s="37" t="str">
        <f t="shared" si="40"/>
        <v/>
      </c>
      <c r="H201" s="37" t="str">
        <f t="shared" si="41"/>
        <v/>
      </c>
      <c r="I201" s="37" t="str">
        <f t="shared" si="42"/>
        <v/>
      </c>
      <c r="J201" s="37" t="str">
        <f t="shared" si="43"/>
        <v/>
      </c>
      <c r="K201" s="37" t="str">
        <f t="shared" si="44"/>
        <v/>
      </c>
      <c r="L201" s="37" t="str">
        <f t="shared" si="45"/>
        <v/>
      </c>
      <c r="M201" s="37" t="str">
        <f t="shared" si="46"/>
        <v/>
      </c>
      <c r="N201" s="37" t="str">
        <f t="shared" si="47"/>
        <v/>
      </c>
      <c r="O201" s="37" t="str">
        <f t="shared" si="48"/>
        <v/>
      </c>
      <c r="P201" s="37" t="str">
        <f t="shared" si="49"/>
        <v/>
      </c>
      <c r="Q201" s="37" t="str">
        <f t="shared" si="50"/>
        <v/>
      </c>
    </row>
    <row r="202" spans="1:17" ht="15" customHeight="1" x14ac:dyDescent="0.25">
      <c r="A202" s="58">
        <v>182</v>
      </c>
      <c r="B202" s="37">
        <f t="shared" si="35"/>
        <v>181.5</v>
      </c>
      <c r="C202" s="37" t="str">
        <f t="shared" si="36"/>
        <v/>
      </c>
      <c r="D202" s="37" t="str">
        <f t="shared" si="37"/>
        <v/>
      </c>
      <c r="E202" s="37" t="str">
        <f t="shared" si="38"/>
        <v/>
      </c>
      <c r="F202" s="37" t="str">
        <f t="shared" si="39"/>
        <v/>
      </c>
      <c r="G202" s="37" t="str">
        <f t="shared" si="40"/>
        <v/>
      </c>
      <c r="H202" s="37" t="str">
        <f t="shared" si="41"/>
        <v/>
      </c>
      <c r="I202" s="37" t="str">
        <f t="shared" si="42"/>
        <v/>
      </c>
      <c r="J202" s="37" t="str">
        <f t="shared" si="43"/>
        <v/>
      </c>
      <c r="K202" s="37" t="str">
        <f t="shared" si="44"/>
        <v/>
      </c>
      <c r="L202" s="37" t="str">
        <f t="shared" si="45"/>
        <v/>
      </c>
      <c r="M202" s="37" t="str">
        <f t="shared" si="46"/>
        <v/>
      </c>
      <c r="N202" s="37" t="str">
        <f t="shared" si="47"/>
        <v/>
      </c>
      <c r="O202" s="37" t="str">
        <f t="shared" si="48"/>
        <v/>
      </c>
      <c r="P202" s="37" t="str">
        <f t="shared" si="49"/>
        <v/>
      </c>
      <c r="Q202" s="37" t="str">
        <f t="shared" si="50"/>
        <v/>
      </c>
    </row>
    <row r="203" spans="1:17" ht="15" customHeight="1" x14ac:dyDescent="0.25">
      <c r="A203" s="58">
        <v>183</v>
      </c>
      <c r="B203" s="37">
        <f t="shared" si="35"/>
        <v>182.5</v>
      </c>
      <c r="C203" s="37" t="str">
        <f t="shared" si="36"/>
        <v/>
      </c>
      <c r="D203" s="37" t="str">
        <f t="shared" si="37"/>
        <v/>
      </c>
      <c r="E203" s="37" t="str">
        <f t="shared" si="38"/>
        <v/>
      </c>
      <c r="F203" s="37" t="str">
        <f t="shared" si="39"/>
        <v/>
      </c>
      <c r="G203" s="37" t="str">
        <f t="shared" si="40"/>
        <v/>
      </c>
      <c r="H203" s="37" t="str">
        <f t="shared" si="41"/>
        <v/>
      </c>
      <c r="I203" s="37" t="str">
        <f t="shared" si="42"/>
        <v/>
      </c>
      <c r="J203" s="37" t="str">
        <f t="shared" si="43"/>
        <v/>
      </c>
      <c r="K203" s="37" t="str">
        <f t="shared" si="44"/>
        <v/>
      </c>
      <c r="L203" s="37" t="str">
        <f t="shared" si="45"/>
        <v/>
      </c>
      <c r="M203" s="37" t="str">
        <f t="shared" si="46"/>
        <v/>
      </c>
      <c r="N203" s="37" t="str">
        <f t="shared" si="47"/>
        <v/>
      </c>
      <c r="O203" s="37" t="str">
        <f t="shared" si="48"/>
        <v/>
      </c>
      <c r="P203" s="37" t="str">
        <f t="shared" si="49"/>
        <v/>
      </c>
      <c r="Q203" s="37" t="str">
        <f t="shared" si="50"/>
        <v/>
      </c>
    </row>
    <row r="204" spans="1:17" ht="15" customHeight="1" x14ac:dyDescent="0.25">
      <c r="A204" s="58">
        <v>184</v>
      </c>
      <c r="B204" s="37">
        <f t="shared" si="35"/>
        <v>183.5</v>
      </c>
      <c r="C204" s="37" t="str">
        <f t="shared" si="36"/>
        <v/>
      </c>
      <c r="D204" s="37" t="str">
        <f t="shared" si="37"/>
        <v/>
      </c>
      <c r="E204" s="37" t="str">
        <f t="shared" si="38"/>
        <v/>
      </c>
      <c r="F204" s="37" t="str">
        <f t="shared" si="39"/>
        <v/>
      </c>
      <c r="G204" s="37" t="str">
        <f t="shared" si="40"/>
        <v/>
      </c>
      <c r="H204" s="37" t="str">
        <f t="shared" si="41"/>
        <v/>
      </c>
      <c r="I204" s="37" t="str">
        <f t="shared" si="42"/>
        <v/>
      </c>
      <c r="J204" s="37" t="str">
        <f t="shared" si="43"/>
        <v/>
      </c>
      <c r="K204" s="37" t="str">
        <f t="shared" si="44"/>
        <v/>
      </c>
      <c r="L204" s="37" t="str">
        <f t="shared" si="45"/>
        <v/>
      </c>
      <c r="M204" s="37" t="str">
        <f t="shared" si="46"/>
        <v/>
      </c>
      <c r="N204" s="37" t="str">
        <f t="shared" si="47"/>
        <v/>
      </c>
      <c r="O204" s="37" t="str">
        <f t="shared" si="48"/>
        <v/>
      </c>
      <c r="P204" s="37" t="str">
        <f t="shared" si="49"/>
        <v/>
      </c>
      <c r="Q204" s="37" t="str">
        <f t="shared" si="50"/>
        <v/>
      </c>
    </row>
    <row r="205" spans="1:17" ht="15" customHeight="1" x14ac:dyDescent="0.25">
      <c r="A205" s="58">
        <v>185</v>
      </c>
      <c r="B205" s="37">
        <f t="shared" si="35"/>
        <v>184.5</v>
      </c>
      <c r="C205" s="37" t="str">
        <f t="shared" si="36"/>
        <v/>
      </c>
      <c r="D205" s="37" t="str">
        <f t="shared" si="37"/>
        <v/>
      </c>
      <c r="E205" s="37" t="str">
        <f t="shared" si="38"/>
        <v/>
      </c>
      <c r="F205" s="37" t="str">
        <f t="shared" si="39"/>
        <v/>
      </c>
      <c r="G205" s="37" t="str">
        <f t="shared" si="40"/>
        <v/>
      </c>
      <c r="H205" s="37" t="str">
        <f t="shared" si="41"/>
        <v/>
      </c>
      <c r="I205" s="37" t="str">
        <f t="shared" si="42"/>
        <v/>
      </c>
      <c r="J205" s="37" t="str">
        <f t="shared" si="43"/>
        <v/>
      </c>
      <c r="K205" s="37" t="str">
        <f t="shared" si="44"/>
        <v/>
      </c>
      <c r="L205" s="37" t="str">
        <f t="shared" si="45"/>
        <v/>
      </c>
      <c r="M205" s="37" t="str">
        <f t="shared" si="46"/>
        <v/>
      </c>
      <c r="N205" s="37" t="str">
        <f t="shared" si="47"/>
        <v/>
      </c>
      <c r="O205" s="37" t="str">
        <f t="shared" si="48"/>
        <v/>
      </c>
      <c r="P205" s="37" t="str">
        <f t="shared" si="49"/>
        <v/>
      </c>
      <c r="Q205" s="37" t="str">
        <f t="shared" si="50"/>
        <v/>
      </c>
    </row>
    <row r="206" spans="1:17" ht="15" customHeight="1" x14ac:dyDescent="0.25">
      <c r="A206" s="58">
        <v>186</v>
      </c>
      <c r="B206" s="37">
        <f t="shared" si="35"/>
        <v>185.5</v>
      </c>
      <c r="C206" s="37" t="str">
        <f t="shared" si="36"/>
        <v/>
      </c>
      <c r="D206" s="37" t="str">
        <f t="shared" si="37"/>
        <v/>
      </c>
      <c r="E206" s="37" t="str">
        <f t="shared" si="38"/>
        <v/>
      </c>
      <c r="F206" s="37" t="str">
        <f t="shared" si="39"/>
        <v/>
      </c>
      <c r="G206" s="37" t="str">
        <f t="shared" si="40"/>
        <v/>
      </c>
      <c r="H206" s="37" t="str">
        <f t="shared" si="41"/>
        <v/>
      </c>
      <c r="I206" s="37" t="str">
        <f t="shared" si="42"/>
        <v/>
      </c>
      <c r="J206" s="37" t="str">
        <f t="shared" si="43"/>
        <v/>
      </c>
      <c r="K206" s="37" t="str">
        <f t="shared" si="44"/>
        <v/>
      </c>
      <c r="L206" s="37" t="str">
        <f t="shared" si="45"/>
        <v/>
      </c>
      <c r="M206" s="37" t="str">
        <f t="shared" si="46"/>
        <v/>
      </c>
      <c r="N206" s="37" t="str">
        <f t="shared" si="47"/>
        <v/>
      </c>
      <c r="O206" s="37" t="str">
        <f t="shared" si="48"/>
        <v/>
      </c>
      <c r="P206" s="37" t="str">
        <f t="shared" si="49"/>
        <v/>
      </c>
      <c r="Q206" s="37" t="str">
        <f t="shared" si="50"/>
        <v/>
      </c>
    </row>
    <row r="207" spans="1:17" ht="15" customHeight="1" x14ac:dyDescent="0.25">
      <c r="A207" s="58">
        <v>187</v>
      </c>
      <c r="B207" s="37">
        <f t="shared" si="35"/>
        <v>186.5</v>
      </c>
      <c r="C207" s="37" t="str">
        <f t="shared" si="36"/>
        <v/>
      </c>
      <c r="D207" s="37" t="str">
        <f t="shared" si="37"/>
        <v/>
      </c>
      <c r="E207" s="37" t="str">
        <f t="shared" si="38"/>
        <v/>
      </c>
      <c r="F207" s="37" t="str">
        <f t="shared" si="39"/>
        <v/>
      </c>
      <c r="G207" s="37" t="str">
        <f t="shared" si="40"/>
        <v/>
      </c>
      <c r="H207" s="37" t="str">
        <f t="shared" si="41"/>
        <v/>
      </c>
      <c r="I207" s="37" t="str">
        <f t="shared" si="42"/>
        <v/>
      </c>
      <c r="J207" s="37" t="str">
        <f t="shared" si="43"/>
        <v/>
      </c>
      <c r="K207" s="37" t="str">
        <f t="shared" si="44"/>
        <v/>
      </c>
      <c r="L207" s="37" t="str">
        <f t="shared" si="45"/>
        <v/>
      </c>
      <c r="M207" s="37" t="str">
        <f t="shared" si="46"/>
        <v/>
      </c>
      <c r="N207" s="37" t="str">
        <f t="shared" si="47"/>
        <v/>
      </c>
      <c r="O207" s="37" t="str">
        <f t="shared" si="48"/>
        <v/>
      </c>
      <c r="P207" s="37" t="str">
        <f t="shared" si="49"/>
        <v/>
      </c>
      <c r="Q207" s="37" t="str">
        <f t="shared" si="50"/>
        <v/>
      </c>
    </row>
    <row r="208" spans="1:17" ht="15" customHeight="1" x14ac:dyDescent="0.25">
      <c r="A208" s="58">
        <v>188</v>
      </c>
      <c r="B208" s="37">
        <f t="shared" si="35"/>
        <v>187.5</v>
      </c>
      <c r="C208" s="37" t="str">
        <f t="shared" si="36"/>
        <v/>
      </c>
      <c r="D208" s="37" t="str">
        <f t="shared" si="37"/>
        <v/>
      </c>
      <c r="E208" s="37" t="str">
        <f t="shared" si="38"/>
        <v/>
      </c>
      <c r="F208" s="37" t="str">
        <f t="shared" si="39"/>
        <v/>
      </c>
      <c r="G208" s="37" t="str">
        <f t="shared" si="40"/>
        <v/>
      </c>
      <c r="H208" s="37" t="str">
        <f t="shared" si="41"/>
        <v/>
      </c>
      <c r="I208" s="37" t="str">
        <f t="shared" si="42"/>
        <v/>
      </c>
      <c r="J208" s="37" t="str">
        <f t="shared" si="43"/>
        <v/>
      </c>
      <c r="K208" s="37" t="str">
        <f t="shared" si="44"/>
        <v/>
      </c>
      <c r="L208" s="37" t="str">
        <f t="shared" si="45"/>
        <v/>
      </c>
      <c r="M208" s="37" t="str">
        <f t="shared" si="46"/>
        <v/>
      </c>
      <c r="N208" s="37" t="str">
        <f t="shared" si="47"/>
        <v/>
      </c>
      <c r="O208" s="37" t="str">
        <f t="shared" si="48"/>
        <v/>
      </c>
      <c r="P208" s="37" t="str">
        <f t="shared" si="49"/>
        <v/>
      </c>
      <c r="Q208" s="37" t="str">
        <f t="shared" si="50"/>
        <v/>
      </c>
    </row>
    <row r="209" spans="1:17" ht="15" customHeight="1" x14ac:dyDescent="0.25">
      <c r="A209" s="58">
        <v>189</v>
      </c>
      <c r="B209" s="37">
        <f t="shared" si="35"/>
        <v>188.5</v>
      </c>
      <c r="C209" s="37" t="str">
        <f t="shared" si="36"/>
        <v/>
      </c>
      <c r="D209" s="37" t="str">
        <f t="shared" si="37"/>
        <v/>
      </c>
      <c r="E209" s="37" t="str">
        <f t="shared" si="38"/>
        <v/>
      </c>
      <c r="F209" s="37" t="str">
        <f t="shared" si="39"/>
        <v/>
      </c>
      <c r="G209" s="37" t="str">
        <f t="shared" si="40"/>
        <v/>
      </c>
      <c r="H209" s="37" t="str">
        <f t="shared" si="41"/>
        <v/>
      </c>
      <c r="I209" s="37" t="str">
        <f t="shared" si="42"/>
        <v/>
      </c>
      <c r="J209" s="37" t="str">
        <f t="shared" si="43"/>
        <v/>
      </c>
      <c r="K209" s="37" t="str">
        <f t="shared" si="44"/>
        <v/>
      </c>
      <c r="L209" s="37" t="str">
        <f t="shared" si="45"/>
        <v/>
      </c>
      <c r="M209" s="37" t="str">
        <f t="shared" si="46"/>
        <v/>
      </c>
      <c r="N209" s="37" t="str">
        <f t="shared" si="47"/>
        <v/>
      </c>
      <c r="O209" s="37" t="str">
        <f t="shared" si="48"/>
        <v/>
      </c>
      <c r="P209" s="37" t="str">
        <f t="shared" si="49"/>
        <v/>
      </c>
      <c r="Q209" s="37" t="str">
        <f t="shared" si="50"/>
        <v/>
      </c>
    </row>
    <row r="210" spans="1:17" ht="15" customHeight="1" x14ac:dyDescent="0.25">
      <c r="A210" s="58">
        <v>190</v>
      </c>
      <c r="B210" s="37">
        <f t="shared" si="35"/>
        <v>189.5</v>
      </c>
      <c r="C210" s="37" t="str">
        <f t="shared" si="36"/>
        <v/>
      </c>
      <c r="D210" s="37" t="str">
        <f t="shared" si="37"/>
        <v/>
      </c>
      <c r="E210" s="37" t="str">
        <f t="shared" si="38"/>
        <v/>
      </c>
      <c r="F210" s="37" t="str">
        <f t="shared" si="39"/>
        <v/>
      </c>
      <c r="G210" s="37" t="str">
        <f t="shared" si="40"/>
        <v/>
      </c>
      <c r="H210" s="37" t="str">
        <f t="shared" si="41"/>
        <v/>
      </c>
      <c r="I210" s="37" t="str">
        <f t="shared" si="42"/>
        <v/>
      </c>
      <c r="J210" s="37" t="str">
        <f t="shared" si="43"/>
        <v/>
      </c>
      <c r="K210" s="37" t="str">
        <f t="shared" si="44"/>
        <v/>
      </c>
      <c r="L210" s="37" t="str">
        <f t="shared" si="45"/>
        <v/>
      </c>
      <c r="M210" s="37" t="str">
        <f t="shared" si="46"/>
        <v/>
      </c>
      <c r="N210" s="37" t="str">
        <f t="shared" si="47"/>
        <v/>
      </c>
      <c r="O210" s="37" t="str">
        <f t="shared" si="48"/>
        <v/>
      </c>
      <c r="P210" s="37" t="str">
        <f t="shared" si="49"/>
        <v/>
      </c>
      <c r="Q210" s="37" t="str">
        <f t="shared" si="50"/>
        <v/>
      </c>
    </row>
    <row r="211" spans="1:17" ht="15" customHeight="1" x14ac:dyDescent="0.25">
      <c r="A211" s="58">
        <v>191</v>
      </c>
      <c r="B211" s="37">
        <f t="shared" si="35"/>
        <v>190.5</v>
      </c>
      <c r="C211" s="37" t="str">
        <f t="shared" si="36"/>
        <v/>
      </c>
      <c r="D211" s="37" t="str">
        <f t="shared" si="37"/>
        <v/>
      </c>
      <c r="E211" s="37" t="str">
        <f t="shared" si="38"/>
        <v/>
      </c>
      <c r="F211" s="37" t="str">
        <f t="shared" si="39"/>
        <v/>
      </c>
      <c r="G211" s="37" t="str">
        <f t="shared" si="40"/>
        <v/>
      </c>
      <c r="H211" s="37" t="str">
        <f t="shared" si="41"/>
        <v/>
      </c>
      <c r="I211" s="37" t="str">
        <f t="shared" si="42"/>
        <v/>
      </c>
      <c r="J211" s="37" t="str">
        <f t="shared" si="43"/>
        <v/>
      </c>
      <c r="K211" s="37" t="str">
        <f t="shared" si="44"/>
        <v/>
      </c>
      <c r="L211" s="37" t="str">
        <f t="shared" si="45"/>
        <v/>
      </c>
      <c r="M211" s="37" t="str">
        <f t="shared" si="46"/>
        <v/>
      </c>
      <c r="N211" s="37" t="str">
        <f t="shared" si="47"/>
        <v/>
      </c>
      <c r="O211" s="37" t="str">
        <f t="shared" si="48"/>
        <v/>
      </c>
      <c r="P211" s="37" t="str">
        <f t="shared" si="49"/>
        <v/>
      </c>
      <c r="Q211" s="37" t="str">
        <f t="shared" si="50"/>
        <v/>
      </c>
    </row>
    <row r="212" spans="1:17" ht="15" customHeight="1" x14ac:dyDescent="0.25">
      <c r="A212" s="58">
        <v>192</v>
      </c>
      <c r="B212" s="37">
        <f t="shared" si="35"/>
        <v>191.5</v>
      </c>
      <c r="C212" s="37" t="str">
        <f t="shared" si="36"/>
        <v/>
      </c>
      <c r="D212" s="37" t="str">
        <f t="shared" si="37"/>
        <v/>
      </c>
      <c r="E212" s="37" t="str">
        <f t="shared" si="38"/>
        <v/>
      </c>
      <c r="F212" s="37" t="str">
        <f t="shared" si="39"/>
        <v/>
      </c>
      <c r="G212" s="37" t="str">
        <f t="shared" si="40"/>
        <v/>
      </c>
      <c r="H212" s="37" t="str">
        <f t="shared" si="41"/>
        <v/>
      </c>
      <c r="I212" s="37" t="str">
        <f t="shared" si="42"/>
        <v/>
      </c>
      <c r="J212" s="37" t="str">
        <f t="shared" si="43"/>
        <v/>
      </c>
      <c r="K212" s="37" t="str">
        <f t="shared" si="44"/>
        <v/>
      </c>
      <c r="L212" s="37" t="str">
        <f t="shared" si="45"/>
        <v/>
      </c>
      <c r="M212" s="37" t="str">
        <f t="shared" si="46"/>
        <v/>
      </c>
      <c r="N212" s="37" t="str">
        <f t="shared" si="47"/>
        <v/>
      </c>
      <c r="O212" s="37" t="str">
        <f t="shared" si="48"/>
        <v/>
      </c>
      <c r="P212" s="37" t="str">
        <f t="shared" si="49"/>
        <v/>
      </c>
      <c r="Q212" s="37" t="str">
        <f t="shared" si="50"/>
        <v/>
      </c>
    </row>
    <row r="213" spans="1:17" ht="15" customHeight="1" x14ac:dyDescent="0.25">
      <c r="A213" s="58">
        <v>193</v>
      </c>
      <c r="B213" s="37">
        <f t="shared" ref="B213:B276" si="51">(A213-0.5)*u_w</f>
        <v>192.5</v>
      </c>
      <c r="C213" s="37" t="str">
        <f t="shared" ref="C213:C276" si="52">IF(OR(A213&gt;NL_b,$B$12=""),"",IF((ABS(B213-$B$12)+lane_off)&lt;=0,0,IF((ABS(B213-$B$12)+lane_off)&gt;=v_sh^2/a_sh,(ABS(B213-$B$12)+lane_off)/v_sh+v_sh/a_sh,2*SQRT((ABS(B213-$B$12)+lane_off)/a_sh))))</f>
        <v/>
      </c>
      <c r="D213" s="37" t="str">
        <f t="shared" ref="D213:D276" si="53">IF(OR(A213&gt;NL_b,$B$13=""),"",IF((ABS(B213-$B$13)+lane_off)&lt;=0,0,IF((ABS(B213-$B$13)+lane_off)&gt;=v_sh^2/a_sh,(ABS(B213-$B$13)+lane_off)/v_sh+v_sh/a_sh,2*SQRT((ABS(B213-$B$13)+lane_off)/a_sh))))</f>
        <v/>
      </c>
      <c r="E213" s="37" t="str">
        <f t="shared" ref="E213:E276" si="54">IF(OR(A213&gt;NL_b,$B$14=""),"",IF((ABS(B213-$B$14)+lane_off)&lt;=0,0,IF((ABS(B213-$B$14)+lane_off)&gt;=v_sh^2/a_sh,(ABS(B213-$B$14)+lane_off)/v_sh+v_sh/a_sh,2*SQRT((ABS(B213-$B$14)+lane_off)/a_sh))))</f>
        <v/>
      </c>
      <c r="F213" s="37" t="str">
        <f t="shared" ref="F213:F276" si="55">IF(OR(A213&gt;NL_b,$B$15=""),"",IF((ABS(B213-$B$15)+lane_off)&lt;=0,0,IF((ABS(B213-$B$15)+lane_off)&gt;=v_sh^2/a_sh,(ABS(B213-$B$15)+lane_off)/v_sh+v_sh/a_sh,2*SQRT((ABS(B213-$B$15)+lane_off)/a_sh))))</f>
        <v/>
      </c>
      <c r="G213" s="37" t="str">
        <f t="shared" ref="G213:G276" si="56">IF(OR(A213&gt;NL_b,$B$16=""),"",IF((ABS(B213-$B$16)+lane_off)&lt;=0,0,IF((ABS(B213-$B$16)+lane_off)&gt;=v_sh^2/a_sh,(ABS(B213-$B$16)+lane_off)/v_sh+v_sh/a_sh,2*SQRT((ABS(B213-$B$16)+lane_off)/a_sh))))</f>
        <v/>
      </c>
      <c r="H213" s="37" t="str">
        <f t="shared" ref="H213:H276" si="57">IF(OR(A213&gt;NL_b,$B$17=""),"",IF((ABS(B213-$B$17)+lane_off)&lt;=0,0,IF((ABS(B213-$B$17)+lane_off)&gt;=v_sh^2/a_sh,(ABS(B213-$B$17)+lane_off)/v_sh+v_sh/a_sh,2*SQRT((ABS(B213-$B$17)+lane_off)/a_sh))))</f>
        <v/>
      </c>
      <c r="I213" s="37" t="str">
        <f t="shared" ref="I213:I276" si="58">IF(C213="","",2*C213+w_conv*$D$12/v_conv)</f>
        <v/>
      </c>
      <c r="J213" s="37" t="str">
        <f t="shared" ref="J213:J276" si="59">IF(D213="","",2*D213+w_conv*$D$13/v_conv)</f>
        <v/>
      </c>
      <c r="K213" s="37" t="str">
        <f t="shared" ref="K213:K276" si="60">IF(E213="","",2*E213+w_conv*$D$14/v_conv)</f>
        <v/>
      </c>
      <c r="L213" s="37" t="str">
        <f t="shared" ref="L213:L276" si="61">IF(F213="","",2*F213+w_conv*$D$15/v_conv)</f>
        <v/>
      </c>
      <c r="M213" s="37" t="str">
        <f t="shared" ref="M213:M276" si="62">IF(G213="","",2*G213+w_conv*$D$16/v_conv)</f>
        <v/>
      </c>
      <c r="N213" s="37" t="str">
        <f t="shared" ref="N213:N276" si="63">IF(H213="","",2*H213+w_conv*$D$17/v_conv)</f>
        <v/>
      </c>
      <c r="O213" s="37" t="str">
        <f t="shared" ref="O213:O276" si="64">IF(A213&gt;NL_b,"",MIN(I213:N213))</f>
        <v/>
      </c>
      <c r="P213" s="37" t="str">
        <f t="shared" ref="P213:P276" si="65">IF(O213="","",INDEX(C213:H213,MATCH(O213,I213:N213,0)))</f>
        <v/>
      </c>
      <c r="Q213" s="37" t="str">
        <f t="shared" ref="Q213:Q276" si="66">IF(O213="","",INDEX($D$12:$D$17,MATCH(O213,I213:N213,0)))</f>
        <v/>
      </c>
    </row>
    <row r="214" spans="1:17" ht="15" customHeight="1" x14ac:dyDescent="0.25">
      <c r="A214" s="58">
        <v>194</v>
      </c>
      <c r="B214" s="37">
        <f t="shared" si="51"/>
        <v>193.5</v>
      </c>
      <c r="C214" s="37" t="str">
        <f t="shared" si="52"/>
        <v/>
      </c>
      <c r="D214" s="37" t="str">
        <f t="shared" si="53"/>
        <v/>
      </c>
      <c r="E214" s="37" t="str">
        <f t="shared" si="54"/>
        <v/>
      </c>
      <c r="F214" s="37" t="str">
        <f t="shared" si="55"/>
        <v/>
      </c>
      <c r="G214" s="37" t="str">
        <f t="shared" si="56"/>
        <v/>
      </c>
      <c r="H214" s="37" t="str">
        <f t="shared" si="57"/>
        <v/>
      </c>
      <c r="I214" s="37" t="str">
        <f t="shared" si="58"/>
        <v/>
      </c>
      <c r="J214" s="37" t="str">
        <f t="shared" si="59"/>
        <v/>
      </c>
      <c r="K214" s="37" t="str">
        <f t="shared" si="60"/>
        <v/>
      </c>
      <c r="L214" s="37" t="str">
        <f t="shared" si="61"/>
        <v/>
      </c>
      <c r="M214" s="37" t="str">
        <f t="shared" si="62"/>
        <v/>
      </c>
      <c r="N214" s="37" t="str">
        <f t="shared" si="63"/>
        <v/>
      </c>
      <c r="O214" s="37" t="str">
        <f t="shared" si="64"/>
        <v/>
      </c>
      <c r="P214" s="37" t="str">
        <f t="shared" si="65"/>
        <v/>
      </c>
      <c r="Q214" s="37" t="str">
        <f t="shared" si="66"/>
        <v/>
      </c>
    </row>
    <row r="215" spans="1:17" ht="15" customHeight="1" x14ac:dyDescent="0.25">
      <c r="A215" s="58">
        <v>195</v>
      </c>
      <c r="B215" s="37">
        <f t="shared" si="51"/>
        <v>194.5</v>
      </c>
      <c r="C215" s="37" t="str">
        <f t="shared" si="52"/>
        <v/>
      </c>
      <c r="D215" s="37" t="str">
        <f t="shared" si="53"/>
        <v/>
      </c>
      <c r="E215" s="37" t="str">
        <f t="shared" si="54"/>
        <v/>
      </c>
      <c r="F215" s="37" t="str">
        <f t="shared" si="55"/>
        <v/>
      </c>
      <c r="G215" s="37" t="str">
        <f t="shared" si="56"/>
        <v/>
      </c>
      <c r="H215" s="37" t="str">
        <f t="shared" si="57"/>
        <v/>
      </c>
      <c r="I215" s="37" t="str">
        <f t="shared" si="58"/>
        <v/>
      </c>
      <c r="J215" s="37" t="str">
        <f t="shared" si="59"/>
        <v/>
      </c>
      <c r="K215" s="37" t="str">
        <f t="shared" si="60"/>
        <v/>
      </c>
      <c r="L215" s="37" t="str">
        <f t="shared" si="61"/>
        <v/>
      </c>
      <c r="M215" s="37" t="str">
        <f t="shared" si="62"/>
        <v/>
      </c>
      <c r="N215" s="37" t="str">
        <f t="shared" si="63"/>
        <v/>
      </c>
      <c r="O215" s="37" t="str">
        <f t="shared" si="64"/>
        <v/>
      </c>
      <c r="P215" s="37" t="str">
        <f t="shared" si="65"/>
        <v/>
      </c>
      <c r="Q215" s="37" t="str">
        <f t="shared" si="66"/>
        <v/>
      </c>
    </row>
    <row r="216" spans="1:17" ht="15" customHeight="1" x14ac:dyDescent="0.25">
      <c r="A216" s="58">
        <v>196</v>
      </c>
      <c r="B216" s="37">
        <f t="shared" si="51"/>
        <v>195.5</v>
      </c>
      <c r="C216" s="37" t="str">
        <f t="shared" si="52"/>
        <v/>
      </c>
      <c r="D216" s="37" t="str">
        <f t="shared" si="53"/>
        <v/>
      </c>
      <c r="E216" s="37" t="str">
        <f t="shared" si="54"/>
        <v/>
      </c>
      <c r="F216" s="37" t="str">
        <f t="shared" si="55"/>
        <v/>
      </c>
      <c r="G216" s="37" t="str">
        <f t="shared" si="56"/>
        <v/>
      </c>
      <c r="H216" s="37" t="str">
        <f t="shared" si="57"/>
        <v/>
      </c>
      <c r="I216" s="37" t="str">
        <f t="shared" si="58"/>
        <v/>
      </c>
      <c r="J216" s="37" t="str">
        <f t="shared" si="59"/>
        <v/>
      </c>
      <c r="K216" s="37" t="str">
        <f t="shared" si="60"/>
        <v/>
      </c>
      <c r="L216" s="37" t="str">
        <f t="shared" si="61"/>
        <v/>
      </c>
      <c r="M216" s="37" t="str">
        <f t="shared" si="62"/>
        <v/>
      </c>
      <c r="N216" s="37" t="str">
        <f t="shared" si="63"/>
        <v/>
      </c>
      <c r="O216" s="37" t="str">
        <f t="shared" si="64"/>
        <v/>
      </c>
      <c r="P216" s="37" t="str">
        <f t="shared" si="65"/>
        <v/>
      </c>
      <c r="Q216" s="37" t="str">
        <f t="shared" si="66"/>
        <v/>
      </c>
    </row>
    <row r="217" spans="1:17" ht="15" customHeight="1" x14ac:dyDescent="0.25">
      <c r="A217" s="58">
        <v>197</v>
      </c>
      <c r="B217" s="37">
        <f t="shared" si="51"/>
        <v>196.5</v>
      </c>
      <c r="C217" s="37" t="str">
        <f t="shared" si="52"/>
        <v/>
      </c>
      <c r="D217" s="37" t="str">
        <f t="shared" si="53"/>
        <v/>
      </c>
      <c r="E217" s="37" t="str">
        <f t="shared" si="54"/>
        <v/>
      </c>
      <c r="F217" s="37" t="str">
        <f t="shared" si="55"/>
        <v/>
      </c>
      <c r="G217" s="37" t="str">
        <f t="shared" si="56"/>
        <v/>
      </c>
      <c r="H217" s="37" t="str">
        <f t="shared" si="57"/>
        <v/>
      </c>
      <c r="I217" s="37" t="str">
        <f t="shared" si="58"/>
        <v/>
      </c>
      <c r="J217" s="37" t="str">
        <f t="shared" si="59"/>
        <v/>
      </c>
      <c r="K217" s="37" t="str">
        <f t="shared" si="60"/>
        <v/>
      </c>
      <c r="L217" s="37" t="str">
        <f t="shared" si="61"/>
        <v/>
      </c>
      <c r="M217" s="37" t="str">
        <f t="shared" si="62"/>
        <v/>
      </c>
      <c r="N217" s="37" t="str">
        <f t="shared" si="63"/>
        <v/>
      </c>
      <c r="O217" s="37" t="str">
        <f t="shared" si="64"/>
        <v/>
      </c>
      <c r="P217" s="37" t="str">
        <f t="shared" si="65"/>
        <v/>
      </c>
      <c r="Q217" s="37" t="str">
        <f t="shared" si="66"/>
        <v/>
      </c>
    </row>
    <row r="218" spans="1:17" ht="15" customHeight="1" x14ac:dyDescent="0.25">
      <c r="A218" s="58">
        <v>198</v>
      </c>
      <c r="B218" s="37">
        <f t="shared" si="51"/>
        <v>197.5</v>
      </c>
      <c r="C218" s="37" t="str">
        <f t="shared" si="52"/>
        <v/>
      </c>
      <c r="D218" s="37" t="str">
        <f t="shared" si="53"/>
        <v/>
      </c>
      <c r="E218" s="37" t="str">
        <f t="shared" si="54"/>
        <v/>
      </c>
      <c r="F218" s="37" t="str">
        <f t="shared" si="55"/>
        <v/>
      </c>
      <c r="G218" s="37" t="str">
        <f t="shared" si="56"/>
        <v/>
      </c>
      <c r="H218" s="37" t="str">
        <f t="shared" si="57"/>
        <v/>
      </c>
      <c r="I218" s="37" t="str">
        <f t="shared" si="58"/>
        <v/>
      </c>
      <c r="J218" s="37" t="str">
        <f t="shared" si="59"/>
        <v/>
      </c>
      <c r="K218" s="37" t="str">
        <f t="shared" si="60"/>
        <v/>
      </c>
      <c r="L218" s="37" t="str">
        <f t="shared" si="61"/>
        <v/>
      </c>
      <c r="M218" s="37" t="str">
        <f t="shared" si="62"/>
        <v/>
      </c>
      <c r="N218" s="37" t="str">
        <f t="shared" si="63"/>
        <v/>
      </c>
      <c r="O218" s="37" t="str">
        <f t="shared" si="64"/>
        <v/>
      </c>
      <c r="P218" s="37" t="str">
        <f t="shared" si="65"/>
        <v/>
      </c>
      <c r="Q218" s="37" t="str">
        <f t="shared" si="66"/>
        <v/>
      </c>
    </row>
    <row r="219" spans="1:17" ht="15" customHeight="1" x14ac:dyDescent="0.25">
      <c r="A219" s="58">
        <v>199</v>
      </c>
      <c r="B219" s="37">
        <f t="shared" si="51"/>
        <v>198.5</v>
      </c>
      <c r="C219" s="37" t="str">
        <f t="shared" si="52"/>
        <v/>
      </c>
      <c r="D219" s="37" t="str">
        <f t="shared" si="53"/>
        <v/>
      </c>
      <c r="E219" s="37" t="str">
        <f t="shared" si="54"/>
        <v/>
      </c>
      <c r="F219" s="37" t="str">
        <f t="shared" si="55"/>
        <v/>
      </c>
      <c r="G219" s="37" t="str">
        <f t="shared" si="56"/>
        <v/>
      </c>
      <c r="H219" s="37" t="str">
        <f t="shared" si="57"/>
        <v/>
      </c>
      <c r="I219" s="37" t="str">
        <f t="shared" si="58"/>
        <v/>
      </c>
      <c r="J219" s="37" t="str">
        <f t="shared" si="59"/>
        <v/>
      </c>
      <c r="K219" s="37" t="str">
        <f t="shared" si="60"/>
        <v/>
      </c>
      <c r="L219" s="37" t="str">
        <f t="shared" si="61"/>
        <v/>
      </c>
      <c r="M219" s="37" t="str">
        <f t="shared" si="62"/>
        <v/>
      </c>
      <c r="N219" s="37" t="str">
        <f t="shared" si="63"/>
        <v/>
      </c>
      <c r="O219" s="37" t="str">
        <f t="shared" si="64"/>
        <v/>
      </c>
      <c r="P219" s="37" t="str">
        <f t="shared" si="65"/>
        <v/>
      </c>
      <c r="Q219" s="37" t="str">
        <f t="shared" si="66"/>
        <v/>
      </c>
    </row>
    <row r="220" spans="1:17" ht="15" customHeight="1" x14ac:dyDescent="0.25">
      <c r="A220" s="58">
        <v>200</v>
      </c>
      <c r="B220" s="37">
        <f t="shared" si="51"/>
        <v>199.5</v>
      </c>
      <c r="C220" s="37" t="str">
        <f t="shared" si="52"/>
        <v/>
      </c>
      <c r="D220" s="37" t="str">
        <f t="shared" si="53"/>
        <v/>
      </c>
      <c r="E220" s="37" t="str">
        <f t="shared" si="54"/>
        <v/>
      </c>
      <c r="F220" s="37" t="str">
        <f t="shared" si="55"/>
        <v/>
      </c>
      <c r="G220" s="37" t="str">
        <f t="shared" si="56"/>
        <v/>
      </c>
      <c r="H220" s="37" t="str">
        <f t="shared" si="57"/>
        <v/>
      </c>
      <c r="I220" s="37" t="str">
        <f t="shared" si="58"/>
        <v/>
      </c>
      <c r="J220" s="37" t="str">
        <f t="shared" si="59"/>
        <v/>
      </c>
      <c r="K220" s="37" t="str">
        <f t="shared" si="60"/>
        <v/>
      </c>
      <c r="L220" s="37" t="str">
        <f t="shared" si="61"/>
        <v/>
      </c>
      <c r="M220" s="37" t="str">
        <f t="shared" si="62"/>
        <v/>
      </c>
      <c r="N220" s="37" t="str">
        <f t="shared" si="63"/>
        <v/>
      </c>
      <c r="O220" s="37" t="str">
        <f t="shared" si="64"/>
        <v/>
      </c>
      <c r="P220" s="37" t="str">
        <f t="shared" si="65"/>
        <v/>
      </c>
      <c r="Q220" s="37" t="str">
        <f t="shared" si="66"/>
        <v/>
      </c>
    </row>
    <row r="221" spans="1:17" ht="15" customHeight="1" x14ac:dyDescent="0.25">
      <c r="A221" s="58">
        <v>201</v>
      </c>
      <c r="B221" s="37">
        <f t="shared" si="51"/>
        <v>200.5</v>
      </c>
      <c r="C221" s="37" t="str">
        <f t="shared" si="52"/>
        <v/>
      </c>
      <c r="D221" s="37" t="str">
        <f t="shared" si="53"/>
        <v/>
      </c>
      <c r="E221" s="37" t="str">
        <f t="shared" si="54"/>
        <v/>
      </c>
      <c r="F221" s="37" t="str">
        <f t="shared" si="55"/>
        <v/>
      </c>
      <c r="G221" s="37" t="str">
        <f t="shared" si="56"/>
        <v/>
      </c>
      <c r="H221" s="37" t="str">
        <f t="shared" si="57"/>
        <v/>
      </c>
      <c r="I221" s="37" t="str">
        <f t="shared" si="58"/>
        <v/>
      </c>
      <c r="J221" s="37" t="str">
        <f t="shared" si="59"/>
        <v/>
      </c>
      <c r="K221" s="37" t="str">
        <f t="shared" si="60"/>
        <v/>
      </c>
      <c r="L221" s="37" t="str">
        <f t="shared" si="61"/>
        <v/>
      </c>
      <c r="M221" s="37" t="str">
        <f t="shared" si="62"/>
        <v/>
      </c>
      <c r="N221" s="37" t="str">
        <f t="shared" si="63"/>
        <v/>
      </c>
      <c r="O221" s="37" t="str">
        <f t="shared" si="64"/>
        <v/>
      </c>
      <c r="P221" s="37" t="str">
        <f t="shared" si="65"/>
        <v/>
      </c>
      <c r="Q221" s="37" t="str">
        <f t="shared" si="66"/>
        <v/>
      </c>
    </row>
    <row r="222" spans="1:17" ht="15" customHeight="1" x14ac:dyDescent="0.25">
      <c r="A222" s="58">
        <v>202</v>
      </c>
      <c r="B222" s="37">
        <f t="shared" si="51"/>
        <v>201.5</v>
      </c>
      <c r="C222" s="37" t="str">
        <f t="shared" si="52"/>
        <v/>
      </c>
      <c r="D222" s="37" t="str">
        <f t="shared" si="53"/>
        <v/>
      </c>
      <c r="E222" s="37" t="str">
        <f t="shared" si="54"/>
        <v/>
      </c>
      <c r="F222" s="37" t="str">
        <f t="shared" si="55"/>
        <v/>
      </c>
      <c r="G222" s="37" t="str">
        <f t="shared" si="56"/>
        <v/>
      </c>
      <c r="H222" s="37" t="str">
        <f t="shared" si="57"/>
        <v/>
      </c>
      <c r="I222" s="37" t="str">
        <f t="shared" si="58"/>
        <v/>
      </c>
      <c r="J222" s="37" t="str">
        <f t="shared" si="59"/>
        <v/>
      </c>
      <c r="K222" s="37" t="str">
        <f t="shared" si="60"/>
        <v/>
      </c>
      <c r="L222" s="37" t="str">
        <f t="shared" si="61"/>
        <v/>
      </c>
      <c r="M222" s="37" t="str">
        <f t="shared" si="62"/>
        <v/>
      </c>
      <c r="N222" s="37" t="str">
        <f t="shared" si="63"/>
        <v/>
      </c>
      <c r="O222" s="37" t="str">
        <f t="shared" si="64"/>
        <v/>
      </c>
      <c r="P222" s="37" t="str">
        <f t="shared" si="65"/>
        <v/>
      </c>
      <c r="Q222" s="37" t="str">
        <f t="shared" si="66"/>
        <v/>
      </c>
    </row>
    <row r="223" spans="1:17" ht="15" customHeight="1" x14ac:dyDescent="0.25">
      <c r="A223" s="58">
        <v>203</v>
      </c>
      <c r="B223" s="37">
        <f t="shared" si="51"/>
        <v>202.5</v>
      </c>
      <c r="C223" s="37" t="str">
        <f t="shared" si="52"/>
        <v/>
      </c>
      <c r="D223" s="37" t="str">
        <f t="shared" si="53"/>
        <v/>
      </c>
      <c r="E223" s="37" t="str">
        <f t="shared" si="54"/>
        <v/>
      </c>
      <c r="F223" s="37" t="str">
        <f t="shared" si="55"/>
        <v/>
      </c>
      <c r="G223" s="37" t="str">
        <f t="shared" si="56"/>
        <v/>
      </c>
      <c r="H223" s="37" t="str">
        <f t="shared" si="57"/>
        <v/>
      </c>
      <c r="I223" s="37" t="str">
        <f t="shared" si="58"/>
        <v/>
      </c>
      <c r="J223" s="37" t="str">
        <f t="shared" si="59"/>
        <v/>
      </c>
      <c r="K223" s="37" t="str">
        <f t="shared" si="60"/>
        <v/>
      </c>
      <c r="L223" s="37" t="str">
        <f t="shared" si="61"/>
        <v/>
      </c>
      <c r="M223" s="37" t="str">
        <f t="shared" si="62"/>
        <v/>
      </c>
      <c r="N223" s="37" t="str">
        <f t="shared" si="63"/>
        <v/>
      </c>
      <c r="O223" s="37" t="str">
        <f t="shared" si="64"/>
        <v/>
      </c>
      <c r="P223" s="37" t="str">
        <f t="shared" si="65"/>
        <v/>
      </c>
      <c r="Q223" s="37" t="str">
        <f t="shared" si="66"/>
        <v/>
      </c>
    </row>
    <row r="224" spans="1:17" ht="15" customHeight="1" x14ac:dyDescent="0.25">
      <c r="A224" s="58">
        <v>204</v>
      </c>
      <c r="B224" s="37">
        <f t="shared" si="51"/>
        <v>203.5</v>
      </c>
      <c r="C224" s="37" t="str">
        <f t="shared" si="52"/>
        <v/>
      </c>
      <c r="D224" s="37" t="str">
        <f t="shared" si="53"/>
        <v/>
      </c>
      <c r="E224" s="37" t="str">
        <f t="shared" si="54"/>
        <v/>
      </c>
      <c r="F224" s="37" t="str">
        <f t="shared" si="55"/>
        <v/>
      </c>
      <c r="G224" s="37" t="str">
        <f t="shared" si="56"/>
        <v/>
      </c>
      <c r="H224" s="37" t="str">
        <f t="shared" si="57"/>
        <v/>
      </c>
      <c r="I224" s="37" t="str">
        <f t="shared" si="58"/>
        <v/>
      </c>
      <c r="J224" s="37" t="str">
        <f t="shared" si="59"/>
        <v/>
      </c>
      <c r="K224" s="37" t="str">
        <f t="shared" si="60"/>
        <v/>
      </c>
      <c r="L224" s="37" t="str">
        <f t="shared" si="61"/>
        <v/>
      </c>
      <c r="M224" s="37" t="str">
        <f t="shared" si="62"/>
        <v/>
      </c>
      <c r="N224" s="37" t="str">
        <f t="shared" si="63"/>
        <v/>
      </c>
      <c r="O224" s="37" t="str">
        <f t="shared" si="64"/>
        <v/>
      </c>
      <c r="P224" s="37" t="str">
        <f t="shared" si="65"/>
        <v/>
      </c>
      <c r="Q224" s="37" t="str">
        <f t="shared" si="66"/>
        <v/>
      </c>
    </row>
    <row r="225" spans="1:17" ht="15" customHeight="1" x14ac:dyDescent="0.25">
      <c r="A225" s="58">
        <v>205</v>
      </c>
      <c r="B225" s="37">
        <f t="shared" si="51"/>
        <v>204.5</v>
      </c>
      <c r="C225" s="37" t="str">
        <f t="shared" si="52"/>
        <v/>
      </c>
      <c r="D225" s="37" t="str">
        <f t="shared" si="53"/>
        <v/>
      </c>
      <c r="E225" s="37" t="str">
        <f t="shared" si="54"/>
        <v/>
      </c>
      <c r="F225" s="37" t="str">
        <f t="shared" si="55"/>
        <v/>
      </c>
      <c r="G225" s="37" t="str">
        <f t="shared" si="56"/>
        <v/>
      </c>
      <c r="H225" s="37" t="str">
        <f t="shared" si="57"/>
        <v/>
      </c>
      <c r="I225" s="37" t="str">
        <f t="shared" si="58"/>
        <v/>
      </c>
      <c r="J225" s="37" t="str">
        <f t="shared" si="59"/>
        <v/>
      </c>
      <c r="K225" s="37" t="str">
        <f t="shared" si="60"/>
        <v/>
      </c>
      <c r="L225" s="37" t="str">
        <f t="shared" si="61"/>
        <v/>
      </c>
      <c r="M225" s="37" t="str">
        <f t="shared" si="62"/>
        <v/>
      </c>
      <c r="N225" s="37" t="str">
        <f t="shared" si="63"/>
        <v/>
      </c>
      <c r="O225" s="37" t="str">
        <f t="shared" si="64"/>
        <v/>
      </c>
      <c r="P225" s="37" t="str">
        <f t="shared" si="65"/>
        <v/>
      </c>
      <c r="Q225" s="37" t="str">
        <f t="shared" si="66"/>
        <v/>
      </c>
    </row>
    <row r="226" spans="1:17" ht="15" customHeight="1" x14ac:dyDescent="0.25">
      <c r="A226" s="58">
        <v>206</v>
      </c>
      <c r="B226" s="37">
        <f t="shared" si="51"/>
        <v>205.5</v>
      </c>
      <c r="C226" s="37" t="str">
        <f t="shared" si="52"/>
        <v/>
      </c>
      <c r="D226" s="37" t="str">
        <f t="shared" si="53"/>
        <v/>
      </c>
      <c r="E226" s="37" t="str">
        <f t="shared" si="54"/>
        <v/>
      </c>
      <c r="F226" s="37" t="str">
        <f t="shared" si="55"/>
        <v/>
      </c>
      <c r="G226" s="37" t="str">
        <f t="shared" si="56"/>
        <v/>
      </c>
      <c r="H226" s="37" t="str">
        <f t="shared" si="57"/>
        <v/>
      </c>
      <c r="I226" s="37" t="str">
        <f t="shared" si="58"/>
        <v/>
      </c>
      <c r="J226" s="37" t="str">
        <f t="shared" si="59"/>
        <v/>
      </c>
      <c r="K226" s="37" t="str">
        <f t="shared" si="60"/>
        <v/>
      </c>
      <c r="L226" s="37" t="str">
        <f t="shared" si="61"/>
        <v/>
      </c>
      <c r="M226" s="37" t="str">
        <f t="shared" si="62"/>
        <v/>
      </c>
      <c r="N226" s="37" t="str">
        <f t="shared" si="63"/>
        <v/>
      </c>
      <c r="O226" s="37" t="str">
        <f t="shared" si="64"/>
        <v/>
      </c>
      <c r="P226" s="37" t="str">
        <f t="shared" si="65"/>
        <v/>
      </c>
      <c r="Q226" s="37" t="str">
        <f t="shared" si="66"/>
        <v/>
      </c>
    </row>
    <row r="227" spans="1:17" ht="15" customHeight="1" x14ac:dyDescent="0.25">
      <c r="A227" s="58">
        <v>207</v>
      </c>
      <c r="B227" s="37">
        <f t="shared" si="51"/>
        <v>206.5</v>
      </c>
      <c r="C227" s="37" t="str">
        <f t="shared" si="52"/>
        <v/>
      </c>
      <c r="D227" s="37" t="str">
        <f t="shared" si="53"/>
        <v/>
      </c>
      <c r="E227" s="37" t="str">
        <f t="shared" si="54"/>
        <v/>
      </c>
      <c r="F227" s="37" t="str">
        <f t="shared" si="55"/>
        <v/>
      </c>
      <c r="G227" s="37" t="str">
        <f t="shared" si="56"/>
        <v/>
      </c>
      <c r="H227" s="37" t="str">
        <f t="shared" si="57"/>
        <v/>
      </c>
      <c r="I227" s="37" t="str">
        <f t="shared" si="58"/>
        <v/>
      </c>
      <c r="J227" s="37" t="str">
        <f t="shared" si="59"/>
        <v/>
      </c>
      <c r="K227" s="37" t="str">
        <f t="shared" si="60"/>
        <v/>
      </c>
      <c r="L227" s="37" t="str">
        <f t="shared" si="61"/>
        <v/>
      </c>
      <c r="M227" s="37" t="str">
        <f t="shared" si="62"/>
        <v/>
      </c>
      <c r="N227" s="37" t="str">
        <f t="shared" si="63"/>
        <v/>
      </c>
      <c r="O227" s="37" t="str">
        <f t="shared" si="64"/>
        <v/>
      </c>
      <c r="P227" s="37" t="str">
        <f t="shared" si="65"/>
        <v/>
      </c>
      <c r="Q227" s="37" t="str">
        <f t="shared" si="66"/>
        <v/>
      </c>
    </row>
    <row r="228" spans="1:17" ht="15" customHeight="1" x14ac:dyDescent="0.25">
      <c r="A228" s="58">
        <v>208</v>
      </c>
      <c r="B228" s="37">
        <f t="shared" si="51"/>
        <v>207.5</v>
      </c>
      <c r="C228" s="37" t="str">
        <f t="shared" si="52"/>
        <v/>
      </c>
      <c r="D228" s="37" t="str">
        <f t="shared" si="53"/>
        <v/>
      </c>
      <c r="E228" s="37" t="str">
        <f t="shared" si="54"/>
        <v/>
      </c>
      <c r="F228" s="37" t="str">
        <f t="shared" si="55"/>
        <v/>
      </c>
      <c r="G228" s="37" t="str">
        <f t="shared" si="56"/>
        <v/>
      </c>
      <c r="H228" s="37" t="str">
        <f t="shared" si="57"/>
        <v/>
      </c>
      <c r="I228" s="37" t="str">
        <f t="shared" si="58"/>
        <v/>
      </c>
      <c r="J228" s="37" t="str">
        <f t="shared" si="59"/>
        <v/>
      </c>
      <c r="K228" s="37" t="str">
        <f t="shared" si="60"/>
        <v/>
      </c>
      <c r="L228" s="37" t="str">
        <f t="shared" si="61"/>
        <v/>
      </c>
      <c r="M228" s="37" t="str">
        <f t="shared" si="62"/>
        <v/>
      </c>
      <c r="N228" s="37" t="str">
        <f t="shared" si="63"/>
        <v/>
      </c>
      <c r="O228" s="37" t="str">
        <f t="shared" si="64"/>
        <v/>
      </c>
      <c r="P228" s="37" t="str">
        <f t="shared" si="65"/>
        <v/>
      </c>
      <c r="Q228" s="37" t="str">
        <f t="shared" si="66"/>
        <v/>
      </c>
    </row>
    <row r="229" spans="1:17" ht="15" customHeight="1" x14ac:dyDescent="0.25">
      <c r="A229" s="58">
        <v>209</v>
      </c>
      <c r="B229" s="37">
        <f t="shared" si="51"/>
        <v>208.5</v>
      </c>
      <c r="C229" s="37" t="str">
        <f t="shared" si="52"/>
        <v/>
      </c>
      <c r="D229" s="37" t="str">
        <f t="shared" si="53"/>
        <v/>
      </c>
      <c r="E229" s="37" t="str">
        <f t="shared" si="54"/>
        <v/>
      </c>
      <c r="F229" s="37" t="str">
        <f t="shared" si="55"/>
        <v/>
      </c>
      <c r="G229" s="37" t="str">
        <f t="shared" si="56"/>
        <v/>
      </c>
      <c r="H229" s="37" t="str">
        <f t="shared" si="57"/>
        <v/>
      </c>
      <c r="I229" s="37" t="str">
        <f t="shared" si="58"/>
        <v/>
      </c>
      <c r="J229" s="37" t="str">
        <f t="shared" si="59"/>
        <v/>
      </c>
      <c r="K229" s="37" t="str">
        <f t="shared" si="60"/>
        <v/>
      </c>
      <c r="L229" s="37" t="str">
        <f t="shared" si="61"/>
        <v/>
      </c>
      <c r="M229" s="37" t="str">
        <f t="shared" si="62"/>
        <v/>
      </c>
      <c r="N229" s="37" t="str">
        <f t="shared" si="63"/>
        <v/>
      </c>
      <c r="O229" s="37" t="str">
        <f t="shared" si="64"/>
        <v/>
      </c>
      <c r="P229" s="37" t="str">
        <f t="shared" si="65"/>
        <v/>
      </c>
      <c r="Q229" s="37" t="str">
        <f t="shared" si="66"/>
        <v/>
      </c>
    </row>
    <row r="230" spans="1:17" ht="15" customHeight="1" x14ac:dyDescent="0.25">
      <c r="A230" s="58">
        <v>210</v>
      </c>
      <c r="B230" s="37">
        <f t="shared" si="51"/>
        <v>209.5</v>
      </c>
      <c r="C230" s="37" t="str">
        <f t="shared" si="52"/>
        <v/>
      </c>
      <c r="D230" s="37" t="str">
        <f t="shared" si="53"/>
        <v/>
      </c>
      <c r="E230" s="37" t="str">
        <f t="shared" si="54"/>
        <v/>
      </c>
      <c r="F230" s="37" t="str">
        <f t="shared" si="55"/>
        <v/>
      </c>
      <c r="G230" s="37" t="str">
        <f t="shared" si="56"/>
        <v/>
      </c>
      <c r="H230" s="37" t="str">
        <f t="shared" si="57"/>
        <v/>
      </c>
      <c r="I230" s="37" t="str">
        <f t="shared" si="58"/>
        <v/>
      </c>
      <c r="J230" s="37" t="str">
        <f t="shared" si="59"/>
        <v/>
      </c>
      <c r="K230" s="37" t="str">
        <f t="shared" si="60"/>
        <v/>
      </c>
      <c r="L230" s="37" t="str">
        <f t="shared" si="61"/>
        <v/>
      </c>
      <c r="M230" s="37" t="str">
        <f t="shared" si="62"/>
        <v/>
      </c>
      <c r="N230" s="37" t="str">
        <f t="shared" si="63"/>
        <v/>
      </c>
      <c r="O230" s="37" t="str">
        <f t="shared" si="64"/>
        <v/>
      </c>
      <c r="P230" s="37" t="str">
        <f t="shared" si="65"/>
        <v/>
      </c>
      <c r="Q230" s="37" t="str">
        <f t="shared" si="66"/>
        <v/>
      </c>
    </row>
    <row r="231" spans="1:17" ht="15" customHeight="1" x14ac:dyDescent="0.25">
      <c r="A231" s="58">
        <v>211</v>
      </c>
      <c r="B231" s="37">
        <f t="shared" si="51"/>
        <v>210.5</v>
      </c>
      <c r="C231" s="37" t="str">
        <f t="shared" si="52"/>
        <v/>
      </c>
      <c r="D231" s="37" t="str">
        <f t="shared" si="53"/>
        <v/>
      </c>
      <c r="E231" s="37" t="str">
        <f t="shared" si="54"/>
        <v/>
      </c>
      <c r="F231" s="37" t="str">
        <f t="shared" si="55"/>
        <v/>
      </c>
      <c r="G231" s="37" t="str">
        <f t="shared" si="56"/>
        <v/>
      </c>
      <c r="H231" s="37" t="str">
        <f t="shared" si="57"/>
        <v/>
      </c>
      <c r="I231" s="37" t="str">
        <f t="shared" si="58"/>
        <v/>
      </c>
      <c r="J231" s="37" t="str">
        <f t="shared" si="59"/>
        <v/>
      </c>
      <c r="K231" s="37" t="str">
        <f t="shared" si="60"/>
        <v/>
      </c>
      <c r="L231" s="37" t="str">
        <f t="shared" si="61"/>
        <v/>
      </c>
      <c r="M231" s="37" t="str">
        <f t="shared" si="62"/>
        <v/>
      </c>
      <c r="N231" s="37" t="str">
        <f t="shared" si="63"/>
        <v/>
      </c>
      <c r="O231" s="37" t="str">
        <f t="shared" si="64"/>
        <v/>
      </c>
      <c r="P231" s="37" t="str">
        <f t="shared" si="65"/>
        <v/>
      </c>
      <c r="Q231" s="37" t="str">
        <f t="shared" si="66"/>
        <v/>
      </c>
    </row>
    <row r="232" spans="1:17" ht="15" customHeight="1" x14ac:dyDescent="0.25">
      <c r="A232" s="58">
        <v>212</v>
      </c>
      <c r="B232" s="37">
        <f t="shared" si="51"/>
        <v>211.5</v>
      </c>
      <c r="C232" s="37" t="str">
        <f t="shared" si="52"/>
        <v/>
      </c>
      <c r="D232" s="37" t="str">
        <f t="shared" si="53"/>
        <v/>
      </c>
      <c r="E232" s="37" t="str">
        <f t="shared" si="54"/>
        <v/>
      </c>
      <c r="F232" s="37" t="str">
        <f t="shared" si="55"/>
        <v/>
      </c>
      <c r="G232" s="37" t="str">
        <f t="shared" si="56"/>
        <v/>
      </c>
      <c r="H232" s="37" t="str">
        <f t="shared" si="57"/>
        <v/>
      </c>
      <c r="I232" s="37" t="str">
        <f t="shared" si="58"/>
        <v/>
      </c>
      <c r="J232" s="37" t="str">
        <f t="shared" si="59"/>
        <v/>
      </c>
      <c r="K232" s="37" t="str">
        <f t="shared" si="60"/>
        <v/>
      </c>
      <c r="L232" s="37" t="str">
        <f t="shared" si="61"/>
        <v/>
      </c>
      <c r="M232" s="37" t="str">
        <f t="shared" si="62"/>
        <v/>
      </c>
      <c r="N232" s="37" t="str">
        <f t="shared" si="63"/>
        <v/>
      </c>
      <c r="O232" s="37" t="str">
        <f t="shared" si="64"/>
        <v/>
      </c>
      <c r="P232" s="37" t="str">
        <f t="shared" si="65"/>
        <v/>
      </c>
      <c r="Q232" s="37" t="str">
        <f t="shared" si="66"/>
        <v/>
      </c>
    </row>
    <row r="233" spans="1:17" ht="15" customHeight="1" x14ac:dyDescent="0.25">
      <c r="A233" s="58">
        <v>213</v>
      </c>
      <c r="B233" s="37">
        <f t="shared" si="51"/>
        <v>212.5</v>
      </c>
      <c r="C233" s="37" t="str">
        <f t="shared" si="52"/>
        <v/>
      </c>
      <c r="D233" s="37" t="str">
        <f t="shared" si="53"/>
        <v/>
      </c>
      <c r="E233" s="37" t="str">
        <f t="shared" si="54"/>
        <v/>
      </c>
      <c r="F233" s="37" t="str">
        <f t="shared" si="55"/>
        <v/>
      </c>
      <c r="G233" s="37" t="str">
        <f t="shared" si="56"/>
        <v/>
      </c>
      <c r="H233" s="37" t="str">
        <f t="shared" si="57"/>
        <v/>
      </c>
      <c r="I233" s="37" t="str">
        <f t="shared" si="58"/>
        <v/>
      </c>
      <c r="J233" s="37" t="str">
        <f t="shared" si="59"/>
        <v/>
      </c>
      <c r="K233" s="37" t="str">
        <f t="shared" si="60"/>
        <v/>
      </c>
      <c r="L233" s="37" t="str">
        <f t="shared" si="61"/>
        <v/>
      </c>
      <c r="M233" s="37" t="str">
        <f t="shared" si="62"/>
        <v/>
      </c>
      <c r="N233" s="37" t="str">
        <f t="shared" si="63"/>
        <v/>
      </c>
      <c r="O233" s="37" t="str">
        <f t="shared" si="64"/>
        <v/>
      </c>
      <c r="P233" s="37" t="str">
        <f t="shared" si="65"/>
        <v/>
      </c>
      <c r="Q233" s="37" t="str">
        <f t="shared" si="66"/>
        <v/>
      </c>
    </row>
    <row r="234" spans="1:17" ht="15" customHeight="1" x14ac:dyDescent="0.25">
      <c r="A234" s="58">
        <v>214</v>
      </c>
      <c r="B234" s="37">
        <f t="shared" si="51"/>
        <v>213.5</v>
      </c>
      <c r="C234" s="37" t="str">
        <f t="shared" si="52"/>
        <v/>
      </c>
      <c r="D234" s="37" t="str">
        <f t="shared" si="53"/>
        <v/>
      </c>
      <c r="E234" s="37" t="str">
        <f t="shared" si="54"/>
        <v/>
      </c>
      <c r="F234" s="37" t="str">
        <f t="shared" si="55"/>
        <v/>
      </c>
      <c r="G234" s="37" t="str">
        <f t="shared" si="56"/>
        <v/>
      </c>
      <c r="H234" s="37" t="str">
        <f t="shared" si="57"/>
        <v/>
      </c>
      <c r="I234" s="37" t="str">
        <f t="shared" si="58"/>
        <v/>
      </c>
      <c r="J234" s="37" t="str">
        <f t="shared" si="59"/>
        <v/>
      </c>
      <c r="K234" s="37" t="str">
        <f t="shared" si="60"/>
        <v/>
      </c>
      <c r="L234" s="37" t="str">
        <f t="shared" si="61"/>
        <v/>
      </c>
      <c r="M234" s="37" t="str">
        <f t="shared" si="62"/>
        <v/>
      </c>
      <c r="N234" s="37" t="str">
        <f t="shared" si="63"/>
        <v/>
      </c>
      <c r="O234" s="37" t="str">
        <f t="shared" si="64"/>
        <v/>
      </c>
      <c r="P234" s="37" t="str">
        <f t="shared" si="65"/>
        <v/>
      </c>
      <c r="Q234" s="37" t="str">
        <f t="shared" si="66"/>
        <v/>
      </c>
    </row>
    <row r="235" spans="1:17" ht="15" customHeight="1" x14ac:dyDescent="0.25">
      <c r="A235" s="58">
        <v>215</v>
      </c>
      <c r="B235" s="37">
        <f t="shared" si="51"/>
        <v>214.5</v>
      </c>
      <c r="C235" s="37" t="str">
        <f t="shared" si="52"/>
        <v/>
      </c>
      <c r="D235" s="37" t="str">
        <f t="shared" si="53"/>
        <v/>
      </c>
      <c r="E235" s="37" t="str">
        <f t="shared" si="54"/>
        <v/>
      </c>
      <c r="F235" s="37" t="str">
        <f t="shared" si="55"/>
        <v/>
      </c>
      <c r="G235" s="37" t="str">
        <f t="shared" si="56"/>
        <v/>
      </c>
      <c r="H235" s="37" t="str">
        <f t="shared" si="57"/>
        <v/>
      </c>
      <c r="I235" s="37" t="str">
        <f t="shared" si="58"/>
        <v/>
      </c>
      <c r="J235" s="37" t="str">
        <f t="shared" si="59"/>
        <v/>
      </c>
      <c r="K235" s="37" t="str">
        <f t="shared" si="60"/>
        <v/>
      </c>
      <c r="L235" s="37" t="str">
        <f t="shared" si="61"/>
        <v/>
      </c>
      <c r="M235" s="37" t="str">
        <f t="shared" si="62"/>
        <v/>
      </c>
      <c r="N235" s="37" t="str">
        <f t="shared" si="63"/>
        <v/>
      </c>
      <c r="O235" s="37" t="str">
        <f t="shared" si="64"/>
        <v/>
      </c>
      <c r="P235" s="37" t="str">
        <f t="shared" si="65"/>
        <v/>
      </c>
      <c r="Q235" s="37" t="str">
        <f t="shared" si="66"/>
        <v/>
      </c>
    </row>
    <row r="236" spans="1:17" ht="15" customHeight="1" x14ac:dyDescent="0.25">
      <c r="A236" s="58">
        <v>216</v>
      </c>
      <c r="B236" s="37">
        <f t="shared" si="51"/>
        <v>215.5</v>
      </c>
      <c r="C236" s="37" t="str">
        <f t="shared" si="52"/>
        <v/>
      </c>
      <c r="D236" s="37" t="str">
        <f t="shared" si="53"/>
        <v/>
      </c>
      <c r="E236" s="37" t="str">
        <f t="shared" si="54"/>
        <v/>
      </c>
      <c r="F236" s="37" t="str">
        <f t="shared" si="55"/>
        <v/>
      </c>
      <c r="G236" s="37" t="str">
        <f t="shared" si="56"/>
        <v/>
      </c>
      <c r="H236" s="37" t="str">
        <f t="shared" si="57"/>
        <v/>
      </c>
      <c r="I236" s="37" t="str">
        <f t="shared" si="58"/>
        <v/>
      </c>
      <c r="J236" s="37" t="str">
        <f t="shared" si="59"/>
        <v/>
      </c>
      <c r="K236" s="37" t="str">
        <f t="shared" si="60"/>
        <v/>
      </c>
      <c r="L236" s="37" t="str">
        <f t="shared" si="61"/>
        <v/>
      </c>
      <c r="M236" s="37" t="str">
        <f t="shared" si="62"/>
        <v/>
      </c>
      <c r="N236" s="37" t="str">
        <f t="shared" si="63"/>
        <v/>
      </c>
      <c r="O236" s="37" t="str">
        <f t="shared" si="64"/>
        <v/>
      </c>
      <c r="P236" s="37" t="str">
        <f t="shared" si="65"/>
        <v/>
      </c>
      <c r="Q236" s="37" t="str">
        <f t="shared" si="66"/>
        <v/>
      </c>
    </row>
    <row r="237" spans="1:17" ht="15" customHeight="1" x14ac:dyDescent="0.25">
      <c r="A237" s="58">
        <v>217</v>
      </c>
      <c r="B237" s="37">
        <f t="shared" si="51"/>
        <v>216.5</v>
      </c>
      <c r="C237" s="37" t="str">
        <f t="shared" si="52"/>
        <v/>
      </c>
      <c r="D237" s="37" t="str">
        <f t="shared" si="53"/>
        <v/>
      </c>
      <c r="E237" s="37" t="str">
        <f t="shared" si="54"/>
        <v/>
      </c>
      <c r="F237" s="37" t="str">
        <f t="shared" si="55"/>
        <v/>
      </c>
      <c r="G237" s="37" t="str">
        <f t="shared" si="56"/>
        <v/>
      </c>
      <c r="H237" s="37" t="str">
        <f t="shared" si="57"/>
        <v/>
      </c>
      <c r="I237" s="37" t="str">
        <f t="shared" si="58"/>
        <v/>
      </c>
      <c r="J237" s="37" t="str">
        <f t="shared" si="59"/>
        <v/>
      </c>
      <c r="K237" s="37" t="str">
        <f t="shared" si="60"/>
        <v/>
      </c>
      <c r="L237" s="37" t="str">
        <f t="shared" si="61"/>
        <v/>
      </c>
      <c r="M237" s="37" t="str">
        <f t="shared" si="62"/>
        <v/>
      </c>
      <c r="N237" s="37" t="str">
        <f t="shared" si="63"/>
        <v/>
      </c>
      <c r="O237" s="37" t="str">
        <f t="shared" si="64"/>
        <v/>
      </c>
      <c r="P237" s="37" t="str">
        <f t="shared" si="65"/>
        <v/>
      </c>
      <c r="Q237" s="37" t="str">
        <f t="shared" si="66"/>
        <v/>
      </c>
    </row>
    <row r="238" spans="1:17" ht="15" customHeight="1" x14ac:dyDescent="0.25">
      <c r="A238" s="58">
        <v>218</v>
      </c>
      <c r="B238" s="37">
        <f t="shared" si="51"/>
        <v>217.5</v>
      </c>
      <c r="C238" s="37" t="str">
        <f t="shared" si="52"/>
        <v/>
      </c>
      <c r="D238" s="37" t="str">
        <f t="shared" si="53"/>
        <v/>
      </c>
      <c r="E238" s="37" t="str">
        <f t="shared" si="54"/>
        <v/>
      </c>
      <c r="F238" s="37" t="str">
        <f t="shared" si="55"/>
        <v/>
      </c>
      <c r="G238" s="37" t="str">
        <f t="shared" si="56"/>
        <v/>
      </c>
      <c r="H238" s="37" t="str">
        <f t="shared" si="57"/>
        <v/>
      </c>
      <c r="I238" s="37" t="str">
        <f t="shared" si="58"/>
        <v/>
      </c>
      <c r="J238" s="37" t="str">
        <f t="shared" si="59"/>
        <v/>
      </c>
      <c r="K238" s="37" t="str">
        <f t="shared" si="60"/>
        <v/>
      </c>
      <c r="L238" s="37" t="str">
        <f t="shared" si="61"/>
        <v/>
      </c>
      <c r="M238" s="37" t="str">
        <f t="shared" si="62"/>
        <v/>
      </c>
      <c r="N238" s="37" t="str">
        <f t="shared" si="63"/>
        <v/>
      </c>
      <c r="O238" s="37" t="str">
        <f t="shared" si="64"/>
        <v/>
      </c>
      <c r="P238" s="37" t="str">
        <f t="shared" si="65"/>
        <v/>
      </c>
      <c r="Q238" s="37" t="str">
        <f t="shared" si="66"/>
        <v/>
      </c>
    </row>
    <row r="239" spans="1:17" ht="15" customHeight="1" x14ac:dyDescent="0.25">
      <c r="A239" s="58">
        <v>219</v>
      </c>
      <c r="B239" s="37">
        <f t="shared" si="51"/>
        <v>218.5</v>
      </c>
      <c r="C239" s="37" t="str">
        <f t="shared" si="52"/>
        <v/>
      </c>
      <c r="D239" s="37" t="str">
        <f t="shared" si="53"/>
        <v/>
      </c>
      <c r="E239" s="37" t="str">
        <f t="shared" si="54"/>
        <v/>
      </c>
      <c r="F239" s="37" t="str">
        <f t="shared" si="55"/>
        <v/>
      </c>
      <c r="G239" s="37" t="str">
        <f t="shared" si="56"/>
        <v/>
      </c>
      <c r="H239" s="37" t="str">
        <f t="shared" si="57"/>
        <v/>
      </c>
      <c r="I239" s="37" t="str">
        <f t="shared" si="58"/>
        <v/>
      </c>
      <c r="J239" s="37" t="str">
        <f t="shared" si="59"/>
        <v/>
      </c>
      <c r="K239" s="37" t="str">
        <f t="shared" si="60"/>
        <v/>
      </c>
      <c r="L239" s="37" t="str">
        <f t="shared" si="61"/>
        <v/>
      </c>
      <c r="M239" s="37" t="str">
        <f t="shared" si="62"/>
        <v/>
      </c>
      <c r="N239" s="37" t="str">
        <f t="shared" si="63"/>
        <v/>
      </c>
      <c r="O239" s="37" t="str">
        <f t="shared" si="64"/>
        <v/>
      </c>
      <c r="P239" s="37" t="str">
        <f t="shared" si="65"/>
        <v/>
      </c>
      <c r="Q239" s="37" t="str">
        <f t="shared" si="66"/>
        <v/>
      </c>
    </row>
    <row r="240" spans="1:17" ht="15" customHeight="1" x14ac:dyDescent="0.25">
      <c r="A240" s="58">
        <v>220</v>
      </c>
      <c r="B240" s="37">
        <f t="shared" si="51"/>
        <v>219.5</v>
      </c>
      <c r="C240" s="37" t="str">
        <f t="shared" si="52"/>
        <v/>
      </c>
      <c r="D240" s="37" t="str">
        <f t="shared" si="53"/>
        <v/>
      </c>
      <c r="E240" s="37" t="str">
        <f t="shared" si="54"/>
        <v/>
      </c>
      <c r="F240" s="37" t="str">
        <f t="shared" si="55"/>
        <v/>
      </c>
      <c r="G240" s="37" t="str">
        <f t="shared" si="56"/>
        <v/>
      </c>
      <c r="H240" s="37" t="str">
        <f t="shared" si="57"/>
        <v/>
      </c>
      <c r="I240" s="37" t="str">
        <f t="shared" si="58"/>
        <v/>
      </c>
      <c r="J240" s="37" t="str">
        <f t="shared" si="59"/>
        <v/>
      </c>
      <c r="K240" s="37" t="str">
        <f t="shared" si="60"/>
        <v/>
      </c>
      <c r="L240" s="37" t="str">
        <f t="shared" si="61"/>
        <v/>
      </c>
      <c r="M240" s="37" t="str">
        <f t="shared" si="62"/>
        <v/>
      </c>
      <c r="N240" s="37" t="str">
        <f t="shared" si="63"/>
        <v/>
      </c>
      <c r="O240" s="37" t="str">
        <f t="shared" si="64"/>
        <v/>
      </c>
      <c r="P240" s="37" t="str">
        <f t="shared" si="65"/>
        <v/>
      </c>
      <c r="Q240" s="37" t="str">
        <f t="shared" si="66"/>
        <v/>
      </c>
    </row>
    <row r="241" spans="1:17" ht="15" customHeight="1" x14ac:dyDescent="0.25">
      <c r="A241" s="58">
        <v>221</v>
      </c>
      <c r="B241" s="37">
        <f t="shared" si="51"/>
        <v>220.5</v>
      </c>
      <c r="C241" s="37" t="str">
        <f t="shared" si="52"/>
        <v/>
      </c>
      <c r="D241" s="37" t="str">
        <f t="shared" si="53"/>
        <v/>
      </c>
      <c r="E241" s="37" t="str">
        <f t="shared" si="54"/>
        <v/>
      </c>
      <c r="F241" s="37" t="str">
        <f t="shared" si="55"/>
        <v/>
      </c>
      <c r="G241" s="37" t="str">
        <f t="shared" si="56"/>
        <v/>
      </c>
      <c r="H241" s="37" t="str">
        <f t="shared" si="57"/>
        <v/>
      </c>
      <c r="I241" s="37" t="str">
        <f t="shared" si="58"/>
        <v/>
      </c>
      <c r="J241" s="37" t="str">
        <f t="shared" si="59"/>
        <v/>
      </c>
      <c r="K241" s="37" t="str">
        <f t="shared" si="60"/>
        <v/>
      </c>
      <c r="L241" s="37" t="str">
        <f t="shared" si="61"/>
        <v/>
      </c>
      <c r="M241" s="37" t="str">
        <f t="shared" si="62"/>
        <v/>
      </c>
      <c r="N241" s="37" t="str">
        <f t="shared" si="63"/>
        <v/>
      </c>
      <c r="O241" s="37" t="str">
        <f t="shared" si="64"/>
        <v/>
      </c>
      <c r="P241" s="37" t="str">
        <f t="shared" si="65"/>
        <v/>
      </c>
      <c r="Q241" s="37" t="str">
        <f t="shared" si="66"/>
        <v/>
      </c>
    </row>
    <row r="242" spans="1:17" ht="15" customHeight="1" x14ac:dyDescent="0.25">
      <c r="A242" s="58">
        <v>222</v>
      </c>
      <c r="B242" s="37">
        <f t="shared" si="51"/>
        <v>221.5</v>
      </c>
      <c r="C242" s="37" t="str">
        <f t="shared" si="52"/>
        <v/>
      </c>
      <c r="D242" s="37" t="str">
        <f t="shared" si="53"/>
        <v/>
      </c>
      <c r="E242" s="37" t="str">
        <f t="shared" si="54"/>
        <v/>
      </c>
      <c r="F242" s="37" t="str">
        <f t="shared" si="55"/>
        <v/>
      </c>
      <c r="G242" s="37" t="str">
        <f t="shared" si="56"/>
        <v/>
      </c>
      <c r="H242" s="37" t="str">
        <f t="shared" si="57"/>
        <v/>
      </c>
      <c r="I242" s="37" t="str">
        <f t="shared" si="58"/>
        <v/>
      </c>
      <c r="J242" s="37" t="str">
        <f t="shared" si="59"/>
        <v/>
      </c>
      <c r="K242" s="37" t="str">
        <f t="shared" si="60"/>
        <v/>
      </c>
      <c r="L242" s="37" t="str">
        <f t="shared" si="61"/>
        <v/>
      </c>
      <c r="M242" s="37" t="str">
        <f t="shared" si="62"/>
        <v/>
      </c>
      <c r="N242" s="37" t="str">
        <f t="shared" si="63"/>
        <v/>
      </c>
      <c r="O242" s="37" t="str">
        <f t="shared" si="64"/>
        <v/>
      </c>
      <c r="P242" s="37" t="str">
        <f t="shared" si="65"/>
        <v/>
      </c>
      <c r="Q242" s="37" t="str">
        <f t="shared" si="66"/>
        <v/>
      </c>
    </row>
    <row r="243" spans="1:17" ht="15" customHeight="1" x14ac:dyDescent="0.25">
      <c r="A243" s="58">
        <v>223</v>
      </c>
      <c r="B243" s="37">
        <f t="shared" si="51"/>
        <v>222.5</v>
      </c>
      <c r="C243" s="37" t="str">
        <f t="shared" si="52"/>
        <v/>
      </c>
      <c r="D243" s="37" t="str">
        <f t="shared" si="53"/>
        <v/>
      </c>
      <c r="E243" s="37" t="str">
        <f t="shared" si="54"/>
        <v/>
      </c>
      <c r="F243" s="37" t="str">
        <f t="shared" si="55"/>
        <v/>
      </c>
      <c r="G243" s="37" t="str">
        <f t="shared" si="56"/>
        <v/>
      </c>
      <c r="H243" s="37" t="str">
        <f t="shared" si="57"/>
        <v/>
      </c>
      <c r="I243" s="37" t="str">
        <f t="shared" si="58"/>
        <v/>
      </c>
      <c r="J243" s="37" t="str">
        <f t="shared" si="59"/>
        <v/>
      </c>
      <c r="K243" s="37" t="str">
        <f t="shared" si="60"/>
        <v/>
      </c>
      <c r="L243" s="37" t="str">
        <f t="shared" si="61"/>
        <v/>
      </c>
      <c r="M243" s="37" t="str">
        <f t="shared" si="62"/>
        <v/>
      </c>
      <c r="N243" s="37" t="str">
        <f t="shared" si="63"/>
        <v/>
      </c>
      <c r="O243" s="37" t="str">
        <f t="shared" si="64"/>
        <v/>
      </c>
      <c r="P243" s="37" t="str">
        <f t="shared" si="65"/>
        <v/>
      </c>
      <c r="Q243" s="37" t="str">
        <f t="shared" si="66"/>
        <v/>
      </c>
    </row>
    <row r="244" spans="1:17" ht="15" customHeight="1" x14ac:dyDescent="0.25">
      <c r="A244" s="58">
        <v>224</v>
      </c>
      <c r="B244" s="37">
        <f t="shared" si="51"/>
        <v>223.5</v>
      </c>
      <c r="C244" s="37" t="str">
        <f t="shared" si="52"/>
        <v/>
      </c>
      <c r="D244" s="37" t="str">
        <f t="shared" si="53"/>
        <v/>
      </c>
      <c r="E244" s="37" t="str">
        <f t="shared" si="54"/>
        <v/>
      </c>
      <c r="F244" s="37" t="str">
        <f t="shared" si="55"/>
        <v/>
      </c>
      <c r="G244" s="37" t="str">
        <f t="shared" si="56"/>
        <v/>
      </c>
      <c r="H244" s="37" t="str">
        <f t="shared" si="57"/>
        <v/>
      </c>
      <c r="I244" s="37" t="str">
        <f t="shared" si="58"/>
        <v/>
      </c>
      <c r="J244" s="37" t="str">
        <f t="shared" si="59"/>
        <v/>
      </c>
      <c r="K244" s="37" t="str">
        <f t="shared" si="60"/>
        <v/>
      </c>
      <c r="L244" s="37" t="str">
        <f t="shared" si="61"/>
        <v/>
      </c>
      <c r="M244" s="37" t="str">
        <f t="shared" si="62"/>
        <v/>
      </c>
      <c r="N244" s="37" t="str">
        <f t="shared" si="63"/>
        <v/>
      </c>
      <c r="O244" s="37" t="str">
        <f t="shared" si="64"/>
        <v/>
      </c>
      <c r="P244" s="37" t="str">
        <f t="shared" si="65"/>
        <v/>
      </c>
      <c r="Q244" s="37" t="str">
        <f t="shared" si="66"/>
        <v/>
      </c>
    </row>
    <row r="245" spans="1:17" ht="15" customHeight="1" x14ac:dyDescent="0.25">
      <c r="A245" s="58">
        <v>225</v>
      </c>
      <c r="B245" s="37">
        <f t="shared" si="51"/>
        <v>224.5</v>
      </c>
      <c r="C245" s="37" t="str">
        <f t="shared" si="52"/>
        <v/>
      </c>
      <c r="D245" s="37" t="str">
        <f t="shared" si="53"/>
        <v/>
      </c>
      <c r="E245" s="37" t="str">
        <f t="shared" si="54"/>
        <v/>
      </c>
      <c r="F245" s="37" t="str">
        <f t="shared" si="55"/>
        <v/>
      </c>
      <c r="G245" s="37" t="str">
        <f t="shared" si="56"/>
        <v/>
      </c>
      <c r="H245" s="37" t="str">
        <f t="shared" si="57"/>
        <v/>
      </c>
      <c r="I245" s="37" t="str">
        <f t="shared" si="58"/>
        <v/>
      </c>
      <c r="J245" s="37" t="str">
        <f t="shared" si="59"/>
        <v/>
      </c>
      <c r="K245" s="37" t="str">
        <f t="shared" si="60"/>
        <v/>
      </c>
      <c r="L245" s="37" t="str">
        <f t="shared" si="61"/>
        <v/>
      </c>
      <c r="M245" s="37" t="str">
        <f t="shared" si="62"/>
        <v/>
      </c>
      <c r="N245" s="37" t="str">
        <f t="shared" si="63"/>
        <v/>
      </c>
      <c r="O245" s="37" t="str">
        <f t="shared" si="64"/>
        <v/>
      </c>
      <c r="P245" s="37" t="str">
        <f t="shared" si="65"/>
        <v/>
      </c>
      <c r="Q245" s="37" t="str">
        <f t="shared" si="66"/>
        <v/>
      </c>
    </row>
    <row r="246" spans="1:17" ht="15" customHeight="1" x14ac:dyDescent="0.25">
      <c r="A246" s="58">
        <v>226</v>
      </c>
      <c r="B246" s="37">
        <f t="shared" si="51"/>
        <v>225.5</v>
      </c>
      <c r="C246" s="37" t="str">
        <f t="shared" si="52"/>
        <v/>
      </c>
      <c r="D246" s="37" t="str">
        <f t="shared" si="53"/>
        <v/>
      </c>
      <c r="E246" s="37" t="str">
        <f t="shared" si="54"/>
        <v/>
      </c>
      <c r="F246" s="37" t="str">
        <f t="shared" si="55"/>
        <v/>
      </c>
      <c r="G246" s="37" t="str">
        <f t="shared" si="56"/>
        <v/>
      </c>
      <c r="H246" s="37" t="str">
        <f t="shared" si="57"/>
        <v/>
      </c>
      <c r="I246" s="37" t="str">
        <f t="shared" si="58"/>
        <v/>
      </c>
      <c r="J246" s="37" t="str">
        <f t="shared" si="59"/>
        <v/>
      </c>
      <c r="K246" s="37" t="str">
        <f t="shared" si="60"/>
        <v/>
      </c>
      <c r="L246" s="37" t="str">
        <f t="shared" si="61"/>
        <v/>
      </c>
      <c r="M246" s="37" t="str">
        <f t="shared" si="62"/>
        <v/>
      </c>
      <c r="N246" s="37" t="str">
        <f t="shared" si="63"/>
        <v/>
      </c>
      <c r="O246" s="37" t="str">
        <f t="shared" si="64"/>
        <v/>
      </c>
      <c r="P246" s="37" t="str">
        <f t="shared" si="65"/>
        <v/>
      </c>
      <c r="Q246" s="37" t="str">
        <f t="shared" si="66"/>
        <v/>
      </c>
    </row>
    <row r="247" spans="1:17" ht="15" customHeight="1" x14ac:dyDescent="0.25">
      <c r="A247" s="58">
        <v>227</v>
      </c>
      <c r="B247" s="37">
        <f t="shared" si="51"/>
        <v>226.5</v>
      </c>
      <c r="C247" s="37" t="str">
        <f t="shared" si="52"/>
        <v/>
      </c>
      <c r="D247" s="37" t="str">
        <f t="shared" si="53"/>
        <v/>
      </c>
      <c r="E247" s="37" t="str">
        <f t="shared" si="54"/>
        <v/>
      </c>
      <c r="F247" s="37" t="str">
        <f t="shared" si="55"/>
        <v/>
      </c>
      <c r="G247" s="37" t="str">
        <f t="shared" si="56"/>
        <v/>
      </c>
      <c r="H247" s="37" t="str">
        <f t="shared" si="57"/>
        <v/>
      </c>
      <c r="I247" s="37" t="str">
        <f t="shared" si="58"/>
        <v/>
      </c>
      <c r="J247" s="37" t="str">
        <f t="shared" si="59"/>
        <v/>
      </c>
      <c r="K247" s="37" t="str">
        <f t="shared" si="60"/>
        <v/>
      </c>
      <c r="L247" s="37" t="str">
        <f t="shared" si="61"/>
        <v/>
      </c>
      <c r="M247" s="37" t="str">
        <f t="shared" si="62"/>
        <v/>
      </c>
      <c r="N247" s="37" t="str">
        <f t="shared" si="63"/>
        <v/>
      </c>
      <c r="O247" s="37" t="str">
        <f t="shared" si="64"/>
        <v/>
      </c>
      <c r="P247" s="37" t="str">
        <f t="shared" si="65"/>
        <v/>
      </c>
      <c r="Q247" s="37" t="str">
        <f t="shared" si="66"/>
        <v/>
      </c>
    </row>
    <row r="248" spans="1:17" ht="15" customHeight="1" x14ac:dyDescent="0.25">
      <c r="A248" s="58">
        <v>228</v>
      </c>
      <c r="B248" s="37">
        <f t="shared" si="51"/>
        <v>227.5</v>
      </c>
      <c r="C248" s="37" t="str">
        <f t="shared" si="52"/>
        <v/>
      </c>
      <c r="D248" s="37" t="str">
        <f t="shared" si="53"/>
        <v/>
      </c>
      <c r="E248" s="37" t="str">
        <f t="shared" si="54"/>
        <v/>
      </c>
      <c r="F248" s="37" t="str">
        <f t="shared" si="55"/>
        <v/>
      </c>
      <c r="G248" s="37" t="str">
        <f t="shared" si="56"/>
        <v/>
      </c>
      <c r="H248" s="37" t="str">
        <f t="shared" si="57"/>
        <v/>
      </c>
      <c r="I248" s="37" t="str">
        <f t="shared" si="58"/>
        <v/>
      </c>
      <c r="J248" s="37" t="str">
        <f t="shared" si="59"/>
        <v/>
      </c>
      <c r="K248" s="37" t="str">
        <f t="shared" si="60"/>
        <v/>
      </c>
      <c r="L248" s="37" t="str">
        <f t="shared" si="61"/>
        <v/>
      </c>
      <c r="M248" s="37" t="str">
        <f t="shared" si="62"/>
        <v/>
      </c>
      <c r="N248" s="37" t="str">
        <f t="shared" si="63"/>
        <v/>
      </c>
      <c r="O248" s="37" t="str">
        <f t="shared" si="64"/>
        <v/>
      </c>
      <c r="P248" s="37" t="str">
        <f t="shared" si="65"/>
        <v/>
      </c>
      <c r="Q248" s="37" t="str">
        <f t="shared" si="66"/>
        <v/>
      </c>
    </row>
    <row r="249" spans="1:17" ht="15" customHeight="1" x14ac:dyDescent="0.25">
      <c r="A249" s="58">
        <v>229</v>
      </c>
      <c r="B249" s="37">
        <f t="shared" si="51"/>
        <v>228.5</v>
      </c>
      <c r="C249" s="37" t="str">
        <f t="shared" si="52"/>
        <v/>
      </c>
      <c r="D249" s="37" t="str">
        <f t="shared" si="53"/>
        <v/>
      </c>
      <c r="E249" s="37" t="str">
        <f t="shared" si="54"/>
        <v/>
      </c>
      <c r="F249" s="37" t="str">
        <f t="shared" si="55"/>
        <v/>
      </c>
      <c r="G249" s="37" t="str">
        <f t="shared" si="56"/>
        <v/>
      </c>
      <c r="H249" s="37" t="str">
        <f t="shared" si="57"/>
        <v/>
      </c>
      <c r="I249" s="37" t="str">
        <f t="shared" si="58"/>
        <v/>
      </c>
      <c r="J249" s="37" t="str">
        <f t="shared" si="59"/>
        <v/>
      </c>
      <c r="K249" s="37" t="str">
        <f t="shared" si="60"/>
        <v/>
      </c>
      <c r="L249" s="37" t="str">
        <f t="shared" si="61"/>
        <v/>
      </c>
      <c r="M249" s="37" t="str">
        <f t="shared" si="62"/>
        <v/>
      </c>
      <c r="N249" s="37" t="str">
        <f t="shared" si="63"/>
        <v/>
      </c>
      <c r="O249" s="37" t="str">
        <f t="shared" si="64"/>
        <v/>
      </c>
      <c r="P249" s="37" t="str">
        <f t="shared" si="65"/>
        <v/>
      </c>
      <c r="Q249" s="37" t="str">
        <f t="shared" si="66"/>
        <v/>
      </c>
    </row>
    <row r="250" spans="1:17" ht="15" customHeight="1" x14ac:dyDescent="0.25">
      <c r="A250" s="58">
        <v>230</v>
      </c>
      <c r="B250" s="37">
        <f t="shared" si="51"/>
        <v>229.5</v>
      </c>
      <c r="C250" s="37" t="str">
        <f t="shared" si="52"/>
        <v/>
      </c>
      <c r="D250" s="37" t="str">
        <f t="shared" si="53"/>
        <v/>
      </c>
      <c r="E250" s="37" t="str">
        <f t="shared" si="54"/>
        <v/>
      </c>
      <c r="F250" s="37" t="str">
        <f t="shared" si="55"/>
        <v/>
      </c>
      <c r="G250" s="37" t="str">
        <f t="shared" si="56"/>
        <v/>
      </c>
      <c r="H250" s="37" t="str">
        <f t="shared" si="57"/>
        <v/>
      </c>
      <c r="I250" s="37" t="str">
        <f t="shared" si="58"/>
        <v/>
      </c>
      <c r="J250" s="37" t="str">
        <f t="shared" si="59"/>
        <v/>
      </c>
      <c r="K250" s="37" t="str">
        <f t="shared" si="60"/>
        <v/>
      </c>
      <c r="L250" s="37" t="str">
        <f t="shared" si="61"/>
        <v/>
      </c>
      <c r="M250" s="37" t="str">
        <f t="shared" si="62"/>
        <v/>
      </c>
      <c r="N250" s="37" t="str">
        <f t="shared" si="63"/>
        <v/>
      </c>
      <c r="O250" s="37" t="str">
        <f t="shared" si="64"/>
        <v/>
      </c>
      <c r="P250" s="37" t="str">
        <f t="shared" si="65"/>
        <v/>
      </c>
      <c r="Q250" s="37" t="str">
        <f t="shared" si="66"/>
        <v/>
      </c>
    </row>
    <row r="251" spans="1:17" ht="15" customHeight="1" x14ac:dyDescent="0.25">
      <c r="A251" s="58">
        <v>231</v>
      </c>
      <c r="B251" s="37">
        <f t="shared" si="51"/>
        <v>230.5</v>
      </c>
      <c r="C251" s="37" t="str">
        <f t="shared" si="52"/>
        <v/>
      </c>
      <c r="D251" s="37" t="str">
        <f t="shared" si="53"/>
        <v/>
      </c>
      <c r="E251" s="37" t="str">
        <f t="shared" si="54"/>
        <v/>
      </c>
      <c r="F251" s="37" t="str">
        <f t="shared" si="55"/>
        <v/>
      </c>
      <c r="G251" s="37" t="str">
        <f t="shared" si="56"/>
        <v/>
      </c>
      <c r="H251" s="37" t="str">
        <f t="shared" si="57"/>
        <v/>
      </c>
      <c r="I251" s="37" t="str">
        <f t="shared" si="58"/>
        <v/>
      </c>
      <c r="J251" s="37" t="str">
        <f t="shared" si="59"/>
        <v/>
      </c>
      <c r="K251" s="37" t="str">
        <f t="shared" si="60"/>
        <v/>
      </c>
      <c r="L251" s="37" t="str">
        <f t="shared" si="61"/>
        <v/>
      </c>
      <c r="M251" s="37" t="str">
        <f t="shared" si="62"/>
        <v/>
      </c>
      <c r="N251" s="37" t="str">
        <f t="shared" si="63"/>
        <v/>
      </c>
      <c r="O251" s="37" t="str">
        <f t="shared" si="64"/>
        <v/>
      </c>
      <c r="P251" s="37" t="str">
        <f t="shared" si="65"/>
        <v/>
      </c>
      <c r="Q251" s="37" t="str">
        <f t="shared" si="66"/>
        <v/>
      </c>
    </row>
    <row r="252" spans="1:17" ht="15" customHeight="1" x14ac:dyDescent="0.25">
      <c r="A252" s="58">
        <v>232</v>
      </c>
      <c r="B252" s="37">
        <f t="shared" si="51"/>
        <v>231.5</v>
      </c>
      <c r="C252" s="37" t="str">
        <f t="shared" si="52"/>
        <v/>
      </c>
      <c r="D252" s="37" t="str">
        <f t="shared" si="53"/>
        <v/>
      </c>
      <c r="E252" s="37" t="str">
        <f t="shared" si="54"/>
        <v/>
      </c>
      <c r="F252" s="37" t="str">
        <f t="shared" si="55"/>
        <v/>
      </c>
      <c r="G252" s="37" t="str">
        <f t="shared" si="56"/>
        <v/>
      </c>
      <c r="H252" s="37" t="str">
        <f t="shared" si="57"/>
        <v/>
      </c>
      <c r="I252" s="37" t="str">
        <f t="shared" si="58"/>
        <v/>
      </c>
      <c r="J252" s="37" t="str">
        <f t="shared" si="59"/>
        <v/>
      </c>
      <c r="K252" s="37" t="str">
        <f t="shared" si="60"/>
        <v/>
      </c>
      <c r="L252" s="37" t="str">
        <f t="shared" si="61"/>
        <v/>
      </c>
      <c r="M252" s="37" t="str">
        <f t="shared" si="62"/>
        <v/>
      </c>
      <c r="N252" s="37" t="str">
        <f t="shared" si="63"/>
        <v/>
      </c>
      <c r="O252" s="37" t="str">
        <f t="shared" si="64"/>
        <v/>
      </c>
      <c r="P252" s="37" t="str">
        <f t="shared" si="65"/>
        <v/>
      </c>
      <c r="Q252" s="37" t="str">
        <f t="shared" si="66"/>
        <v/>
      </c>
    </row>
    <row r="253" spans="1:17" ht="15" customHeight="1" x14ac:dyDescent="0.25">
      <c r="A253" s="58">
        <v>233</v>
      </c>
      <c r="B253" s="37">
        <f t="shared" si="51"/>
        <v>232.5</v>
      </c>
      <c r="C253" s="37" t="str">
        <f t="shared" si="52"/>
        <v/>
      </c>
      <c r="D253" s="37" t="str">
        <f t="shared" si="53"/>
        <v/>
      </c>
      <c r="E253" s="37" t="str">
        <f t="shared" si="54"/>
        <v/>
      </c>
      <c r="F253" s="37" t="str">
        <f t="shared" si="55"/>
        <v/>
      </c>
      <c r="G253" s="37" t="str">
        <f t="shared" si="56"/>
        <v/>
      </c>
      <c r="H253" s="37" t="str">
        <f t="shared" si="57"/>
        <v/>
      </c>
      <c r="I253" s="37" t="str">
        <f t="shared" si="58"/>
        <v/>
      </c>
      <c r="J253" s="37" t="str">
        <f t="shared" si="59"/>
        <v/>
      </c>
      <c r="K253" s="37" t="str">
        <f t="shared" si="60"/>
        <v/>
      </c>
      <c r="L253" s="37" t="str">
        <f t="shared" si="61"/>
        <v/>
      </c>
      <c r="M253" s="37" t="str">
        <f t="shared" si="62"/>
        <v/>
      </c>
      <c r="N253" s="37" t="str">
        <f t="shared" si="63"/>
        <v/>
      </c>
      <c r="O253" s="37" t="str">
        <f t="shared" si="64"/>
        <v/>
      </c>
      <c r="P253" s="37" t="str">
        <f t="shared" si="65"/>
        <v/>
      </c>
      <c r="Q253" s="37" t="str">
        <f t="shared" si="66"/>
        <v/>
      </c>
    </row>
    <row r="254" spans="1:17" ht="15" customHeight="1" x14ac:dyDescent="0.25">
      <c r="A254" s="58">
        <v>234</v>
      </c>
      <c r="B254" s="37">
        <f t="shared" si="51"/>
        <v>233.5</v>
      </c>
      <c r="C254" s="37" t="str">
        <f t="shared" si="52"/>
        <v/>
      </c>
      <c r="D254" s="37" t="str">
        <f t="shared" si="53"/>
        <v/>
      </c>
      <c r="E254" s="37" t="str">
        <f t="shared" si="54"/>
        <v/>
      </c>
      <c r="F254" s="37" t="str">
        <f t="shared" si="55"/>
        <v/>
      </c>
      <c r="G254" s="37" t="str">
        <f t="shared" si="56"/>
        <v/>
      </c>
      <c r="H254" s="37" t="str">
        <f t="shared" si="57"/>
        <v/>
      </c>
      <c r="I254" s="37" t="str">
        <f t="shared" si="58"/>
        <v/>
      </c>
      <c r="J254" s="37" t="str">
        <f t="shared" si="59"/>
        <v/>
      </c>
      <c r="K254" s="37" t="str">
        <f t="shared" si="60"/>
        <v/>
      </c>
      <c r="L254" s="37" t="str">
        <f t="shared" si="61"/>
        <v/>
      </c>
      <c r="M254" s="37" t="str">
        <f t="shared" si="62"/>
        <v/>
      </c>
      <c r="N254" s="37" t="str">
        <f t="shared" si="63"/>
        <v/>
      </c>
      <c r="O254" s="37" t="str">
        <f t="shared" si="64"/>
        <v/>
      </c>
      <c r="P254" s="37" t="str">
        <f t="shared" si="65"/>
        <v/>
      </c>
      <c r="Q254" s="37" t="str">
        <f t="shared" si="66"/>
        <v/>
      </c>
    </row>
    <row r="255" spans="1:17" ht="15" customHeight="1" x14ac:dyDescent="0.25">
      <c r="A255" s="58">
        <v>235</v>
      </c>
      <c r="B255" s="37">
        <f t="shared" si="51"/>
        <v>234.5</v>
      </c>
      <c r="C255" s="37" t="str">
        <f t="shared" si="52"/>
        <v/>
      </c>
      <c r="D255" s="37" t="str">
        <f t="shared" si="53"/>
        <v/>
      </c>
      <c r="E255" s="37" t="str">
        <f t="shared" si="54"/>
        <v/>
      </c>
      <c r="F255" s="37" t="str">
        <f t="shared" si="55"/>
        <v/>
      </c>
      <c r="G255" s="37" t="str">
        <f t="shared" si="56"/>
        <v/>
      </c>
      <c r="H255" s="37" t="str">
        <f t="shared" si="57"/>
        <v/>
      </c>
      <c r="I255" s="37" t="str">
        <f t="shared" si="58"/>
        <v/>
      </c>
      <c r="J255" s="37" t="str">
        <f t="shared" si="59"/>
        <v/>
      </c>
      <c r="K255" s="37" t="str">
        <f t="shared" si="60"/>
        <v/>
      </c>
      <c r="L255" s="37" t="str">
        <f t="shared" si="61"/>
        <v/>
      </c>
      <c r="M255" s="37" t="str">
        <f t="shared" si="62"/>
        <v/>
      </c>
      <c r="N255" s="37" t="str">
        <f t="shared" si="63"/>
        <v/>
      </c>
      <c r="O255" s="37" t="str">
        <f t="shared" si="64"/>
        <v/>
      </c>
      <c r="P255" s="37" t="str">
        <f t="shared" si="65"/>
        <v/>
      </c>
      <c r="Q255" s="37" t="str">
        <f t="shared" si="66"/>
        <v/>
      </c>
    </row>
    <row r="256" spans="1:17" ht="15" customHeight="1" x14ac:dyDescent="0.25">
      <c r="A256" s="58">
        <v>236</v>
      </c>
      <c r="B256" s="37">
        <f t="shared" si="51"/>
        <v>235.5</v>
      </c>
      <c r="C256" s="37" t="str">
        <f t="shared" si="52"/>
        <v/>
      </c>
      <c r="D256" s="37" t="str">
        <f t="shared" si="53"/>
        <v/>
      </c>
      <c r="E256" s="37" t="str">
        <f t="shared" si="54"/>
        <v/>
      </c>
      <c r="F256" s="37" t="str">
        <f t="shared" si="55"/>
        <v/>
      </c>
      <c r="G256" s="37" t="str">
        <f t="shared" si="56"/>
        <v/>
      </c>
      <c r="H256" s="37" t="str">
        <f t="shared" si="57"/>
        <v/>
      </c>
      <c r="I256" s="37" t="str">
        <f t="shared" si="58"/>
        <v/>
      </c>
      <c r="J256" s="37" t="str">
        <f t="shared" si="59"/>
        <v/>
      </c>
      <c r="K256" s="37" t="str">
        <f t="shared" si="60"/>
        <v/>
      </c>
      <c r="L256" s="37" t="str">
        <f t="shared" si="61"/>
        <v/>
      </c>
      <c r="M256" s="37" t="str">
        <f t="shared" si="62"/>
        <v/>
      </c>
      <c r="N256" s="37" t="str">
        <f t="shared" si="63"/>
        <v/>
      </c>
      <c r="O256" s="37" t="str">
        <f t="shared" si="64"/>
        <v/>
      </c>
      <c r="P256" s="37" t="str">
        <f t="shared" si="65"/>
        <v/>
      </c>
      <c r="Q256" s="37" t="str">
        <f t="shared" si="66"/>
        <v/>
      </c>
    </row>
    <row r="257" spans="1:17" ht="15" customHeight="1" x14ac:dyDescent="0.25">
      <c r="A257" s="58">
        <v>237</v>
      </c>
      <c r="B257" s="37">
        <f t="shared" si="51"/>
        <v>236.5</v>
      </c>
      <c r="C257" s="37" t="str">
        <f t="shared" si="52"/>
        <v/>
      </c>
      <c r="D257" s="37" t="str">
        <f t="shared" si="53"/>
        <v/>
      </c>
      <c r="E257" s="37" t="str">
        <f t="shared" si="54"/>
        <v/>
      </c>
      <c r="F257" s="37" t="str">
        <f t="shared" si="55"/>
        <v/>
      </c>
      <c r="G257" s="37" t="str">
        <f t="shared" si="56"/>
        <v/>
      </c>
      <c r="H257" s="37" t="str">
        <f t="shared" si="57"/>
        <v/>
      </c>
      <c r="I257" s="37" t="str">
        <f t="shared" si="58"/>
        <v/>
      </c>
      <c r="J257" s="37" t="str">
        <f t="shared" si="59"/>
        <v/>
      </c>
      <c r="K257" s="37" t="str">
        <f t="shared" si="60"/>
        <v/>
      </c>
      <c r="L257" s="37" t="str">
        <f t="shared" si="61"/>
        <v/>
      </c>
      <c r="M257" s="37" t="str">
        <f t="shared" si="62"/>
        <v/>
      </c>
      <c r="N257" s="37" t="str">
        <f t="shared" si="63"/>
        <v/>
      </c>
      <c r="O257" s="37" t="str">
        <f t="shared" si="64"/>
        <v/>
      </c>
      <c r="P257" s="37" t="str">
        <f t="shared" si="65"/>
        <v/>
      </c>
      <c r="Q257" s="37" t="str">
        <f t="shared" si="66"/>
        <v/>
      </c>
    </row>
    <row r="258" spans="1:17" ht="15" customHeight="1" x14ac:dyDescent="0.25">
      <c r="A258" s="58">
        <v>238</v>
      </c>
      <c r="B258" s="37">
        <f t="shared" si="51"/>
        <v>237.5</v>
      </c>
      <c r="C258" s="37" t="str">
        <f t="shared" si="52"/>
        <v/>
      </c>
      <c r="D258" s="37" t="str">
        <f t="shared" si="53"/>
        <v/>
      </c>
      <c r="E258" s="37" t="str">
        <f t="shared" si="54"/>
        <v/>
      </c>
      <c r="F258" s="37" t="str">
        <f t="shared" si="55"/>
        <v/>
      </c>
      <c r="G258" s="37" t="str">
        <f t="shared" si="56"/>
        <v/>
      </c>
      <c r="H258" s="37" t="str">
        <f t="shared" si="57"/>
        <v/>
      </c>
      <c r="I258" s="37" t="str">
        <f t="shared" si="58"/>
        <v/>
      </c>
      <c r="J258" s="37" t="str">
        <f t="shared" si="59"/>
        <v/>
      </c>
      <c r="K258" s="37" t="str">
        <f t="shared" si="60"/>
        <v/>
      </c>
      <c r="L258" s="37" t="str">
        <f t="shared" si="61"/>
        <v/>
      </c>
      <c r="M258" s="37" t="str">
        <f t="shared" si="62"/>
        <v/>
      </c>
      <c r="N258" s="37" t="str">
        <f t="shared" si="63"/>
        <v/>
      </c>
      <c r="O258" s="37" t="str">
        <f t="shared" si="64"/>
        <v/>
      </c>
      <c r="P258" s="37" t="str">
        <f t="shared" si="65"/>
        <v/>
      </c>
      <c r="Q258" s="37" t="str">
        <f t="shared" si="66"/>
        <v/>
      </c>
    </row>
    <row r="259" spans="1:17" ht="15" customHeight="1" x14ac:dyDescent="0.25">
      <c r="A259" s="58">
        <v>239</v>
      </c>
      <c r="B259" s="37">
        <f t="shared" si="51"/>
        <v>238.5</v>
      </c>
      <c r="C259" s="37" t="str">
        <f t="shared" si="52"/>
        <v/>
      </c>
      <c r="D259" s="37" t="str">
        <f t="shared" si="53"/>
        <v/>
      </c>
      <c r="E259" s="37" t="str">
        <f t="shared" si="54"/>
        <v/>
      </c>
      <c r="F259" s="37" t="str">
        <f t="shared" si="55"/>
        <v/>
      </c>
      <c r="G259" s="37" t="str">
        <f t="shared" si="56"/>
        <v/>
      </c>
      <c r="H259" s="37" t="str">
        <f t="shared" si="57"/>
        <v/>
      </c>
      <c r="I259" s="37" t="str">
        <f t="shared" si="58"/>
        <v/>
      </c>
      <c r="J259" s="37" t="str">
        <f t="shared" si="59"/>
        <v/>
      </c>
      <c r="K259" s="37" t="str">
        <f t="shared" si="60"/>
        <v/>
      </c>
      <c r="L259" s="37" t="str">
        <f t="shared" si="61"/>
        <v/>
      </c>
      <c r="M259" s="37" t="str">
        <f t="shared" si="62"/>
        <v/>
      </c>
      <c r="N259" s="37" t="str">
        <f t="shared" si="63"/>
        <v/>
      </c>
      <c r="O259" s="37" t="str">
        <f t="shared" si="64"/>
        <v/>
      </c>
      <c r="P259" s="37" t="str">
        <f t="shared" si="65"/>
        <v/>
      </c>
      <c r="Q259" s="37" t="str">
        <f t="shared" si="66"/>
        <v/>
      </c>
    </row>
    <row r="260" spans="1:17" ht="15" customHeight="1" x14ac:dyDescent="0.25">
      <c r="A260" s="58">
        <v>240</v>
      </c>
      <c r="B260" s="37">
        <f t="shared" si="51"/>
        <v>239.5</v>
      </c>
      <c r="C260" s="37" t="str">
        <f t="shared" si="52"/>
        <v/>
      </c>
      <c r="D260" s="37" t="str">
        <f t="shared" si="53"/>
        <v/>
      </c>
      <c r="E260" s="37" t="str">
        <f t="shared" si="54"/>
        <v/>
      </c>
      <c r="F260" s="37" t="str">
        <f t="shared" si="55"/>
        <v/>
      </c>
      <c r="G260" s="37" t="str">
        <f t="shared" si="56"/>
        <v/>
      </c>
      <c r="H260" s="37" t="str">
        <f t="shared" si="57"/>
        <v/>
      </c>
      <c r="I260" s="37" t="str">
        <f t="shared" si="58"/>
        <v/>
      </c>
      <c r="J260" s="37" t="str">
        <f t="shared" si="59"/>
        <v/>
      </c>
      <c r="K260" s="37" t="str">
        <f t="shared" si="60"/>
        <v/>
      </c>
      <c r="L260" s="37" t="str">
        <f t="shared" si="61"/>
        <v/>
      </c>
      <c r="M260" s="37" t="str">
        <f t="shared" si="62"/>
        <v/>
      </c>
      <c r="N260" s="37" t="str">
        <f t="shared" si="63"/>
        <v/>
      </c>
      <c r="O260" s="37" t="str">
        <f t="shared" si="64"/>
        <v/>
      </c>
      <c r="P260" s="37" t="str">
        <f t="shared" si="65"/>
        <v/>
      </c>
      <c r="Q260" s="37" t="str">
        <f t="shared" si="66"/>
        <v/>
      </c>
    </row>
    <row r="261" spans="1:17" ht="15" customHeight="1" x14ac:dyDescent="0.25">
      <c r="A261" s="58">
        <v>241</v>
      </c>
      <c r="B261" s="37">
        <f t="shared" si="51"/>
        <v>240.5</v>
      </c>
      <c r="C261" s="37" t="str">
        <f t="shared" si="52"/>
        <v/>
      </c>
      <c r="D261" s="37" t="str">
        <f t="shared" si="53"/>
        <v/>
      </c>
      <c r="E261" s="37" t="str">
        <f t="shared" si="54"/>
        <v/>
      </c>
      <c r="F261" s="37" t="str">
        <f t="shared" si="55"/>
        <v/>
      </c>
      <c r="G261" s="37" t="str">
        <f t="shared" si="56"/>
        <v/>
      </c>
      <c r="H261" s="37" t="str">
        <f t="shared" si="57"/>
        <v/>
      </c>
      <c r="I261" s="37" t="str">
        <f t="shared" si="58"/>
        <v/>
      </c>
      <c r="J261" s="37" t="str">
        <f t="shared" si="59"/>
        <v/>
      </c>
      <c r="K261" s="37" t="str">
        <f t="shared" si="60"/>
        <v/>
      </c>
      <c r="L261" s="37" t="str">
        <f t="shared" si="61"/>
        <v/>
      </c>
      <c r="M261" s="37" t="str">
        <f t="shared" si="62"/>
        <v/>
      </c>
      <c r="N261" s="37" t="str">
        <f t="shared" si="63"/>
        <v/>
      </c>
      <c r="O261" s="37" t="str">
        <f t="shared" si="64"/>
        <v/>
      </c>
      <c r="P261" s="37" t="str">
        <f t="shared" si="65"/>
        <v/>
      </c>
      <c r="Q261" s="37" t="str">
        <f t="shared" si="66"/>
        <v/>
      </c>
    </row>
    <row r="262" spans="1:17" ht="15" customHeight="1" x14ac:dyDescent="0.25">
      <c r="A262" s="58">
        <v>242</v>
      </c>
      <c r="B262" s="37">
        <f t="shared" si="51"/>
        <v>241.5</v>
      </c>
      <c r="C262" s="37" t="str">
        <f t="shared" si="52"/>
        <v/>
      </c>
      <c r="D262" s="37" t="str">
        <f t="shared" si="53"/>
        <v/>
      </c>
      <c r="E262" s="37" t="str">
        <f t="shared" si="54"/>
        <v/>
      </c>
      <c r="F262" s="37" t="str">
        <f t="shared" si="55"/>
        <v/>
      </c>
      <c r="G262" s="37" t="str">
        <f t="shared" si="56"/>
        <v/>
      </c>
      <c r="H262" s="37" t="str">
        <f t="shared" si="57"/>
        <v/>
      </c>
      <c r="I262" s="37" t="str">
        <f t="shared" si="58"/>
        <v/>
      </c>
      <c r="J262" s="37" t="str">
        <f t="shared" si="59"/>
        <v/>
      </c>
      <c r="K262" s="37" t="str">
        <f t="shared" si="60"/>
        <v/>
      </c>
      <c r="L262" s="37" t="str">
        <f t="shared" si="61"/>
        <v/>
      </c>
      <c r="M262" s="37" t="str">
        <f t="shared" si="62"/>
        <v/>
      </c>
      <c r="N262" s="37" t="str">
        <f t="shared" si="63"/>
        <v/>
      </c>
      <c r="O262" s="37" t="str">
        <f t="shared" si="64"/>
        <v/>
      </c>
      <c r="P262" s="37" t="str">
        <f t="shared" si="65"/>
        <v/>
      </c>
      <c r="Q262" s="37" t="str">
        <f t="shared" si="66"/>
        <v/>
      </c>
    </row>
    <row r="263" spans="1:17" ht="15" customHeight="1" x14ac:dyDescent="0.25">
      <c r="A263" s="58">
        <v>243</v>
      </c>
      <c r="B263" s="37">
        <f t="shared" si="51"/>
        <v>242.5</v>
      </c>
      <c r="C263" s="37" t="str">
        <f t="shared" si="52"/>
        <v/>
      </c>
      <c r="D263" s="37" t="str">
        <f t="shared" si="53"/>
        <v/>
      </c>
      <c r="E263" s="37" t="str">
        <f t="shared" si="54"/>
        <v/>
      </c>
      <c r="F263" s="37" t="str">
        <f t="shared" si="55"/>
        <v/>
      </c>
      <c r="G263" s="37" t="str">
        <f t="shared" si="56"/>
        <v/>
      </c>
      <c r="H263" s="37" t="str">
        <f t="shared" si="57"/>
        <v/>
      </c>
      <c r="I263" s="37" t="str">
        <f t="shared" si="58"/>
        <v/>
      </c>
      <c r="J263" s="37" t="str">
        <f t="shared" si="59"/>
        <v/>
      </c>
      <c r="K263" s="37" t="str">
        <f t="shared" si="60"/>
        <v/>
      </c>
      <c r="L263" s="37" t="str">
        <f t="shared" si="61"/>
        <v/>
      </c>
      <c r="M263" s="37" t="str">
        <f t="shared" si="62"/>
        <v/>
      </c>
      <c r="N263" s="37" t="str">
        <f t="shared" si="63"/>
        <v/>
      </c>
      <c r="O263" s="37" t="str">
        <f t="shared" si="64"/>
        <v/>
      </c>
      <c r="P263" s="37" t="str">
        <f t="shared" si="65"/>
        <v/>
      </c>
      <c r="Q263" s="37" t="str">
        <f t="shared" si="66"/>
        <v/>
      </c>
    </row>
    <row r="264" spans="1:17" ht="15" customHeight="1" x14ac:dyDescent="0.25">
      <c r="A264" s="58">
        <v>244</v>
      </c>
      <c r="B264" s="37">
        <f t="shared" si="51"/>
        <v>243.5</v>
      </c>
      <c r="C264" s="37" t="str">
        <f t="shared" si="52"/>
        <v/>
      </c>
      <c r="D264" s="37" t="str">
        <f t="shared" si="53"/>
        <v/>
      </c>
      <c r="E264" s="37" t="str">
        <f t="shared" si="54"/>
        <v/>
      </c>
      <c r="F264" s="37" t="str">
        <f t="shared" si="55"/>
        <v/>
      </c>
      <c r="G264" s="37" t="str">
        <f t="shared" si="56"/>
        <v/>
      </c>
      <c r="H264" s="37" t="str">
        <f t="shared" si="57"/>
        <v/>
      </c>
      <c r="I264" s="37" t="str">
        <f t="shared" si="58"/>
        <v/>
      </c>
      <c r="J264" s="37" t="str">
        <f t="shared" si="59"/>
        <v/>
      </c>
      <c r="K264" s="37" t="str">
        <f t="shared" si="60"/>
        <v/>
      </c>
      <c r="L264" s="37" t="str">
        <f t="shared" si="61"/>
        <v/>
      </c>
      <c r="M264" s="37" t="str">
        <f t="shared" si="62"/>
        <v/>
      </c>
      <c r="N264" s="37" t="str">
        <f t="shared" si="63"/>
        <v/>
      </c>
      <c r="O264" s="37" t="str">
        <f t="shared" si="64"/>
        <v/>
      </c>
      <c r="P264" s="37" t="str">
        <f t="shared" si="65"/>
        <v/>
      </c>
      <c r="Q264" s="37" t="str">
        <f t="shared" si="66"/>
        <v/>
      </c>
    </row>
    <row r="265" spans="1:17" ht="15" customHeight="1" x14ac:dyDescent="0.25">
      <c r="A265" s="58">
        <v>245</v>
      </c>
      <c r="B265" s="37">
        <f t="shared" si="51"/>
        <v>244.5</v>
      </c>
      <c r="C265" s="37" t="str">
        <f t="shared" si="52"/>
        <v/>
      </c>
      <c r="D265" s="37" t="str">
        <f t="shared" si="53"/>
        <v/>
      </c>
      <c r="E265" s="37" t="str">
        <f t="shared" si="54"/>
        <v/>
      </c>
      <c r="F265" s="37" t="str">
        <f t="shared" si="55"/>
        <v/>
      </c>
      <c r="G265" s="37" t="str">
        <f t="shared" si="56"/>
        <v/>
      </c>
      <c r="H265" s="37" t="str">
        <f t="shared" si="57"/>
        <v/>
      </c>
      <c r="I265" s="37" t="str">
        <f t="shared" si="58"/>
        <v/>
      </c>
      <c r="J265" s="37" t="str">
        <f t="shared" si="59"/>
        <v/>
      </c>
      <c r="K265" s="37" t="str">
        <f t="shared" si="60"/>
        <v/>
      </c>
      <c r="L265" s="37" t="str">
        <f t="shared" si="61"/>
        <v/>
      </c>
      <c r="M265" s="37" t="str">
        <f t="shared" si="62"/>
        <v/>
      </c>
      <c r="N265" s="37" t="str">
        <f t="shared" si="63"/>
        <v/>
      </c>
      <c r="O265" s="37" t="str">
        <f t="shared" si="64"/>
        <v/>
      </c>
      <c r="P265" s="37" t="str">
        <f t="shared" si="65"/>
        <v/>
      </c>
      <c r="Q265" s="37" t="str">
        <f t="shared" si="66"/>
        <v/>
      </c>
    </row>
    <row r="266" spans="1:17" ht="15" customHeight="1" x14ac:dyDescent="0.25">
      <c r="A266" s="58">
        <v>246</v>
      </c>
      <c r="B266" s="37">
        <f t="shared" si="51"/>
        <v>245.5</v>
      </c>
      <c r="C266" s="37" t="str">
        <f t="shared" si="52"/>
        <v/>
      </c>
      <c r="D266" s="37" t="str">
        <f t="shared" si="53"/>
        <v/>
      </c>
      <c r="E266" s="37" t="str">
        <f t="shared" si="54"/>
        <v/>
      </c>
      <c r="F266" s="37" t="str">
        <f t="shared" si="55"/>
        <v/>
      </c>
      <c r="G266" s="37" t="str">
        <f t="shared" si="56"/>
        <v/>
      </c>
      <c r="H266" s="37" t="str">
        <f t="shared" si="57"/>
        <v/>
      </c>
      <c r="I266" s="37" t="str">
        <f t="shared" si="58"/>
        <v/>
      </c>
      <c r="J266" s="37" t="str">
        <f t="shared" si="59"/>
        <v/>
      </c>
      <c r="K266" s="37" t="str">
        <f t="shared" si="60"/>
        <v/>
      </c>
      <c r="L266" s="37" t="str">
        <f t="shared" si="61"/>
        <v/>
      </c>
      <c r="M266" s="37" t="str">
        <f t="shared" si="62"/>
        <v/>
      </c>
      <c r="N266" s="37" t="str">
        <f t="shared" si="63"/>
        <v/>
      </c>
      <c r="O266" s="37" t="str">
        <f t="shared" si="64"/>
        <v/>
      </c>
      <c r="P266" s="37" t="str">
        <f t="shared" si="65"/>
        <v/>
      </c>
      <c r="Q266" s="37" t="str">
        <f t="shared" si="66"/>
        <v/>
      </c>
    </row>
    <row r="267" spans="1:17" ht="15" customHeight="1" x14ac:dyDescent="0.25">
      <c r="A267" s="58">
        <v>247</v>
      </c>
      <c r="B267" s="37">
        <f t="shared" si="51"/>
        <v>246.5</v>
      </c>
      <c r="C267" s="37" t="str">
        <f t="shared" si="52"/>
        <v/>
      </c>
      <c r="D267" s="37" t="str">
        <f t="shared" si="53"/>
        <v/>
      </c>
      <c r="E267" s="37" t="str">
        <f t="shared" si="54"/>
        <v/>
      </c>
      <c r="F267" s="37" t="str">
        <f t="shared" si="55"/>
        <v/>
      </c>
      <c r="G267" s="37" t="str">
        <f t="shared" si="56"/>
        <v/>
      </c>
      <c r="H267" s="37" t="str">
        <f t="shared" si="57"/>
        <v/>
      </c>
      <c r="I267" s="37" t="str">
        <f t="shared" si="58"/>
        <v/>
      </c>
      <c r="J267" s="37" t="str">
        <f t="shared" si="59"/>
        <v/>
      </c>
      <c r="K267" s="37" t="str">
        <f t="shared" si="60"/>
        <v/>
      </c>
      <c r="L267" s="37" t="str">
        <f t="shared" si="61"/>
        <v/>
      </c>
      <c r="M267" s="37" t="str">
        <f t="shared" si="62"/>
        <v/>
      </c>
      <c r="N267" s="37" t="str">
        <f t="shared" si="63"/>
        <v/>
      </c>
      <c r="O267" s="37" t="str">
        <f t="shared" si="64"/>
        <v/>
      </c>
      <c r="P267" s="37" t="str">
        <f t="shared" si="65"/>
        <v/>
      </c>
      <c r="Q267" s="37" t="str">
        <f t="shared" si="66"/>
        <v/>
      </c>
    </row>
    <row r="268" spans="1:17" ht="15" customHeight="1" x14ac:dyDescent="0.25">
      <c r="A268" s="58">
        <v>248</v>
      </c>
      <c r="B268" s="37">
        <f t="shared" si="51"/>
        <v>247.5</v>
      </c>
      <c r="C268" s="37" t="str">
        <f t="shared" si="52"/>
        <v/>
      </c>
      <c r="D268" s="37" t="str">
        <f t="shared" si="53"/>
        <v/>
      </c>
      <c r="E268" s="37" t="str">
        <f t="shared" si="54"/>
        <v/>
      </c>
      <c r="F268" s="37" t="str">
        <f t="shared" si="55"/>
        <v/>
      </c>
      <c r="G268" s="37" t="str">
        <f t="shared" si="56"/>
        <v/>
      </c>
      <c r="H268" s="37" t="str">
        <f t="shared" si="57"/>
        <v/>
      </c>
      <c r="I268" s="37" t="str">
        <f t="shared" si="58"/>
        <v/>
      </c>
      <c r="J268" s="37" t="str">
        <f t="shared" si="59"/>
        <v/>
      </c>
      <c r="K268" s="37" t="str">
        <f t="shared" si="60"/>
        <v/>
      </c>
      <c r="L268" s="37" t="str">
        <f t="shared" si="61"/>
        <v/>
      </c>
      <c r="M268" s="37" t="str">
        <f t="shared" si="62"/>
        <v/>
      </c>
      <c r="N268" s="37" t="str">
        <f t="shared" si="63"/>
        <v/>
      </c>
      <c r="O268" s="37" t="str">
        <f t="shared" si="64"/>
        <v/>
      </c>
      <c r="P268" s="37" t="str">
        <f t="shared" si="65"/>
        <v/>
      </c>
      <c r="Q268" s="37" t="str">
        <f t="shared" si="66"/>
        <v/>
      </c>
    </row>
    <row r="269" spans="1:17" ht="15" customHeight="1" x14ac:dyDescent="0.25">
      <c r="A269" s="58">
        <v>249</v>
      </c>
      <c r="B269" s="37">
        <f t="shared" si="51"/>
        <v>248.5</v>
      </c>
      <c r="C269" s="37" t="str">
        <f t="shared" si="52"/>
        <v/>
      </c>
      <c r="D269" s="37" t="str">
        <f t="shared" si="53"/>
        <v/>
      </c>
      <c r="E269" s="37" t="str">
        <f t="shared" si="54"/>
        <v/>
      </c>
      <c r="F269" s="37" t="str">
        <f t="shared" si="55"/>
        <v/>
      </c>
      <c r="G269" s="37" t="str">
        <f t="shared" si="56"/>
        <v/>
      </c>
      <c r="H269" s="37" t="str">
        <f t="shared" si="57"/>
        <v/>
      </c>
      <c r="I269" s="37" t="str">
        <f t="shared" si="58"/>
        <v/>
      </c>
      <c r="J269" s="37" t="str">
        <f t="shared" si="59"/>
        <v/>
      </c>
      <c r="K269" s="37" t="str">
        <f t="shared" si="60"/>
        <v/>
      </c>
      <c r="L269" s="37" t="str">
        <f t="shared" si="61"/>
        <v/>
      </c>
      <c r="M269" s="37" t="str">
        <f t="shared" si="62"/>
        <v/>
      </c>
      <c r="N269" s="37" t="str">
        <f t="shared" si="63"/>
        <v/>
      </c>
      <c r="O269" s="37" t="str">
        <f t="shared" si="64"/>
        <v/>
      </c>
      <c r="P269" s="37" t="str">
        <f t="shared" si="65"/>
        <v/>
      </c>
      <c r="Q269" s="37" t="str">
        <f t="shared" si="66"/>
        <v/>
      </c>
    </row>
    <row r="270" spans="1:17" ht="15" customHeight="1" x14ac:dyDescent="0.25">
      <c r="A270" s="58">
        <v>250</v>
      </c>
      <c r="B270" s="37">
        <f t="shared" si="51"/>
        <v>249.5</v>
      </c>
      <c r="C270" s="37" t="str">
        <f t="shared" si="52"/>
        <v/>
      </c>
      <c r="D270" s="37" t="str">
        <f t="shared" si="53"/>
        <v/>
      </c>
      <c r="E270" s="37" t="str">
        <f t="shared" si="54"/>
        <v/>
      </c>
      <c r="F270" s="37" t="str">
        <f t="shared" si="55"/>
        <v/>
      </c>
      <c r="G270" s="37" t="str">
        <f t="shared" si="56"/>
        <v/>
      </c>
      <c r="H270" s="37" t="str">
        <f t="shared" si="57"/>
        <v/>
      </c>
      <c r="I270" s="37" t="str">
        <f t="shared" si="58"/>
        <v/>
      </c>
      <c r="J270" s="37" t="str">
        <f t="shared" si="59"/>
        <v/>
      </c>
      <c r="K270" s="37" t="str">
        <f t="shared" si="60"/>
        <v/>
      </c>
      <c r="L270" s="37" t="str">
        <f t="shared" si="61"/>
        <v/>
      </c>
      <c r="M270" s="37" t="str">
        <f t="shared" si="62"/>
        <v/>
      </c>
      <c r="N270" s="37" t="str">
        <f t="shared" si="63"/>
        <v/>
      </c>
      <c r="O270" s="37" t="str">
        <f t="shared" si="64"/>
        <v/>
      </c>
      <c r="P270" s="37" t="str">
        <f t="shared" si="65"/>
        <v/>
      </c>
      <c r="Q270" s="37" t="str">
        <f t="shared" si="66"/>
        <v/>
      </c>
    </row>
    <row r="271" spans="1:17" ht="15" customHeight="1" x14ac:dyDescent="0.25">
      <c r="A271" s="58">
        <v>251</v>
      </c>
      <c r="B271" s="37">
        <f t="shared" si="51"/>
        <v>250.5</v>
      </c>
      <c r="C271" s="37" t="str">
        <f t="shared" si="52"/>
        <v/>
      </c>
      <c r="D271" s="37" t="str">
        <f t="shared" si="53"/>
        <v/>
      </c>
      <c r="E271" s="37" t="str">
        <f t="shared" si="54"/>
        <v/>
      </c>
      <c r="F271" s="37" t="str">
        <f t="shared" si="55"/>
        <v/>
      </c>
      <c r="G271" s="37" t="str">
        <f t="shared" si="56"/>
        <v/>
      </c>
      <c r="H271" s="37" t="str">
        <f t="shared" si="57"/>
        <v/>
      </c>
      <c r="I271" s="37" t="str">
        <f t="shared" si="58"/>
        <v/>
      </c>
      <c r="J271" s="37" t="str">
        <f t="shared" si="59"/>
        <v/>
      </c>
      <c r="K271" s="37" t="str">
        <f t="shared" si="60"/>
        <v/>
      </c>
      <c r="L271" s="37" t="str">
        <f t="shared" si="61"/>
        <v/>
      </c>
      <c r="M271" s="37" t="str">
        <f t="shared" si="62"/>
        <v/>
      </c>
      <c r="N271" s="37" t="str">
        <f t="shared" si="63"/>
        <v/>
      </c>
      <c r="O271" s="37" t="str">
        <f t="shared" si="64"/>
        <v/>
      </c>
      <c r="P271" s="37" t="str">
        <f t="shared" si="65"/>
        <v/>
      </c>
      <c r="Q271" s="37" t="str">
        <f t="shared" si="66"/>
        <v/>
      </c>
    </row>
    <row r="272" spans="1:17" ht="15" customHeight="1" x14ac:dyDescent="0.25">
      <c r="A272" s="58">
        <v>252</v>
      </c>
      <c r="B272" s="37">
        <f t="shared" si="51"/>
        <v>251.5</v>
      </c>
      <c r="C272" s="37" t="str">
        <f t="shared" si="52"/>
        <v/>
      </c>
      <c r="D272" s="37" t="str">
        <f t="shared" si="53"/>
        <v/>
      </c>
      <c r="E272" s="37" t="str">
        <f t="shared" si="54"/>
        <v/>
      </c>
      <c r="F272" s="37" t="str">
        <f t="shared" si="55"/>
        <v/>
      </c>
      <c r="G272" s="37" t="str">
        <f t="shared" si="56"/>
        <v/>
      </c>
      <c r="H272" s="37" t="str">
        <f t="shared" si="57"/>
        <v/>
      </c>
      <c r="I272" s="37" t="str">
        <f t="shared" si="58"/>
        <v/>
      </c>
      <c r="J272" s="37" t="str">
        <f t="shared" si="59"/>
        <v/>
      </c>
      <c r="K272" s="37" t="str">
        <f t="shared" si="60"/>
        <v/>
      </c>
      <c r="L272" s="37" t="str">
        <f t="shared" si="61"/>
        <v/>
      </c>
      <c r="M272" s="37" t="str">
        <f t="shared" si="62"/>
        <v/>
      </c>
      <c r="N272" s="37" t="str">
        <f t="shared" si="63"/>
        <v/>
      </c>
      <c r="O272" s="37" t="str">
        <f t="shared" si="64"/>
        <v/>
      </c>
      <c r="P272" s="37" t="str">
        <f t="shared" si="65"/>
        <v/>
      </c>
      <c r="Q272" s="37" t="str">
        <f t="shared" si="66"/>
        <v/>
      </c>
    </row>
    <row r="273" spans="1:17" ht="15" customHeight="1" x14ac:dyDescent="0.25">
      <c r="A273" s="58">
        <v>253</v>
      </c>
      <c r="B273" s="37">
        <f t="shared" si="51"/>
        <v>252.5</v>
      </c>
      <c r="C273" s="37" t="str">
        <f t="shared" si="52"/>
        <v/>
      </c>
      <c r="D273" s="37" t="str">
        <f t="shared" si="53"/>
        <v/>
      </c>
      <c r="E273" s="37" t="str">
        <f t="shared" si="54"/>
        <v/>
      </c>
      <c r="F273" s="37" t="str">
        <f t="shared" si="55"/>
        <v/>
      </c>
      <c r="G273" s="37" t="str">
        <f t="shared" si="56"/>
        <v/>
      </c>
      <c r="H273" s="37" t="str">
        <f t="shared" si="57"/>
        <v/>
      </c>
      <c r="I273" s="37" t="str">
        <f t="shared" si="58"/>
        <v/>
      </c>
      <c r="J273" s="37" t="str">
        <f t="shared" si="59"/>
        <v/>
      </c>
      <c r="K273" s="37" t="str">
        <f t="shared" si="60"/>
        <v/>
      </c>
      <c r="L273" s="37" t="str">
        <f t="shared" si="61"/>
        <v/>
      </c>
      <c r="M273" s="37" t="str">
        <f t="shared" si="62"/>
        <v/>
      </c>
      <c r="N273" s="37" t="str">
        <f t="shared" si="63"/>
        <v/>
      </c>
      <c r="O273" s="37" t="str">
        <f t="shared" si="64"/>
        <v/>
      </c>
      <c r="P273" s="37" t="str">
        <f t="shared" si="65"/>
        <v/>
      </c>
      <c r="Q273" s="37" t="str">
        <f t="shared" si="66"/>
        <v/>
      </c>
    </row>
    <row r="274" spans="1:17" ht="15" customHeight="1" x14ac:dyDescent="0.25">
      <c r="A274" s="58">
        <v>254</v>
      </c>
      <c r="B274" s="37">
        <f t="shared" si="51"/>
        <v>253.5</v>
      </c>
      <c r="C274" s="37" t="str">
        <f t="shared" si="52"/>
        <v/>
      </c>
      <c r="D274" s="37" t="str">
        <f t="shared" si="53"/>
        <v/>
      </c>
      <c r="E274" s="37" t="str">
        <f t="shared" si="54"/>
        <v/>
      </c>
      <c r="F274" s="37" t="str">
        <f t="shared" si="55"/>
        <v/>
      </c>
      <c r="G274" s="37" t="str">
        <f t="shared" si="56"/>
        <v/>
      </c>
      <c r="H274" s="37" t="str">
        <f t="shared" si="57"/>
        <v/>
      </c>
      <c r="I274" s="37" t="str">
        <f t="shared" si="58"/>
        <v/>
      </c>
      <c r="J274" s="37" t="str">
        <f t="shared" si="59"/>
        <v/>
      </c>
      <c r="K274" s="37" t="str">
        <f t="shared" si="60"/>
        <v/>
      </c>
      <c r="L274" s="37" t="str">
        <f t="shared" si="61"/>
        <v/>
      </c>
      <c r="M274" s="37" t="str">
        <f t="shared" si="62"/>
        <v/>
      </c>
      <c r="N274" s="37" t="str">
        <f t="shared" si="63"/>
        <v/>
      </c>
      <c r="O274" s="37" t="str">
        <f t="shared" si="64"/>
        <v/>
      </c>
      <c r="P274" s="37" t="str">
        <f t="shared" si="65"/>
        <v/>
      </c>
      <c r="Q274" s="37" t="str">
        <f t="shared" si="66"/>
        <v/>
      </c>
    </row>
    <row r="275" spans="1:17" ht="15" customHeight="1" x14ac:dyDescent="0.25">
      <c r="A275" s="58">
        <v>255</v>
      </c>
      <c r="B275" s="37">
        <f t="shared" si="51"/>
        <v>254.5</v>
      </c>
      <c r="C275" s="37" t="str">
        <f t="shared" si="52"/>
        <v/>
      </c>
      <c r="D275" s="37" t="str">
        <f t="shared" si="53"/>
        <v/>
      </c>
      <c r="E275" s="37" t="str">
        <f t="shared" si="54"/>
        <v/>
      </c>
      <c r="F275" s="37" t="str">
        <f t="shared" si="55"/>
        <v/>
      </c>
      <c r="G275" s="37" t="str">
        <f t="shared" si="56"/>
        <v/>
      </c>
      <c r="H275" s="37" t="str">
        <f t="shared" si="57"/>
        <v/>
      </c>
      <c r="I275" s="37" t="str">
        <f t="shared" si="58"/>
        <v/>
      </c>
      <c r="J275" s="37" t="str">
        <f t="shared" si="59"/>
        <v/>
      </c>
      <c r="K275" s="37" t="str">
        <f t="shared" si="60"/>
        <v/>
      </c>
      <c r="L275" s="37" t="str">
        <f t="shared" si="61"/>
        <v/>
      </c>
      <c r="M275" s="37" t="str">
        <f t="shared" si="62"/>
        <v/>
      </c>
      <c r="N275" s="37" t="str">
        <f t="shared" si="63"/>
        <v/>
      </c>
      <c r="O275" s="37" t="str">
        <f t="shared" si="64"/>
        <v/>
      </c>
      <c r="P275" s="37" t="str">
        <f t="shared" si="65"/>
        <v/>
      </c>
      <c r="Q275" s="37" t="str">
        <f t="shared" si="66"/>
        <v/>
      </c>
    </row>
    <row r="276" spans="1:17" ht="15" customHeight="1" x14ac:dyDescent="0.25">
      <c r="A276" s="58">
        <v>256</v>
      </c>
      <c r="B276" s="37">
        <f t="shared" si="51"/>
        <v>255.5</v>
      </c>
      <c r="C276" s="37" t="str">
        <f t="shared" si="52"/>
        <v/>
      </c>
      <c r="D276" s="37" t="str">
        <f t="shared" si="53"/>
        <v/>
      </c>
      <c r="E276" s="37" t="str">
        <f t="shared" si="54"/>
        <v/>
      </c>
      <c r="F276" s="37" t="str">
        <f t="shared" si="55"/>
        <v/>
      </c>
      <c r="G276" s="37" t="str">
        <f t="shared" si="56"/>
        <v/>
      </c>
      <c r="H276" s="37" t="str">
        <f t="shared" si="57"/>
        <v/>
      </c>
      <c r="I276" s="37" t="str">
        <f t="shared" si="58"/>
        <v/>
      </c>
      <c r="J276" s="37" t="str">
        <f t="shared" si="59"/>
        <v/>
      </c>
      <c r="K276" s="37" t="str">
        <f t="shared" si="60"/>
        <v/>
      </c>
      <c r="L276" s="37" t="str">
        <f t="shared" si="61"/>
        <v/>
      </c>
      <c r="M276" s="37" t="str">
        <f t="shared" si="62"/>
        <v/>
      </c>
      <c r="N276" s="37" t="str">
        <f t="shared" si="63"/>
        <v/>
      </c>
      <c r="O276" s="37" t="str">
        <f t="shared" si="64"/>
        <v/>
      </c>
      <c r="P276" s="37" t="str">
        <f t="shared" si="65"/>
        <v/>
      </c>
      <c r="Q276" s="37" t="str">
        <f t="shared" si="66"/>
        <v/>
      </c>
    </row>
    <row r="277" spans="1:17" ht="15" customHeight="1" x14ac:dyDescent="0.25">
      <c r="A277" s="58">
        <v>257</v>
      </c>
      <c r="B277" s="37">
        <f t="shared" ref="B277:B340" si="67">(A277-0.5)*u_w</f>
        <v>256.5</v>
      </c>
      <c r="C277" s="37" t="str">
        <f t="shared" ref="C277:C340" si="68">IF(OR(A277&gt;NL_b,$B$12=""),"",IF((ABS(B277-$B$12)+lane_off)&lt;=0,0,IF((ABS(B277-$B$12)+lane_off)&gt;=v_sh^2/a_sh,(ABS(B277-$B$12)+lane_off)/v_sh+v_sh/a_sh,2*SQRT((ABS(B277-$B$12)+lane_off)/a_sh))))</f>
        <v/>
      </c>
      <c r="D277" s="37" t="str">
        <f t="shared" ref="D277:D320" si="69">IF(OR(A277&gt;NL_b,$B$13=""),"",IF((ABS(B277-$B$13)+lane_off)&lt;=0,0,IF((ABS(B277-$B$13)+lane_off)&gt;=v_sh^2/a_sh,(ABS(B277-$B$13)+lane_off)/v_sh+v_sh/a_sh,2*SQRT((ABS(B277-$B$13)+lane_off)/a_sh))))</f>
        <v/>
      </c>
      <c r="E277" s="37" t="str">
        <f t="shared" ref="E277:E320" si="70">IF(OR(A277&gt;NL_b,$B$14=""),"",IF((ABS(B277-$B$14)+lane_off)&lt;=0,0,IF((ABS(B277-$B$14)+lane_off)&gt;=v_sh^2/a_sh,(ABS(B277-$B$14)+lane_off)/v_sh+v_sh/a_sh,2*SQRT((ABS(B277-$B$14)+lane_off)/a_sh))))</f>
        <v/>
      </c>
      <c r="F277" s="37" t="str">
        <f t="shared" ref="F277:F320" si="71">IF(OR(A277&gt;NL_b,$B$15=""),"",IF((ABS(B277-$B$15)+lane_off)&lt;=0,0,IF((ABS(B277-$B$15)+lane_off)&gt;=v_sh^2/a_sh,(ABS(B277-$B$15)+lane_off)/v_sh+v_sh/a_sh,2*SQRT((ABS(B277-$B$15)+lane_off)/a_sh))))</f>
        <v/>
      </c>
      <c r="G277" s="37" t="str">
        <f t="shared" ref="G277:G320" si="72">IF(OR(A277&gt;NL_b,$B$16=""),"",IF((ABS(B277-$B$16)+lane_off)&lt;=0,0,IF((ABS(B277-$B$16)+lane_off)&gt;=v_sh^2/a_sh,(ABS(B277-$B$16)+lane_off)/v_sh+v_sh/a_sh,2*SQRT((ABS(B277-$B$16)+lane_off)/a_sh))))</f>
        <v/>
      </c>
      <c r="H277" s="37" t="str">
        <f t="shared" ref="H277:H320" si="73">IF(OR(A277&gt;NL_b,$B$17=""),"",IF((ABS(B277-$B$17)+lane_off)&lt;=0,0,IF((ABS(B277-$B$17)+lane_off)&gt;=v_sh^2/a_sh,(ABS(B277-$B$17)+lane_off)/v_sh+v_sh/a_sh,2*SQRT((ABS(B277-$B$17)+lane_off)/a_sh))))</f>
        <v/>
      </c>
      <c r="I277" s="37" t="str">
        <f t="shared" ref="I277:I320" si="74">IF(C277="","",2*C277+w_conv*$D$12/v_conv)</f>
        <v/>
      </c>
      <c r="J277" s="37" t="str">
        <f t="shared" ref="J277:J320" si="75">IF(D277="","",2*D277+w_conv*$D$13/v_conv)</f>
        <v/>
      </c>
      <c r="K277" s="37" t="str">
        <f t="shared" ref="K277:K320" si="76">IF(E277="","",2*E277+w_conv*$D$14/v_conv)</f>
        <v/>
      </c>
      <c r="L277" s="37" t="str">
        <f t="shared" ref="L277:L320" si="77">IF(F277="","",2*F277+w_conv*$D$15/v_conv)</f>
        <v/>
      </c>
      <c r="M277" s="37" t="str">
        <f t="shared" ref="M277:M320" si="78">IF(G277="","",2*G277+w_conv*$D$16/v_conv)</f>
        <v/>
      </c>
      <c r="N277" s="37" t="str">
        <f t="shared" ref="N277:N320" si="79">IF(H277="","",2*H277+w_conv*$D$17/v_conv)</f>
        <v/>
      </c>
      <c r="O277" s="37" t="str">
        <f t="shared" ref="O277:O340" si="80">IF(A277&gt;NL_b,"",MIN(I277:N277))</f>
        <v/>
      </c>
      <c r="P277" s="37" t="str">
        <f t="shared" ref="P277:P340" si="81">IF(O277="","",INDEX(C277:H277,MATCH(O277,I277:N277,0)))</f>
        <v/>
      </c>
      <c r="Q277" s="37" t="str">
        <f t="shared" ref="Q277:Q320" si="82">IF(O277="","",INDEX($D$12:$D$17,MATCH(O277,I277:N277,0)))</f>
        <v/>
      </c>
    </row>
    <row r="278" spans="1:17" ht="15" customHeight="1" x14ac:dyDescent="0.25">
      <c r="A278" s="58">
        <v>258</v>
      </c>
      <c r="B278" s="37">
        <f t="shared" si="67"/>
        <v>257.5</v>
      </c>
      <c r="C278" s="37" t="str">
        <f t="shared" si="68"/>
        <v/>
      </c>
      <c r="D278" s="37" t="str">
        <f t="shared" si="69"/>
        <v/>
      </c>
      <c r="E278" s="37" t="str">
        <f t="shared" si="70"/>
        <v/>
      </c>
      <c r="F278" s="37" t="str">
        <f t="shared" si="71"/>
        <v/>
      </c>
      <c r="G278" s="37" t="str">
        <f t="shared" si="72"/>
        <v/>
      </c>
      <c r="H278" s="37" t="str">
        <f t="shared" si="73"/>
        <v/>
      </c>
      <c r="I278" s="37" t="str">
        <f t="shared" si="74"/>
        <v/>
      </c>
      <c r="J278" s="37" t="str">
        <f t="shared" si="75"/>
        <v/>
      </c>
      <c r="K278" s="37" t="str">
        <f t="shared" si="76"/>
        <v/>
      </c>
      <c r="L278" s="37" t="str">
        <f t="shared" si="77"/>
        <v/>
      </c>
      <c r="M278" s="37" t="str">
        <f t="shared" si="78"/>
        <v/>
      </c>
      <c r="N278" s="37" t="str">
        <f t="shared" si="79"/>
        <v/>
      </c>
      <c r="O278" s="37" t="str">
        <f t="shared" si="80"/>
        <v/>
      </c>
      <c r="P278" s="37" t="str">
        <f t="shared" si="81"/>
        <v/>
      </c>
      <c r="Q278" s="37" t="str">
        <f t="shared" si="82"/>
        <v/>
      </c>
    </row>
    <row r="279" spans="1:17" ht="15" customHeight="1" x14ac:dyDescent="0.25">
      <c r="A279" s="58">
        <v>259</v>
      </c>
      <c r="B279" s="37">
        <f t="shared" si="67"/>
        <v>258.5</v>
      </c>
      <c r="C279" s="37" t="str">
        <f t="shared" si="68"/>
        <v/>
      </c>
      <c r="D279" s="37" t="str">
        <f t="shared" si="69"/>
        <v/>
      </c>
      <c r="E279" s="37" t="str">
        <f t="shared" si="70"/>
        <v/>
      </c>
      <c r="F279" s="37" t="str">
        <f t="shared" si="71"/>
        <v/>
      </c>
      <c r="G279" s="37" t="str">
        <f t="shared" si="72"/>
        <v/>
      </c>
      <c r="H279" s="37" t="str">
        <f t="shared" si="73"/>
        <v/>
      </c>
      <c r="I279" s="37" t="str">
        <f t="shared" si="74"/>
        <v/>
      </c>
      <c r="J279" s="37" t="str">
        <f t="shared" si="75"/>
        <v/>
      </c>
      <c r="K279" s="37" t="str">
        <f t="shared" si="76"/>
        <v/>
      </c>
      <c r="L279" s="37" t="str">
        <f t="shared" si="77"/>
        <v/>
      </c>
      <c r="M279" s="37" t="str">
        <f t="shared" si="78"/>
        <v/>
      </c>
      <c r="N279" s="37" t="str">
        <f t="shared" si="79"/>
        <v/>
      </c>
      <c r="O279" s="37" t="str">
        <f t="shared" si="80"/>
        <v/>
      </c>
      <c r="P279" s="37" t="str">
        <f t="shared" si="81"/>
        <v/>
      </c>
      <c r="Q279" s="37" t="str">
        <f t="shared" si="82"/>
        <v/>
      </c>
    </row>
    <row r="280" spans="1:17" ht="15" customHeight="1" x14ac:dyDescent="0.25">
      <c r="A280" s="58">
        <v>260</v>
      </c>
      <c r="B280" s="37">
        <f t="shared" si="67"/>
        <v>259.5</v>
      </c>
      <c r="C280" s="37" t="str">
        <f t="shared" si="68"/>
        <v/>
      </c>
      <c r="D280" s="37" t="str">
        <f t="shared" si="69"/>
        <v/>
      </c>
      <c r="E280" s="37" t="str">
        <f t="shared" si="70"/>
        <v/>
      </c>
      <c r="F280" s="37" t="str">
        <f t="shared" si="71"/>
        <v/>
      </c>
      <c r="G280" s="37" t="str">
        <f t="shared" si="72"/>
        <v/>
      </c>
      <c r="H280" s="37" t="str">
        <f t="shared" si="73"/>
        <v/>
      </c>
      <c r="I280" s="37" t="str">
        <f t="shared" si="74"/>
        <v/>
      </c>
      <c r="J280" s="37" t="str">
        <f t="shared" si="75"/>
        <v/>
      </c>
      <c r="K280" s="37" t="str">
        <f t="shared" si="76"/>
        <v/>
      </c>
      <c r="L280" s="37" t="str">
        <f t="shared" si="77"/>
        <v/>
      </c>
      <c r="M280" s="37" t="str">
        <f t="shared" si="78"/>
        <v/>
      </c>
      <c r="N280" s="37" t="str">
        <f t="shared" si="79"/>
        <v/>
      </c>
      <c r="O280" s="37" t="str">
        <f t="shared" si="80"/>
        <v/>
      </c>
      <c r="P280" s="37" t="str">
        <f t="shared" si="81"/>
        <v/>
      </c>
      <c r="Q280" s="37" t="str">
        <f t="shared" si="82"/>
        <v/>
      </c>
    </row>
    <row r="281" spans="1:17" ht="15" customHeight="1" x14ac:dyDescent="0.25">
      <c r="A281" s="58">
        <v>261</v>
      </c>
      <c r="B281" s="37">
        <f t="shared" si="67"/>
        <v>260.5</v>
      </c>
      <c r="C281" s="37" t="str">
        <f t="shared" si="68"/>
        <v/>
      </c>
      <c r="D281" s="37" t="str">
        <f t="shared" si="69"/>
        <v/>
      </c>
      <c r="E281" s="37" t="str">
        <f t="shared" si="70"/>
        <v/>
      </c>
      <c r="F281" s="37" t="str">
        <f t="shared" si="71"/>
        <v/>
      </c>
      <c r="G281" s="37" t="str">
        <f t="shared" si="72"/>
        <v/>
      </c>
      <c r="H281" s="37" t="str">
        <f t="shared" si="73"/>
        <v/>
      </c>
      <c r="I281" s="37" t="str">
        <f t="shared" si="74"/>
        <v/>
      </c>
      <c r="J281" s="37" t="str">
        <f t="shared" si="75"/>
        <v/>
      </c>
      <c r="K281" s="37" t="str">
        <f t="shared" si="76"/>
        <v/>
      </c>
      <c r="L281" s="37" t="str">
        <f t="shared" si="77"/>
        <v/>
      </c>
      <c r="M281" s="37" t="str">
        <f t="shared" si="78"/>
        <v/>
      </c>
      <c r="N281" s="37" t="str">
        <f t="shared" si="79"/>
        <v/>
      </c>
      <c r="O281" s="37" t="str">
        <f t="shared" si="80"/>
        <v/>
      </c>
      <c r="P281" s="37" t="str">
        <f t="shared" si="81"/>
        <v/>
      </c>
      <c r="Q281" s="37" t="str">
        <f t="shared" si="82"/>
        <v/>
      </c>
    </row>
    <row r="282" spans="1:17" ht="15" customHeight="1" x14ac:dyDescent="0.25">
      <c r="A282" s="58">
        <v>262</v>
      </c>
      <c r="B282" s="37">
        <f t="shared" si="67"/>
        <v>261.5</v>
      </c>
      <c r="C282" s="37" t="str">
        <f t="shared" si="68"/>
        <v/>
      </c>
      <c r="D282" s="37" t="str">
        <f t="shared" si="69"/>
        <v/>
      </c>
      <c r="E282" s="37" t="str">
        <f t="shared" si="70"/>
        <v/>
      </c>
      <c r="F282" s="37" t="str">
        <f t="shared" si="71"/>
        <v/>
      </c>
      <c r="G282" s="37" t="str">
        <f t="shared" si="72"/>
        <v/>
      </c>
      <c r="H282" s="37" t="str">
        <f t="shared" si="73"/>
        <v/>
      </c>
      <c r="I282" s="37" t="str">
        <f t="shared" si="74"/>
        <v/>
      </c>
      <c r="J282" s="37" t="str">
        <f t="shared" si="75"/>
        <v/>
      </c>
      <c r="K282" s="37" t="str">
        <f t="shared" si="76"/>
        <v/>
      </c>
      <c r="L282" s="37" t="str">
        <f t="shared" si="77"/>
        <v/>
      </c>
      <c r="M282" s="37" t="str">
        <f t="shared" si="78"/>
        <v/>
      </c>
      <c r="N282" s="37" t="str">
        <f t="shared" si="79"/>
        <v/>
      </c>
      <c r="O282" s="37" t="str">
        <f t="shared" si="80"/>
        <v/>
      </c>
      <c r="P282" s="37" t="str">
        <f t="shared" si="81"/>
        <v/>
      </c>
      <c r="Q282" s="37" t="str">
        <f t="shared" si="82"/>
        <v/>
      </c>
    </row>
    <row r="283" spans="1:17" ht="15" customHeight="1" x14ac:dyDescent="0.25">
      <c r="A283" s="58">
        <v>263</v>
      </c>
      <c r="B283" s="37">
        <f t="shared" si="67"/>
        <v>262.5</v>
      </c>
      <c r="C283" s="37" t="str">
        <f t="shared" si="68"/>
        <v/>
      </c>
      <c r="D283" s="37" t="str">
        <f t="shared" si="69"/>
        <v/>
      </c>
      <c r="E283" s="37" t="str">
        <f t="shared" si="70"/>
        <v/>
      </c>
      <c r="F283" s="37" t="str">
        <f t="shared" si="71"/>
        <v/>
      </c>
      <c r="G283" s="37" t="str">
        <f t="shared" si="72"/>
        <v/>
      </c>
      <c r="H283" s="37" t="str">
        <f t="shared" si="73"/>
        <v/>
      </c>
      <c r="I283" s="37" t="str">
        <f t="shared" si="74"/>
        <v/>
      </c>
      <c r="J283" s="37" t="str">
        <f t="shared" si="75"/>
        <v/>
      </c>
      <c r="K283" s="37" t="str">
        <f t="shared" si="76"/>
        <v/>
      </c>
      <c r="L283" s="37" t="str">
        <f t="shared" si="77"/>
        <v/>
      </c>
      <c r="M283" s="37" t="str">
        <f t="shared" si="78"/>
        <v/>
      </c>
      <c r="N283" s="37" t="str">
        <f t="shared" si="79"/>
        <v/>
      </c>
      <c r="O283" s="37" t="str">
        <f t="shared" si="80"/>
        <v/>
      </c>
      <c r="P283" s="37" t="str">
        <f t="shared" si="81"/>
        <v/>
      </c>
      <c r="Q283" s="37" t="str">
        <f t="shared" si="82"/>
        <v/>
      </c>
    </row>
    <row r="284" spans="1:17" ht="15" customHeight="1" x14ac:dyDescent="0.25">
      <c r="A284" s="58">
        <v>264</v>
      </c>
      <c r="B284" s="37">
        <f t="shared" si="67"/>
        <v>263.5</v>
      </c>
      <c r="C284" s="37" t="str">
        <f t="shared" si="68"/>
        <v/>
      </c>
      <c r="D284" s="37" t="str">
        <f t="shared" si="69"/>
        <v/>
      </c>
      <c r="E284" s="37" t="str">
        <f t="shared" si="70"/>
        <v/>
      </c>
      <c r="F284" s="37" t="str">
        <f t="shared" si="71"/>
        <v/>
      </c>
      <c r="G284" s="37" t="str">
        <f t="shared" si="72"/>
        <v/>
      </c>
      <c r="H284" s="37" t="str">
        <f t="shared" si="73"/>
        <v/>
      </c>
      <c r="I284" s="37" t="str">
        <f t="shared" si="74"/>
        <v/>
      </c>
      <c r="J284" s="37" t="str">
        <f t="shared" si="75"/>
        <v/>
      </c>
      <c r="K284" s="37" t="str">
        <f t="shared" si="76"/>
        <v/>
      </c>
      <c r="L284" s="37" t="str">
        <f t="shared" si="77"/>
        <v/>
      </c>
      <c r="M284" s="37" t="str">
        <f t="shared" si="78"/>
        <v/>
      </c>
      <c r="N284" s="37" t="str">
        <f t="shared" si="79"/>
        <v/>
      </c>
      <c r="O284" s="37" t="str">
        <f t="shared" si="80"/>
        <v/>
      </c>
      <c r="P284" s="37" t="str">
        <f t="shared" si="81"/>
        <v/>
      </c>
      <c r="Q284" s="37" t="str">
        <f t="shared" si="82"/>
        <v/>
      </c>
    </row>
    <row r="285" spans="1:17" ht="15" customHeight="1" x14ac:dyDescent="0.25">
      <c r="A285" s="58">
        <v>265</v>
      </c>
      <c r="B285" s="37">
        <f t="shared" si="67"/>
        <v>264.5</v>
      </c>
      <c r="C285" s="37" t="str">
        <f t="shared" si="68"/>
        <v/>
      </c>
      <c r="D285" s="37" t="str">
        <f t="shared" si="69"/>
        <v/>
      </c>
      <c r="E285" s="37" t="str">
        <f t="shared" si="70"/>
        <v/>
      </c>
      <c r="F285" s="37" t="str">
        <f t="shared" si="71"/>
        <v/>
      </c>
      <c r="G285" s="37" t="str">
        <f t="shared" si="72"/>
        <v/>
      </c>
      <c r="H285" s="37" t="str">
        <f t="shared" si="73"/>
        <v/>
      </c>
      <c r="I285" s="37" t="str">
        <f t="shared" si="74"/>
        <v/>
      </c>
      <c r="J285" s="37" t="str">
        <f t="shared" si="75"/>
        <v/>
      </c>
      <c r="K285" s="37" t="str">
        <f t="shared" si="76"/>
        <v/>
      </c>
      <c r="L285" s="37" t="str">
        <f t="shared" si="77"/>
        <v/>
      </c>
      <c r="M285" s="37" t="str">
        <f t="shared" si="78"/>
        <v/>
      </c>
      <c r="N285" s="37" t="str">
        <f t="shared" si="79"/>
        <v/>
      </c>
      <c r="O285" s="37" t="str">
        <f t="shared" si="80"/>
        <v/>
      </c>
      <c r="P285" s="37" t="str">
        <f t="shared" si="81"/>
        <v/>
      </c>
      <c r="Q285" s="37" t="str">
        <f t="shared" si="82"/>
        <v/>
      </c>
    </row>
    <row r="286" spans="1:17" ht="15" customHeight="1" x14ac:dyDescent="0.25">
      <c r="A286" s="58">
        <v>266</v>
      </c>
      <c r="B286" s="37">
        <f t="shared" si="67"/>
        <v>265.5</v>
      </c>
      <c r="C286" s="37" t="str">
        <f t="shared" si="68"/>
        <v/>
      </c>
      <c r="D286" s="37" t="str">
        <f t="shared" si="69"/>
        <v/>
      </c>
      <c r="E286" s="37" t="str">
        <f t="shared" si="70"/>
        <v/>
      </c>
      <c r="F286" s="37" t="str">
        <f t="shared" si="71"/>
        <v/>
      </c>
      <c r="G286" s="37" t="str">
        <f t="shared" si="72"/>
        <v/>
      </c>
      <c r="H286" s="37" t="str">
        <f t="shared" si="73"/>
        <v/>
      </c>
      <c r="I286" s="37" t="str">
        <f t="shared" si="74"/>
        <v/>
      </c>
      <c r="J286" s="37" t="str">
        <f t="shared" si="75"/>
        <v/>
      </c>
      <c r="K286" s="37" t="str">
        <f t="shared" si="76"/>
        <v/>
      </c>
      <c r="L286" s="37" t="str">
        <f t="shared" si="77"/>
        <v/>
      </c>
      <c r="M286" s="37" t="str">
        <f t="shared" si="78"/>
        <v/>
      </c>
      <c r="N286" s="37" t="str">
        <f t="shared" si="79"/>
        <v/>
      </c>
      <c r="O286" s="37" t="str">
        <f t="shared" si="80"/>
        <v/>
      </c>
      <c r="P286" s="37" t="str">
        <f t="shared" si="81"/>
        <v/>
      </c>
      <c r="Q286" s="37" t="str">
        <f t="shared" si="82"/>
        <v/>
      </c>
    </row>
    <row r="287" spans="1:17" ht="15" customHeight="1" x14ac:dyDescent="0.25">
      <c r="A287" s="58">
        <v>267</v>
      </c>
      <c r="B287" s="37">
        <f t="shared" si="67"/>
        <v>266.5</v>
      </c>
      <c r="C287" s="37" t="str">
        <f t="shared" si="68"/>
        <v/>
      </c>
      <c r="D287" s="37" t="str">
        <f t="shared" si="69"/>
        <v/>
      </c>
      <c r="E287" s="37" t="str">
        <f t="shared" si="70"/>
        <v/>
      </c>
      <c r="F287" s="37" t="str">
        <f t="shared" si="71"/>
        <v/>
      </c>
      <c r="G287" s="37" t="str">
        <f t="shared" si="72"/>
        <v/>
      </c>
      <c r="H287" s="37" t="str">
        <f t="shared" si="73"/>
        <v/>
      </c>
      <c r="I287" s="37" t="str">
        <f t="shared" si="74"/>
        <v/>
      </c>
      <c r="J287" s="37" t="str">
        <f t="shared" si="75"/>
        <v/>
      </c>
      <c r="K287" s="37" t="str">
        <f t="shared" si="76"/>
        <v/>
      </c>
      <c r="L287" s="37" t="str">
        <f t="shared" si="77"/>
        <v/>
      </c>
      <c r="M287" s="37" t="str">
        <f t="shared" si="78"/>
        <v/>
      </c>
      <c r="N287" s="37" t="str">
        <f t="shared" si="79"/>
        <v/>
      </c>
      <c r="O287" s="37" t="str">
        <f t="shared" si="80"/>
        <v/>
      </c>
      <c r="P287" s="37" t="str">
        <f t="shared" si="81"/>
        <v/>
      </c>
      <c r="Q287" s="37" t="str">
        <f t="shared" si="82"/>
        <v/>
      </c>
    </row>
    <row r="288" spans="1:17" ht="15" customHeight="1" x14ac:dyDescent="0.25">
      <c r="A288" s="58">
        <v>268</v>
      </c>
      <c r="B288" s="37">
        <f t="shared" si="67"/>
        <v>267.5</v>
      </c>
      <c r="C288" s="37" t="str">
        <f t="shared" si="68"/>
        <v/>
      </c>
      <c r="D288" s="37" t="str">
        <f t="shared" si="69"/>
        <v/>
      </c>
      <c r="E288" s="37" t="str">
        <f t="shared" si="70"/>
        <v/>
      </c>
      <c r="F288" s="37" t="str">
        <f t="shared" si="71"/>
        <v/>
      </c>
      <c r="G288" s="37" t="str">
        <f t="shared" si="72"/>
        <v/>
      </c>
      <c r="H288" s="37" t="str">
        <f t="shared" si="73"/>
        <v/>
      </c>
      <c r="I288" s="37" t="str">
        <f t="shared" si="74"/>
        <v/>
      </c>
      <c r="J288" s="37" t="str">
        <f t="shared" si="75"/>
        <v/>
      </c>
      <c r="K288" s="37" t="str">
        <f t="shared" si="76"/>
        <v/>
      </c>
      <c r="L288" s="37" t="str">
        <f t="shared" si="77"/>
        <v/>
      </c>
      <c r="M288" s="37" t="str">
        <f t="shared" si="78"/>
        <v/>
      </c>
      <c r="N288" s="37" t="str">
        <f t="shared" si="79"/>
        <v/>
      </c>
      <c r="O288" s="37" t="str">
        <f t="shared" si="80"/>
        <v/>
      </c>
      <c r="P288" s="37" t="str">
        <f t="shared" si="81"/>
        <v/>
      </c>
      <c r="Q288" s="37" t="str">
        <f t="shared" si="82"/>
        <v/>
      </c>
    </row>
    <row r="289" spans="1:17" ht="15" customHeight="1" x14ac:dyDescent="0.25">
      <c r="A289" s="58">
        <v>269</v>
      </c>
      <c r="B289" s="37">
        <f t="shared" si="67"/>
        <v>268.5</v>
      </c>
      <c r="C289" s="37" t="str">
        <f t="shared" si="68"/>
        <v/>
      </c>
      <c r="D289" s="37" t="str">
        <f t="shared" si="69"/>
        <v/>
      </c>
      <c r="E289" s="37" t="str">
        <f t="shared" si="70"/>
        <v/>
      </c>
      <c r="F289" s="37" t="str">
        <f t="shared" si="71"/>
        <v/>
      </c>
      <c r="G289" s="37" t="str">
        <f t="shared" si="72"/>
        <v/>
      </c>
      <c r="H289" s="37" t="str">
        <f t="shared" si="73"/>
        <v/>
      </c>
      <c r="I289" s="37" t="str">
        <f t="shared" si="74"/>
        <v/>
      </c>
      <c r="J289" s="37" t="str">
        <f t="shared" si="75"/>
        <v/>
      </c>
      <c r="K289" s="37" t="str">
        <f t="shared" si="76"/>
        <v/>
      </c>
      <c r="L289" s="37" t="str">
        <f t="shared" si="77"/>
        <v/>
      </c>
      <c r="M289" s="37" t="str">
        <f t="shared" si="78"/>
        <v/>
      </c>
      <c r="N289" s="37" t="str">
        <f t="shared" si="79"/>
        <v/>
      </c>
      <c r="O289" s="37" t="str">
        <f t="shared" si="80"/>
        <v/>
      </c>
      <c r="P289" s="37" t="str">
        <f t="shared" si="81"/>
        <v/>
      </c>
      <c r="Q289" s="37" t="str">
        <f t="shared" si="82"/>
        <v/>
      </c>
    </row>
    <row r="290" spans="1:17" ht="15" customHeight="1" x14ac:dyDescent="0.25">
      <c r="A290" s="58">
        <v>270</v>
      </c>
      <c r="B290" s="37">
        <f t="shared" si="67"/>
        <v>269.5</v>
      </c>
      <c r="C290" s="37" t="str">
        <f t="shared" si="68"/>
        <v/>
      </c>
      <c r="D290" s="37" t="str">
        <f t="shared" si="69"/>
        <v/>
      </c>
      <c r="E290" s="37" t="str">
        <f t="shared" si="70"/>
        <v/>
      </c>
      <c r="F290" s="37" t="str">
        <f t="shared" si="71"/>
        <v/>
      </c>
      <c r="G290" s="37" t="str">
        <f t="shared" si="72"/>
        <v/>
      </c>
      <c r="H290" s="37" t="str">
        <f t="shared" si="73"/>
        <v/>
      </c>
      <c r="I290" s="37" t="str">
        <f t="shared" si="74"/>
        <v/>
      </c>
      <c r="J290" s="37" t="str">
        <f t="shared" si="75"/>
        <v/>
      </c>
      <c r="K290" s="37" t="str">
        <f t="shared" si="76"/>
        <v/>
      </c>
      <c r="L290" s="37" t="str">
        <f t="shared" si="77"/>
        <v/>
      </c>
      <c r="M290" s="37" t="str">
        <f t="shared" si="78"/>
        <v/>
      </c>
      <c r="N290" s="37" t="str">
        <f t="shared" si="79"/>
        <v/>
      </c>
      <c r="O290" s="37" t="str">
        <f t="shared" si="80"/>
        <v/>
      </c>
      <c r="P290" s="37" t="str">
        <f t="shared" si="81"/>
        <v/>
      </c>
      <c r="Q290" s="37" t="str">
        <f t="shared" si="82"/>
        <v/>
      </c>
    </row>
    <row r="291" spans="1:17" ht="15" customHeight="1" x14ac:dyDescent="0.25">
      <c r="A291" s="58">
        <v>271</v>
      </c>
      <c r="B291" s="37">
        <f t="shared" si="67"/>
        <v>270.5</v>
      </c>
      <c r="C291" s="37" t="str">
        <f t="shared" si="68"/>
        <v/>
      </c>
      <c r="D291" s="37" t="str">
        <f t="shared" si="69"/>
        <v/>
      </c>
      <c r="E291" s="37" t="str">
        <f t="shared" si="70"/>
        <v/>
      </c>
      <c r="F291" s="37" t="str">
        <f t="shared" si="71"/>
        <v/>
      </c>
      <c r="G291" s="37" t="str">
        <f t="shared" si="72"/>
        <v/>
      </c>
      <c r="H291" s="37" t="str">
        <f t="shared" si="73"/>
        <v/>
      </c>
      <c r="I291" s="37" t="str">
        <f t="shared" si="74"/>
        <v/>
      </c>
      <c r="J291" s="37" t="str">
        <f t="shared" si="75"/>
        <v/>
      </c>
      <c r="K291" s="37" t="str">
        <f t="shared" si="76"/>
        <v/>
      </c>
      <c r="L291" s="37" t="str">
        <f t="shared" si="77"/>
        <v/>
      </c>
      <c r="M291" s="37" t="str">
        <f t="shared" si="78"/>
        <v/>
      </c>
      <c r="N291" s="37" t="str">
        <f t="shared" si="79"/>
        <v/>
      </c>
      <c r="O291" s="37" t="str">
        <f t="shared" si="80"/>
        <v/>
      </c>
      <c r="P291" s="37" t="str">
        <f t="shared" si="81"/>
        <v/>
      </c>
      <c r="Q291" s="37" t="str">
        <f t="shared" si="82"/>
        <v/>
      </c>
    </row>
    <row r="292" spans="1:17" ht="15" customHeight="1" x14ac:dyDescent="0.25">
      <c r="A292" s="58">
        <v>272</v>
      </c>
      <c r="B292" s="37">
        <f t="shared" si="67"/>
        <v>271.5</v>
      </c>
      <c r="C292" s="37" t="str">
        <f t="shared" si="68"/>
        <v/>
      </c>
      <c r="D292" s="37" t="str">
        <f t="shared" si="69"/>
        <v/>
      </c>
      <c r="E292" s="37" t="str">
        <f t="shared" si="70"/>
        <v/>
      </c>
      <c r="F292" s="37" t="str">
        <f t="shared" si="71"/>
        <v/>
      </c>
      <c r="G292" s="37" t="str">
        <f t="shared" si="72"/>
        <v/>
      </c>
      <c r="H292" s="37" t="str">
        <f t="shared" si="73"/>
        <v/>
      </c>
      <c r="I292" s="37" t="str">
        <f t="shared" si="74"/>
        <v/>
      </c>
      <c r="J292" s="37" t="str">
        <f t="shared" si="75"/>
        <v/>
      </c>
      <c r="K292" s="37" t="str">
        <f t="shared" si="76"/>
        <v/>
      </c>
      <c r="L292" s="37" t="str">
        <f t="shared" si="77"/>
        <v/>
      </c>
      <c r="M292" s="37" t="str">
        <f t="shared" si="78"/>
        <v/>
      </c>
      <c r="N292" s="37" t="str">
        <f t="shared" si="79"/>
        <v/>
      </c>
      <c r="O292" s="37" t="str">
        <f t="shared" si="80"/>
        <v/>
      </c>
      <c r="P292" s="37" t="str">
        <f t="shared" si="81"/>
        <v/>
      </c>
      <c r="Q292" s="37" t="str">
        <f t="shared" si="82"/>
        <v/>
      </c>
    </row>
    <row r="293" spans="1:17" ht="15" customHeight="1" x14ac:dyDescent="0.25">
      <c r="A293" s="58">
        <v>273</v>
      </c>
      <c r="B293" s="37">
        <f t="shared" si="67"/>
        <v>272.5</v>
      </c>
      <c r="C293" s="37" t="str">
        <f t="shared" si="68"/>
        <v/>
      </c>
      <c r="D293" s="37" t="str">
        <f t="shared" si="69"/>
        <v/>
      </c>
      <c r="E293" s="37" t="str">
        <f t="shared" si="70"/>
        <v/>
      </c>
      <c r="F293" s="37" t="str">
        <f t="shared" si="71"/>
        <v/>
      </c>
      <c r="G293" s="37" t="str">
        <f t="shared" si="72"/>
        <v/>
      </c>
      <c r="H293" s="37" t="str">
        <f t="shared" si="73"/>
        <v/>
      </c>
      <c r="I293" s="37" t="str">
        <f t="shared" si="74"/>
        <v/>
      </c>
      <c r="J293" s="37" t="str">
        <f t="shared" si="75"/>
        <v/>
      </c>
      <c r="K293" s="37" t="str">
        <f t="shared" si="76"/>
        <v/>
      </c>
      <c r="L293" s="37" t="str">
        <f t="shared" si="77"/>
        <v/>
      </c>
      <c r="M293" s="37" t="str">
        <f t="shared" si="78"/>
        <v/>
      </c>
      <c r="N293" s="37" t="str">
        <f t="shared" si="79"/>
        <v/>
      </c>
      <c r="O293" s="37" t="str">
        <f t="shared" si="80"/>
        <v/>
      </c>
      <c r="P293" s="37" t="str">
        <f t="shared" si="81"/>
        <v/>
      </c>
      <c r="Q293" s="37" t="str">
        <f t="shared" si="82"/>
        <v/>
      </c>
    </row>
    <row r="294" spans="1:17" ht="15" customHeight="1" x14ac:dyDescent="0.25">
      <c r="A294" s="58">
        <v>274</v>
      </c>
      <c r="B294" s="37">
        <f t="shared" si="67"/>
        <v>273.5</v>
      </c>
      <c r="C294" s="37" t="str">
        <f t="shared" si="68"/>
        <v/>
      </c>
      <c r="D294" s="37" t="str">
        <f t="shared" si="69"/>
        <v/>
      </c>
      <c r="E294" s="37" t="str">
        <f t="shared" si="70"/>
        <v/>
      </c>
      <c r="F294" s="37" t="str">
        <f t="shared" si="71"/>
        <v/>
      </c>
      <c r="G294" s="37" t="str">
        <f t="shared" si="72"/>
        <v/>
      </c>
      <c r="H294" s="37" t="str">
        <f t="shared" si="73"/>
        <v/>
      </c>
      <c r="I294" s="37" t="str">
        <f t="shared" si="74"/>
        <v/>
      </c>
      <c r="J294" s="37" t="str">
        <f t="shared" si="75"/>
        <v/>
      </c>
      <c r="K294" s="37" t="str">
        <f t="shared" si="76"/>
        <v/>
      </c>
      <c r="L294" s="37" t="str">
        <f t="shared" si="77"/>
        <v/>
      </c>
      <c r="M294" s="37" t="str">
        <f t="shared" si="78"/>
        <v/>
      </c>
      <c r="N294" s="37" t="str">
        <f t="shared" si="79"/>
        <v/>
      </c>
      <c r="O294" s="37" t="str">
        <f t="shared" si="80"/>
        <v/>
      </c>
      <c r="P294" s="37" t="str">
        <f t="shared" si="81"/>
        <v/>
      </c>
      <c r="Q294" s="37" t="str">
        <f t="shared" si="82"/>
        <v/>
      </c>
    </row>
    <row r="295" spans="1:17" ht="15" customHeight="1" x14ac:dyDescent="0.25">
      <c r="A295" s="58">
        <v>275</v>
      </c>
      <c r="B295" s="37">
        <f t="shared" si="67"/>
        <v>274.5</v>
      </c>
      <c r="C295" s="37" t="str">
        <f t="shared" si="68"/>
        <v/>
      </c>
      <c r="D295" s="37" t="str">
        <f t="shared" si="69"/>
        <v/>
      </c>
      <c r="E295" s="37" t="str">
        <f t="shared" si="70"/>
        <v/>
      </c>
      <c r="F295" s="37" t="str">
        <f t="shared" si="71"/>
        <v/>
      </c>
      <c r="G295" s="37" t="str">
        <f t="shared" si="72"/>
        <v/>
      </c>
      <c r="H295" s="37" t="str">
        <f t="shared" si="73"/>
        <v/>
      </c>
      <c r="I295" s="37" t="str">
        <f t="shared" si="74"/>
        <v/>
      </c>
      <c r="J295" s="37" t="str">
        <f t="shared" si="75"/>
        <v/>
      </c>
      <c r="K295" s="37" t="str">
        <f t="shared" si="76"/>
        <v/>
      </c>
      <c r="L295" s="37" t="str">
        <f t="shared" si="77"/>
        <v/>
      </c>
      <c r="M295" s="37" t="str">
        <f t="shared" si="78"/>
        <v/>
      </c>
      <c r="N295" s="37" t="str">
        <f t="shared" si="79"/>
        <v/>
      </c>
      <c r="O295" s="37" t="str">
        <f t="shared" si="80"/>
        <v/>
      </c>
      <c r="P295" s="37" t="str">
        <f t="shared" si="81"/>
        <v/>
      </c>
      <c r="Q295" s="37" t="str">
        <f t="shared" si="82"/>
        <v/>
      </c>
    </row>
    <row r="296" spans="1:17" ht="15" customHeight="1" x14ac:dyDescent="0.25">
      <c r="A296" s="58">
        <v>276</v>
      </c>
      <c r="B296" s="37">
        <f t="shared" si="67"/>
        <v>275.5</v>
      </c>
      <c r="C296" s="37" t="str">
        <f t="shared" si="68"/>
        <v/>
      </c>
      <c r="D296" s="37" t="str">
        <f t="shared" si="69"/>
        <v/>
      </c>
      <c r="E296" s="37" t="str">
        <f t="shared" si="70"/>
        <v/>
      </c>
      <c r="F296" s="37" t="str">
        <f t="shared" si="71"/>
        <v/>
      </c>
      <c r="G296" s="37" t="str">
        <f t="shared" si="72"/>
        <v/>
      </c>
      <c r="H296" s="37" t="str">
        <f t="shared" si="73"/>
        <v/>
      </c>
      <c r="I296" s="37" t="str">
        <f t="shared" si="74"/>
        <v/>
      </c>
      <c r="J296" s="37" t="str">
        <f t="shared" si="75"/>
        <v/>
      </c>
      <c r="K296" s="37" t="str">
        <f t="shared" si="76"/>
        <v/>
      </c>
      <c r="L296" s="37" t="str">
        <f t="shared" si="77"/>
        <v/>
      </c>
      <c r="M296" s="37" t="str">
        <f t="shared" si="78"/>
        <v/>
      </c>
      <c r="N296" s="37" t="str">
        <f t="shared" si="79"/>
        <v/>
      </c>
      <c r="O296" s="37" t="str">
        <f t="shared" si="80"/>
        <v/>
      </c>
      <c r="P296" s="37" t="str">
        <f t="shared" si="81"/>
        <v/>
      </c>
      <c r="Q296" s="37" t="str">
        <f t="shared" si="82"/>
        <v/>
      </c>
    </row>
    <row r="297" spans="1:17" ht="15" customHeight="1" x14ac:dyDescent="0.25">
      <c r="A297" s="58">
        <v>277</v>
      </c>
      <c r="B297" s="37">
        <f t="shared" si="67"/>
        <v>276.5</v>
      </c>
      <c r="C297" s="37" t="str">
        <f t="shared" si="68"/>
        <v/>
      </c>
      <c r="D297" s="37" t="str">
        <f t="shared" si="69"/>
        <v/>
      </c>
      <c r="E297" s="37" t="str">
        <f t="shared" si="70"/>
        <v/>
      </c>
      <c r="F297" s="37" t="str">
        <f t="shared" si="71"/>
        <v/>
      </c>
      <c r="G297" s="37" t="str">
        <f t="shared" si="72"/>
        <v/>
      </c>
      <c r="H297" s="37" t="str">
        <f t="shared" si="73"/>
        <v/>
      </c>
      <c r="I297" s="37" t="str">
        <f t="shared" si="74"/>
        <v/>
      </c>
      <c r="J297" s="37" t="str">
        <f t="shared" si="75"/>
        <v/>
      </c>
      <c r="K297" s="37" t="str">
        <f t="shared" si="76"/>
        <v/>
      </c>
      <c r="L297" s="37" t="str">
        <f t="shared" si="77"/>
        <v/>
      </c>
      <c r="M297" s="37" t="str">
        <f t="shared" si="78"/>
        <v/>
      </c>
      <c r="N297" s="37" t="str">
        <f t="shared" si="79"/>
        <v/>
      </c>
      <c r="O297" s="37" t="str">
        <f t="shared" si="80"/>
        <v/>
      </c>
      <c r="P297" s="37" t="str">
        <f t="shared" si="81"/>
        <v/>
      </c>
      <c r="Q297" s="37" t="str">
        <f t="shared" si="82"/>
        <v/>
      </c>
    </row>
    <row r="298" spans="1:17" ht="15" customHeight="1" x14ac:dyDescent="0.25">
      <c r="A298" s="58">
        <v>278</v>
      </c>
      <c r="B298" s="37">
        <f t="shared" si="67"/>
        <v>277.5</v>
      </c>
      <c r="C298" s="37" t="str">
        <f t="shared" si="68"/>
        <v/>
      </c>
      <c r="D298" s="37" t="str">
        <f t="shared" si="69"/>
        <v/>
      </c>
      <c r="E298" s="37" t="str">
        <f t="shared" si="70"/>
        <v/>
      </c>
      <c r="F298" s="37" t="str">
        <f t="shared" si="71"/>
        <v/>
      </c>
      <c r="G298" s="37" t="str">
        <f t="shared" si="72"/>
        <v/>
      </c>
      <c r="H298" s="37" t="str">
        <f t="shared" si="73"/>
        <v/>
      </c>
      <c r="I298" s="37" t="str">
        <f t="shared" si="74"/>
        <v/>
      </c>
      <c r="J298" s="37" t="str">
        <f t="shared" si="75"/>
        <v/>
      </c>
      <c r="K298" s="37" t="str">
        <f t="shared" si="76"/>
        <v/>
      </c>
      <c r="L298" s="37" t="str">
        <f t="shared" si="77"/>
        <v/>
      </c>
      <c r="M298" s="37" t="str">
        <f t="shared" si="78"/>
        <v/>
      </c>
      <c r="N298" s="37" t="str">
        <f t="shared" si="79"/>
        <v/>
      </c>
      <c r="O298" s="37" t="str">
        <f t="shared" si="80"/>
        <v/>
      </c>
      <c r="P298" s="37" t="str">
        <f t="shared" si="81"/>
        <v/>
      </c>
      <c r="Q298" s="37" t="str">
        <f t="shared" si="82"/>
        <v/>
      </c>
    </row>
    <row r="299" spans="1:17" ht="15" customHeight="1" x14ac:dyDescent="0.25">
      <c r="A299" s="58">
        <v>279</v>
      </c>
      <c r="B299" s="37">
        <f t="shared" si="67"/>
        <v>278.5</v>
      </c>
      <c r="C299" s="37" t="str">
        <f t="shared" si="68"/>
        <v/>
      </c>
      <c r="D299" s="37" t="str">
        <f t="shared" si="69"/>
        <v/>
      </c>
      <c r="E299" s="37" t="str">
        <f t="shared" si="70"/>
        <v/>
      </c>
      <c r="F299" s="37" t="str">
        <f t="shared" si="71"/>
        <v/>
      </c>
      <c r="G299" s="37" t="str">
        <f t="shared" si="72"/>
        <v/>
      </c>
      <c r="H299" s="37" t="str">
        <f t="shared" si="73"/>
        <v/>
      </c>
      <c r="I299" s="37" t="str">
        <f t="shared" si="74"/>
        <v/>
      </c>
      <c r="J299" s="37" t="str">
        <f t="shared" si="75"/>
        <v/>
      </c>
      <c r="K299" s="37" t="str">
        <f t="shared" si="76"/>
        <v/>
      </c>
      <c r="L299" s="37" t="str">
        <f t="shared" si="77"/>
        <v/>
      </c>
      <c r="M299" s="37" t="str">
        <f t="shared" si="78"/>
        <v/>
      </c>
      <c r="N299" s="37" t="str">
        <f t="shared" si="79"/>
        <v/>
      </c>
      <c r="O299" s="37" t="str">
        <f t="shared" si="80"/>
        <v/>
      </c>
      <c r="P299" s="37" t="str">
        <f t="shared" si="81"/>
        <v/>
      </c>
      <c r="Q299" s="37" t="str">
        <f t="shared" si="82"/>
        <v/>
      </c>
    </row>
    <row r="300" spans="1:17" ht="15" customHeight="1" x14ac:dyDescent="0.25">
      <c r="A300" s="58">
        <v>280</v>
      </c>
      <c r="B300" s="37">
        <f t="shared" si="67"/>
        <v>279.5</v>
      </c>
      <c r="C300" s="37" t="str">
        <f t="shared" si="68"/>
        <v/>
      </c>
      <c r="D300" s="37" t="str">
        <f t="shared" si="69"/>
        <v/>
      </c>
      <c r="E300" s="37" t="str">
        <f t="shared" si="70"/>
        <v/>
      </c>
      <c r="F300" s="37" t="str">
        <f t="shared" si="71"/>
        <v/>
      </c>
      <c r="G300" s="37" t="str">
        <f t="shared" si="72"/>
        <v/>
      </c>
      <c r="H300" s="37" t="str">
        <f t="shared" si="73"/>
        <v/>
      </c>
      <c r="I300" s="37" t="str">
        <f t="shared" si="74"/>
        <v/>
      </c>
      <c r="J300" s="37" t="str">
        <f t="shared" si="75"/>
        <v/>
      </c>
      <c r="K300" s="37" t="str">
        <f t="shared" si="76"/>
        <v/>
      </c>
      <c r="L300" s="37" t="str">
        <f t="shared" si="77"/>
        <v/>
      </c>
      <c r="M300" s="37" t="str">
        <f t="shared" si="78"/>
        <v/>
      </c>
      <c r="N300" s="37" t="str">
        <f t="shared" si="79"/>
        <v/>
      </c>
      <c r="O300" s="37" t="str">
        <f t="shared" si="80"/>
        <v/>
      </c>
      <c r="P300" s="37" t="str">
        <f t="shared" si="81"/>
        <v/>
      </c>
      <c r="Q300" s="37" t="str">
        <f t="shared" si="82"/>
        <v/>
      </c>
    </row>
    <row r="301" spans="1:17" ht="15" customHeight="1" x14ac:dyDescent="0.25">
      <c r="A301" s="58">
        <v>281</v>
      </c>
      <c r="B301" s="37">
        <f t="shared" si="67"/>
        <v>280.5</v>
      </c>
      <c r="C301" s="37" t="str">
        <f t="shared" si="68"/>
        <v/>
      </c>
      <c r="D301" s="37" t="str">
        <f t="shared" si="69"/>
        <v/>
      </c>
      <c r="E301" s="37" t="str">
        <f t="shared" si="70"/>
        <v/>
      </c>
      <c r="F301" s="37" t="str">
        <f t="shared" si="71"/>
        <v/>
      </c>
      <c r="G301" s="37" t="str">
        <f t="shared" si="72"/>
        <v/>
      </c>
      <c r="H301" s="37" t="str">
        <f t="shared" si="73"/>
        <v/>
      </c>
      <c r="I301" s="37" t="str">
        <f t="shared" si="74"/>
        <v/>
      </c>
      <c r="J301" s="37" t="str">
        <f t="shared" si="75"/>
        <v/>
      </c>
      <c r="K301" s="37" t="str">
        <f t="shared" si="76"/>
        <v/>
      </c>
      <c r="L301" s="37" t="str">
        <f t="shared" si="77"/>
        <v/>
      </c>
      <c r="M301" s="37" t="str">
        <f t="shared" si="78"/>
        <v/>
      </c>
      <c r="N301" s="37" t="str">
        <f t="shared" si="79"/>
        <v/>
      </c>
      <c r="O301" s="37" t="str">
        <f t="shared" si="80"/>
        <v/>
      </c>
      <c r="P301" s="37" t="str">
        <f t="shared" si="81"/>
        <v/>
      </c>
      <c r="Q301" s="37" t="str">
        <f t="shared" si="82"/>
        <v/>
      </c>
    </row>
    <row r="302" spans="1:17" ht="15" customHeight="1" x14ac:dyDescent="0.25">
      <c r="A302" s="58">
        <v>282</v>
      </c>
      <c r="B302" s="37">
        <f t="shared" si="67"/>
        <v>281.5</v>
      </c>
      <c r="C302" s="37" t="str">
        <f t="shared" si="68"/>
        <v/>
      </c>
      <c r="D302" s="37" t="str">
        <f t="shared" si="69"/>
        <v/>
      </c>
      <c r="E302" s="37" t="str">
        <f t="shared" si="70"/>
        <v/>
      </c>
      <c r="F302" s="37" t="str">
        <f t="shared" si="71"/>
        <v/>
      </c>
      <c r="G302" s="37" t="str">
        <f t="shared" si="72"/>
        <v/>
      </c>
      <c r="H302" s="37" t="str">
        <f t="shared" si="73"/>
        <v/>
      </c>
      <c r="I302" s="37" t="str">
        <f t="shared" si="74"/>
        <v/>
      </c>
      <c r="J302" s="37" t="str">
        <f t="shared" si="75"/>
        <v/>
      </c>
      <c r="K302" s="37" t="str">
        <f t="shared" si="76"/>
        <v/>
      </c>
      <c r="L302" s="37" t="str">
        <f t="shared" si="77"/>
        <v/>
      </c>
      <c r="M302" s="37" t="str">
        <f t="shared" si="78"/>
        <v/>
      </c>
      <c r="N302" s="37" t="str">
        <f t="shared" si="79"/>
        <v/>
      </c>
      <c r="O302" s="37" t="str">
        <f t="shared" si="80"/>
        <v/>
      </c>
      <c r="P302" s="37" t="str">
        <f t="shared" si="81"/>
        <v/>
      </c>
      <c r="Q302" s="37" t="str">
        <f t="shared" si="82"/>
        <v/>
      </c>
    </row>
    <row r="303" spans="1:17" ht="15" customHeight="1" x14ac:dyDescent="0.25">
      <c r="A303" s="58">
        <v>283</v>
      </c>
      <c r="B303" s="37">
        <f t="shared" si="67"/>
        <v>282.5</v>
      </c>
      <c r="C303" s="37" t="str">
        <f t="shared" si="68"/>
        <v/>
      </c>
      <c r="D303" s="37" t="str">
        <f t="shared" si="69"/>
        <v/>
      </c>
      <c r="E303" s="37" t="str">
        <f t="shared" si="70"/>
        <v/>
      </c>
      <c r="F303" s="37" t="str">
        <f t="shared" si="71"/>
        <v/>
      </c>
      <c r="G303" s="37" t="str">
        <f t="shared" si="72"/>
        <v/>
      </c>
      <c r="H303" s="37" t="str">
        <f t="shared" si="73"/>
        <v/>
      </c>
      <c r="I303" s="37" t="str">
        <f t="shared" si="74"/>
        <v/>
      </c>
      <c r="J303" s="37" t="str">
        <f t="shared" si="75"/>
        <v/>
      </c>
      <c r="K303" s="37" t="str">
        <f t="shared" si="76"/>
        <v/>
      </c>
      <c r="L303" s="37" t="str">
        <f t="shared" si="77"/>
        <v/>
      </c>
      <c r="M303" s="37" t="str">
        <f t="shared" si="78"/>
        <v/>
      </c>
      <c r="N303" s="37" t="str">
        <f t="shared" si="79"/>
        <v/>
      </c>
      <c r="O303" s="37" t="str">
        <f t="shared" si="80"/>
        <v/>
      </c>
      <c r="P303" s="37" t="str">
        <f t="shared" si="81"/>
        <v/>
      </c>
      <c r="Q303" s="37" t="str">
        <f t="shared" si="82"/>
        <v/>
      </c>
    </row>
    <row r="304" spans="1:17" ht="15" customHeight="1" x14ac:dyDescent="0.25">
      <c r="A304" s="58">
        <v>284</v>
      </c>
      <c r="B304" s="37">
        <f t="shared" si="67"/>
        <v>283.5</v>
      </c>
      <c r="C304" s="37" t="str">
        <f t="shared" si="68"/>
        <v/>
      </c>
      <c r="D304" s="37" t="str">
        <f t="shared" si="69"/>
        <v/>
      </c>
      <c r="E304" s="37" t="str">
        <f t="shared" si="70"/>
        <v/>
      </c>
      <c r="F304" s="37" t="str">
        <f t="shared" si="71"/>
        <v/>
      </c>
      <c r="G304" s="37" t="str">
        <f t="shared" si="72"/>
        <v/>
      </c>
      <c r="H304" s="37" t="str">
        <f t="shared" si="73"/>
        <v/>
      </c>
      <c r="I304" s="37" t="str">
        <f t="shared" si="74"/>
        <v/>
      </c>
      <c r="J304" s="37" t="str">
        <f t="shared" si="75"/>
        <v/>
      </c>
      <c r="K304" s="37" t="str">
        <f t="shared" si="76"/>
        <v/>
      </c>
      <c r="L304" s="37" t="str">
        <f t="shared" si="77"/>
        <v/>
      </c>
      <c r="M304" s="37" t="str">
        <f t="shared" si="78"/>
        <v/>
      </c>
      <c r="N304" s="37" t="str">
        <f t="shared" si="79"/>
        <v/>
      </c>
      <c r="O304" s="37" t="str">
        <f t="shared" si="80"/>
        <v/>
      </c>
      <c r="P304" s="37" t="str">
        <f t="shared" si="81"/>
        <v/>
      </c>
      <c r="Q304" s="37" t="str">
        <f t="shared" si="82"/>
        <v/>
      </c>
    </row>
    <row r="305" spans="1:17" ht="15" customHeight="1" x14ac:dyDescent="0.25">
      <c r="A305" s="58">
        <v>285</v>
      </c>
      <c r="B305" s="37">
        <f t="shared" si="67"/>
        <v>284.5</v>
      </c>
      <c r="C305" s="37" t="str">
        <f t="shared" si="68"/>
        <v/>
      </c>
      <c r="D305" s="37" t="str">
        <f t="shared" si="69"/>
        <v/>
      </c>
      <c r="E305" s="37" t="str">
        <f t="shared" si="70"/>
        <v/>
      </c>
      <c r="F305" s="37" t="str">
        <f t="shared" si="71"/>
        <v/>
      </c>
      <c r="G305" s="37" t="str">
        <f t="shared" si="72"/>
        <v/>
      </c>
      <c r="H305" s="37" t="str">
        <f t="shared" si="73"/>
        <v/>
      </c>
      <c r="I305" s="37" t="str">
        <f t="shared" si="74"/>
        <v/>
      </c>
      <c r="J305" s="37" t="str">
        <f t="shared" si="75"/>
        <v/>
      </c>
      <c r="K305" s="37" t="str">
        <f t="shared" si="76"/>
        <v/>
      </c>
      <c r="L305" s="37" t="str">
        <f t="shared" si="77"/>
        <v/>
      </c>
      <c r="M305" s="37" t="str">
        <f t="shared" si="78"/>
        <v/>
      </c>
      <c r="N305" s="37" t="str">
        <f t="shared" si="79"/>
        <v/>
      </c>
      <c r="O305" s="37" t="str">
        <f t="shared" si="80"/>
        <v/>
      </c>
      <c r="P305" s="37" t="str">
        <f t="shared" si="81"/>
        <v/>
      </c>
      <c r="Q305" s="37" t="str">
        <f t="shared" si="82"/>
        <v/>
      </c>
    </row>
    <row r="306" spans="1:17" ht="15" customHeight="1" x14ac:dyDescent="0.25">
      <c r="A306" s="58">
        <v>286</v>
      </c>
      <c r="B306" s="37">
        <f t="shared" si="67"/>
        <v>285.5</v>
      </c>
      <c r="C306" s="37" t="str">
        <f t="shared" si="68"/>
        <v/>
      </c>
      <c r="D306" s="37" t="str">
        <f t="shared" si="69"/>
        <v/>
      </c>
      <c r="E306" s="37" t="str">
        <f t="shared" si="70"/>
        <v/>
      </c>
      <c r="F306" s="37" t="str">
        <f t="shared" si="71"/>
        <v/>
      </c>
      <c r="G306" s="37" t="str">
        <f t="shared" si="72"/>
        <v/>
      </c>
      <c r="H306" s="37" t="str">
        <f t="shared" si="73"/>
        <v/>
      </c>
      <c r="I306" s="37" t="str">
        <f t="shared" si="74"/>
        <v/>
      </c>
      <c r="J306" s="37" t="str">
        <f t="shared" si="75"/>
        <v/>
      </c>
      <c r="K306" s="37" t="str">
        <f t="shared" si="76"/>
        <v/>
      </c>
      <c r="L306" s="37" t="str">
        <f t="shared" si="77"/>
        <v/>
      </c>
      <c r="M306" s="37" t="str">
        <f t="shared" si="78"/>
        <v/>
      </c>
      <c r="N306" s="37" t="str">
        <f t="shared" si="79"/>
        <v/>
      </c>
      <c r="O306" s="37" t="str">
        <f t="shared" si="80"/>
        <v/>
      </c>
      <c r="P306" s="37" t="str">
        <f t="shared" si="81"/>
        <v/>
      </c>
      <c r="Q306" s="37" t="str">
        <f t="shared" si="82"/>
        <v/>
      </c>
    </row>
    <row r="307" spans="1:17" ht="15" customHeight="1" x14ac:dyDescent="0.25">
      <c r="A307" s="58">
        <v>287</v>
      </c>
      <c r="B307" s="37">
        <f t="shared" si="67"/>
        <v>286.5</v>
      </c>
      <c r="C307" s="37" t="str">
        <f t="shared" si="68"/>
        <v/>
      </c>
      <c r="D307" s="37" t="str">
        <f t="shared" si="69"/>
        <v/>
      </c>
      <c r="E307" s="37" t="str">
        <f t="shared" si="70"/>
        <v/>
      </c>
      <c r="F307" s="37" t="str">
        <f t="shared" si="71"/>
        <v/>
      </c>
      <c r="G307" s="37" t="str">
        <f t="shared" si="72"/>
        <v/>
      </c>
      <c r="H307" s="37" t="str">
        <f t="shared" si="73"/>
        <v/>
      </c>
      <c r="I307" s="37" t="str">
        <f t="shared" si="74"/>
        <v/>
      </c>
      <c r="J307" s="37" t="str">
        <f t="shared" si="75"/>
        <v/>
      </c>
      <c r="K307" s="37" t="str">
        <f t="shared" si="76"/>
        <v/>
      </c>
      <c r="L307" s="37" t="str">
        <f t="shared" si="77"/>
        <v/>
      </c>
      <c r="M307" s="37" t="str">
        <f t="shared" si="78"/>
        <v/>
      </c>
      <c r="N307" s="37" t="str">
        <f t="shared" si="79"/>
        <v/>
      </c>
      <c r="O307" s="37" t="str">
        <f t="shared" si="80"/>
        <v/>
      </c>
      <c r="P307" s="37" t="str">
        <f t="shared" si="81"/>
        <v/>
      </c>
      <c r="Q307" s="37" t="str">
        <f t="shared" si="82"/>
        <v/>
      </c>
    </row>
    <row r="308" spans="1:17" ht="15" customHeight="1" x14ac:dyDescent="0.25">
      <c r="A308" s="58">
        <v>288</v>
      </c>
      <c r="B308" s="37">
        <f t="shared" si="67"/>
        <v>287.5</v>
      </c>
      <c r="C308" s="37" t="str">
        <f t="shared" si="68"/>
        <v/>
      </c>
      <c r="D308" s="37" t="str">
        <f t="shared" si="69"/>
        <v/>
      </c>
      <c r="E308" s="37" t="str">
        <f t="shared" si="70"/>
        <v/>
      </c>
      <c r="F308" s="37" t="str">
        <f t="shared" si="71"/>
        <v/>
      </c>
      <c r="G308" s="37" t="str">
        <f t="shared" si="72"/>
        <v/>
      </c>
      <c r="H308" s="37" t="str">
        <f t="shared" si="73"/>
        <v/>
      </c>
      <c r="I308" s="37" t="str">
        <f t="shared" si="74"/>
        <v/>
      </c>
      <c r="J308" s="37" t="str">
        <f t="shared" si="75"/>
        <v/>
      </c>
      <c r="K308" s="37" t="str">
        <f t="shared" si="76"/>
        <v/>
      </c>
      <c r="L308" s="37" t="str">
        <f t="shared" si="77"/>
        <v/>
      </c>
      <c r="M308" s="37" t="str">
        <f t="shared" si="78"/>
        <v/>
      </c>
      <c r="N308" s="37" t="str">
        <f t="shared" si="79"/>
        <v/>
      </c>
      <c r="O308" s="37" t="str">
        <f t="shared" si="80"/>
        <v/>
      </c>
      <c r="P308" s="37" t="str">
        <f t="shared" si="81"/>
        <v/>
      </c>
      <c r="Q308" s="37" t="str">
        <f t="shared" si="82"/>
        <v/>
      </c>
    </row>
    <row r="309" spans="1:17" ht="15" customHeight="1" x14ac:dyDescent="0.25">
      <c r="A309" s="58">
        <v>289</v>
      </c>
      <c r="B309" s="37">
        <f t="shared" si="67"/>
        <v>288.5</v>
      </c>
      <c r="C309" s="37" t="str">
        <f t="shared" si="68"/>
        <v/>
      </c>
      <c r="D309" s="37" t="str">
        <f t="shared" si="69"/>
        <v/>
      </c>
      <c r="E309" s="37" t="str">
        <f t="shared" si="70"/>
        <v/>
      </c>
      <c r="F309" s="37" t="str">
        <f t="shared" si="71"/>
        <v/>
      </c>
      <c r="G309" s="37" t="str">
        <f t="shared" si="72"/>
        <v/>
      </c>
      <c r="H309" s="37" t="str">
        <f t="shared" si="73"/>
        <v/>
      </c>
      <c r="I309" s="37" t="str">
        <f t="shared" si="74"/>
        <v/>
      </c>
      <c r="J309" s="37" t="str">
        <f t="shared" si="75"/>
        <v/>
      </c>
      <c r="K309" s="37" t="str">
        <f t="shared" si="76"/>
        <v/>
      </c>
      <c r="L309" s="37" t="str">
        <f t="shared" si="77"/>
        <v/>
      </c>
      <c r="M309" s="37" t="str">
        <f t="shared" si="78"/>
        <v/>
      </c>
      <c r="N309" s="37" t="str">
        <f t="shared" si="79"/>
        <v/>
      </c>
      <c r="O309" s="37" t="str">
        <f t="shared" si="80"/>
        <v/>
      </c>
      <c r="P309" s="37" t="str">
        <f t="shared" si="81"/>
        <v/>
      </c>
      <c r="Q309" s="37" t="str">
        <f t="shared" si="82"/>
        <v/>
      </c>
    </row>
    <row r="310" spans="1:17" ht="15" customHeight="1" x14ac:dyDescent="0.25">
      <c r="A310" s="58">
        <v>290</v>
      </c>
      <c r="B310" s="37">
        <f t="shared" si="67"/>
        <v>289.5</v>
      </c>
      <c r="C310" s="37" t="str">
        <f t="shared" si="68"/>
        <v/>
      </c>
      <c r="D310" s="37" t="str">
        <f t="shared" si="69"/>
        <v/>
      </c>
      <c r="E310" s="37" t="str">
        <f t="shared" si="70"/>
        <v/>
      </c>
      <c r="F310" s="37" t="str">
        <f t="shared" si="71"/>
        <v/>
      </c>
      <c r="G310" s="37" t="str">
        <f t="shared" si="72"/>
        <v/>
      </c>
      <c r="H310" s="37" t="str">
        <f t="shared" si="73"/>
        <v/>
      </c>
      <c r="I310" s="37" t="str">
        <f t="shared" si="74"/>
        <v/>
      </c>
      <c r="J310" s="37" t="str">
        <f t="shared" si="75"/>
        <v/>
      </c>
      <c r="K310" s="37" t="str">
        <f t="shared" si="76"/>
        <v/>
      </c>
      <c r="L310" s="37" t="str">
        <f t="shared" si="77"/>
        <v/>
      </c>
      <c r="M310" s="37" t="str">
        <f t="shared" si="78"/>
        <v/>
      </c>
      <c r="N310" s="37" t="str">
        <f t="shared" si="79"/>
        <v/>
      </c>
      <c r="O310" s="37" t="str">
        <f t="shared" si="80"/>
        <v/>
      </c>
      <c r="P310" s="37" t="str">
        <f t="shared" si="81"/>
        <v/>
      </c>
      <c r="Q310" s="37" t="str">
        <f t="shared" si="82"/>
        <v/>
      </c>
    </row>
    <row r="311" spans="1:17" ht="15" customHeight="1" x14ac:dyDescent="0.25">
      <c r="A311" s="58">
        <v>291</v>
      </c>
      <c r="B311" s="37">
        <f t="shared" si="67"/>
        <v>290.5</v>
      </c>
      <c r="C311" s="37" t="str">
        <f t="shared" si="68"/>
        <v/>
      </c>
      <c r="D311" s="37" t="str">
        <f t="shared" si="69"/>
        <v/>
      </c>
      <c r="E311" s="37" t="str">
        <f t="shared" si="70"/>
        <v/>
      </c>
      <c r="F311" s="37" t="str">
        <f t="shared" si="71"/>
        <v/>
      </c>
      <c r="G311" s="37" t="str">
        <f t="shared" si="72"/>
        <v/>
      </c>
      <c r="H311" s="37" t="str">
        <f t="shared" si="73"/>
        <v/>
      </c>
      <c r="I311" s="37" t="str">
        <f t="shared" si="74"/>
        <v/>
      </c>
      <c r="J311" s="37" t="str">
        <f t="shared" si="75"/>
        <v/>
      </c>
      <c r="K311" s="37" t="str">
        <f t="shared" si="76"/>
        <v/>
      </c>
      <c r="L311" s="37" t="str">
        <f t="shared" si="77"/>
        <v/>
      </c>
      <c r="M311" s="37" t="str">
        <f t="shared" si="78"/>
        <v/>
      </c>
      <c r="N311" s="37" t="str">
        <f t="shared" si="79"/>
        <v/>
      </c>
      <c r="O311" s="37" t="str">
        <f t="shared" si="80"/>
        <v/>
      </c>
      <c r="P311" s="37" t="str">
        <f t="shared" si="81"/>
        <v/>
      </c>
      <c r="Q311" s="37" t="str">
        <f t="shared" si="82"/>
        <v/>
      </c>
    </row>
    <row r="312" spans="1:17" ht="15" customHeight="1" x14ac:dyDescent="0.25">
      <c r="A312" s="58">
        <v>292</v>
      </c>
      <c r="B312" s="37">
        <f t="shared" si="67"/>
        <v>291.5</v>
      </c>
      <c r="C312" s="37" t="str">
        <f t="shared" si="68"/>
        <v/>
      </c>
      <c r="D312" s="37" t="str">
        <f t="shared" si="69"/>
        <v/>
      </c>
      <c r="E312" s="37" t="str">
        <f t="shared" si="70"/>
        <v/>
      </c>
      <c r="F312" s="37" t="str">
        <f t="shared" si="71"/>
        <v/>
      </c>
      <c r="G312" s="37" t="str">
        <f t="shared" si="72"/>
        <v/>
      </c>
      <c r="H312" s="37" t="str">
        <f t="shared" si="73"/>
        <v/>
      </c>
      <c r="I312" s="37" t="str">
        <f t="shared" si="74"/>
        <v/>
      </c>
      <c r="J312" s="37" t="str">
        <f t="shared" si="75"/>
        <v/>
      </c>
      <c r="K312" s="37" t="str">
        <f t="shared" si="76"/>
        <v/>
      </c>
      <c r="L312" s="37" t="str">
        <f t="shared" si="77"/>
        <v/>
      </c>
      <c r="M312" s="37" t="str">
        <f t="shared" si="78"/>
        <v/>
      </c>
      <c r="N312" s="37" t="str">
        <f t="shared" si="79"/>
        <v/>
      </c>
      <c r="O312" s="37" t="str">
        <f t="shared" si="80"/>
        <v/>
      </c>
      <c r="P312" s="37" t="str">
        <f t="shared" si="81"/>
        <v/>
      </c>
      <c r="Q312" s="37" t="str">
        <f t="shared" si="82"/>
        <v/>
      </c>
    </row>
    <row r="313" spans="1:17" ht="15" customHeight="1" x14ac:dyDescent="0.25">
      <c r="A313" s="58">
        <v>293</v>
      </c>
      <c r="B313" s="37">
        <f t="shared" si="67"/>
        <v>292.5</v>
      </c>
      <c r="C313" s="37" t="str">
        <f t="shared" si="68"/>
        <v/>
      </c>
      <c r="D313" s="37" t="str">
        <f t="shared" si="69"/>
        <v/>
      </c>
      <c r="E313" s="37" t="str">
        <f t="shared" si="70"/>
        <v/>
      </c>
      <c r="F313" s="37" t="str">
        <f t="shared" si="71"/>
        <v/>
      </c>
      <c r="G313" s="37" t="str">
        <f t="shared" si="72"/>
        <v/>
      </c>
      <c r="H313" s="37" t="str">
        <f t="shared" si="73"/>
        <v/>
      </c>
      <c r="I313" s="37" t="str">
        <f t="shared" si="74"/>
        <v/>
      </c>
      <c r="J313" s="37" t="str">
        <f t="shared" si="75"/>
        <v/>
      </c>
      <c r="K313" s="37" t="str">
        <f t="shared" si="76"/>
        <v/>
      </c>
      <c r="L313" s="37" t="str">
        <f t="shared" si="77"/>
        <v/>
      </c>
      <c r="M313" s="37" t="str">
        <f t="shared" si="78"/>
        <v/>
      </c>
      <c r="N313" s="37" t="str">
        <f t="shared" si="79"/>
        <v/>
      </c>
      <c r="O313" s="37" t="str">
        <f t="shared" si="80"/>
        <v/>
      </c>
      <c r="P313" s="37" t="str">
        <f t="shared" si="81"/>
        <v/>
      </c>
      <c r="Q313" s="37" t="str">
        <f t="shared" si="82"/>
        <v/>
      </c>
    </row>
    <row r="314" spans="1:17" ht="15" customHeight="1" x14ac:dyDescent="0.25">
      <c r="A314" s="58">
        <v>294</v>
      </c>
      <c r="B314" s="37">
        <f t="shared" si="67"/>
        <v>293.5</v>
      </c>
      <c r="C314" s="37" t="str">
        <f t="shared" si="68"/>
        <v/>
      </c>
      <c r="D314" s="37" t="str">
        <f t="shared" si="69"/>
        <v/>
      </c>
      <c r="E314" s="37" t="str">
        <f t="shared" si="70"/>
        <v/>
      </c>
      <c r="F314" s="37" t="str">
        <f t="shared" si="71"/>
        <v/>
      </c>
      <c r="G314" s="37" t="str">
        <f t="shared" si="72"/>
        <v/>
      </c>
      <c r="H314" s="37" t="str">
        <f t="shared" si="73"/>
        <v/>
      </c>
      <c r="I314" s="37" t="str">
        <f t="shared" si="74"/>
        <v/>
      </c>
      <c r="J314" s="37" t="str">
        <f t="shared" si="75"/>
        <v/>
      </c>
      <c r="K314" s="37" t="str">
        <f t="shared" si="76"/>
        <v/>
      </c>
      <c r="L314" s="37" t="str">
        <f t="shared" si="77"/>
        <v/>
      </c>
      <c r="M314" s="37" t="str">
        <f t="shared" si="78"/>
        <v/>
      </c>
      <c r="N314" s="37" t="str">
        <f t="shared" si="79"/>
        <v/>
      </c>
      <c r="O314" s="37" t="str">
        <f t="shared" si="80"/>
        <v/>
      </c>
      <c r="P314" s="37" t="str">
        <f t="shared" si="81"/>
        <v/>
      </c>
      <c r="Q314" s="37" t="str">
        <f t="shared" si="82"/>
        <v/>
      </c>
    </row>
    <row r="315" spans="1:17" ht="15" customHeight="1" x14ac:dyDescent="0.25">
      <c r="A315" s="58">
        <v>295</v>
      </c>
      <c r="B315" s="37">
        <f t="shared" si="67"/>
        <v>294.5</v>
      </c>
      <c r="C315" s="37" t="str">
        <f t="shared" si="68"/>
        <v/>
      </c>
      <c r="D315" s="37" t="str">
        <f t="shared" si="69"/>
        <v/>
      </c>
      <c r="E315" s="37" t="str">
        <f t="shared" si="70"/>
        <v/>
      </c>
      <c r="F315" s="37" t="str">
        <f t="shared" si="71"/>
        <v/>
      </c>
      <c r="G315" s="37" t="str">
        <f t="shared" si="72"/>
        <v/>
      </c>
      <c r="H315" s="37" t="str">
        <f t="shared" si="73"/>
        <v/>
      </c>
      <c r="I315" s="37" t="str">
        <f t="shared" si="74"/>
        <v/>
      </c>
      <c r="J315" s="37" t="str">
        <f t="shared" si="75"/>
        <v/>
      </c>
      <c r="K315" s="37" t="str">
        <f t="shared" si="76"/>
        <v/>
      </c>
      <c r="L315" s="37" t="str">
        <f t="shared" si="77"/>
        <v/>
      </c>
      <c r="M315" s="37" t="str">
        <f t="shared" si="78"/>
        <v/>
      </c>
      <c r="N315" s="37" t="str">
        <f t="shared" si="79"/>
        <v/>
      </c>
      <c r="O315" s="37" t="str">
        <f t="shared" si="80"/>
        <v/>
      </c>
      <c r="P315" s="37" t="str">
        <f t="shared" si="81"/>
        <v/>
      </c>
      <c r="Q315" s="37" t="str">
        <f t="shared" si="82"/>
        <v/>
      </c>
    </row>
    <row r="316" spans="1:17" ht="15" customHeight="1" x14ac:dyDescent="0.25">
      <c r="A316" s="58">
        <v>296</v>
      </c>
      <c r="B316" s="37">
        <f t="shared" si="67"/>
        <v>295.5</v>
      </c>
      <c r="C316" s="37" t="str">
        <f t="shared" si="68"/>
        <v/>
      </c>
      <c r="D316" s="37" t="str">
        <f t="shared" si="69"/>
        <v/>
      </c>
      <c r="E316" s="37" t="str">
        <f t="shared" si="70"/>
        <v/>
      </c>
      <c r="F316" s="37" t="str">
        <f t="shared" si="71"/>
        <v/>
      </c>
      <c r="G316" s="37" t="str">
        <f t="shared" si="72"/>
        <v/>
      </c>
      <c r="H316" s="37" t="str">
        <f t="shared" si="73"/>
        <v/>
      </c>
      <c r="I316" s="37" t="str">
        <f t="shared" si="74"/>
        <v/>
      </c>
      <c r="J316" s="37" t="str">
        <f t="shared" si="75"/>
        <v/>
      </c>
      <c r="K316" s="37" t="str">
        <f t="shared" si="76"/>
        <v/>
      </c>
      <c r="L316" s="37" t="str">
        <f t="shared" si="77"/>
        <v/>
      </c>
      <c r="M316" s="37" t="str">
        <f t="shared" si="78"/>
        <v/>
      </c>
      <c r="N316" s="37" t="str">
        <f t="shared" si="79"/>
        <v/>
      </c>
      <c r="O316" s="37" t="str">
        <f t="shared" si="80"/>
        <v/>
      </c>
      <c r="P316" s="37" t="str">
        <f t="shared" si="81"/>
        <v/>
      </c>
      <c r="Q316" s="37" t="str">
        <f t="shared" si="82"/>
        <v/>
      </c>
    </row>
    <row r="317" spans="1:17" ht="15" customHeight="1" x14ac:dyDescent="0.25">
      <c r="A317" s="58">
        <v>297</v>
      </c>
      <c r="B317" s="37">
        <f t="shared" si="67"/>
        <v>296.5</v>
      </c>
      <c r="C317" s="37" t="str">
        <f t="shared" si="68"/>
        <v/>
      </c>
      <c r="D317" s="37" t="str">
        <f t="shared" si="69"/>
        <v/>
      </c>
      <c r="E317" s="37" t="str">
        <f t="shared" si="70"/>
        <v/>
      </c>
      <c r="F317" s="37" t="str">
        <f t="shared" si="71"/>
        <v/>
      </c>
      <c r="G317" s="37" t="str">
        <f t="shared" si="72"/>
        <v/>
      </c>
      <c r="H317" s="37" t="str">
        <f t="shared" si="73"/>
        <v/>
      </c>
      <c r="I317" s="37" t="str">
        <f t="shared" si="74"/>
        <v/>
      </c>
      <c r="J317" s="37" t="str">
        <f t="shared" si="75"/>
        <v/>
      </c>
      <c r="K317" s="37" t="str">
        <f t="shared" si="76"/>
        <v/>
      </c>
      <c r="L317" s="37" t="str">
        <f t="shared" si="77"/>
        <v/>
      </c>
      <c r="M317" s="37" t="str">
        <f t="shared" si="78"/>
        <v/>
      </c>
      <c r="N317" s="37" t="str">
        <f t="shared" si="79"/>
        <v/>
      </c>
      <c r="O317" s="37" t="str">
        <f t="shared" si="80"/>
        <v/>
      </c>
      <c r="P317" s="37" t="str">
        <f t="shared" si="81"/>
        <v/>
      </c>
      <c r="Q317" s="37" t="str">
        <f t="shared" si="82"/>
        <v/>
      </c>
    </row>
    <row r="318" spans="1:17" ht="15" customHeight="1" x14ac:dyDescent="0.25">
      <c r="A318" s="58">
        <v>298</v>
      </c>
      <c r="B318" s="37">
        <f t="shared" si="67"/>
        <v>297.5</v>
      </c>
      <c r="C318" s="37" t="str">
        <f t="shared" si="68"/>
        <v/>
      </c>
      <c r="D318" s="37" t="str">
        <f t="shared" si="69"/>
        <v/>
      </c>
      <c r="E318" s="37" t="str">
        <f t="shared" si="70"/>
        <v/>
      </c>
      <c r="F318" s="37" t="str">
        <f t="shared" si="71"/>
        <v/>
      </c>
      <c r="G318" s="37" t="str">
        <f t="shared" si="72"/>
        <v/>
      </c>
      <c r="H318" s="37" t="str">
        <f t="shared" si="73"/>
        <v/>
      </c>
      <c r="I318" s="37" t="str">
        <f t="shared" si="74"/>
        <v/>
      </c>
      <c r="J318" s="37" t="str">
        <f t="shared" si="75"/>
        <v/>
      </c>
      <c r="K318" s="37" t="str">
        <f t="shared" si="76"/>
        <v/>
      </c>
      <c r="L318" s="37" t="str">
        <f t="shared" si="77"/>
        <v/>
      </c>
      <c r="M318" s="37" t="str">
        <f t="shared" si="78"/>
        <v/>
      </c>
      <c r="N318" s="37" t="str">
        <f t="shared" si="79"/>
        <v/>
      </c>
      <c r="O318" s="37" t="str">
        <f t="shared" si="80"/>
        <v/>
      </c>
      <c r="P318" s="37" t="str">
        <f t="shared" si="81"/>
        <v/>
      </c>
      <c r="Q318" s="37" t="str">
        <f t="shared" si="82"/>
        <v/>
      </c>
    </row>
    <row r="319" spans="1:17" ht="15" customHeight="1" x14ac:dyDescent="0.25">
      <c r="A319" s="58">
        <v>299</v>
      </c>
      <c r="B319" s="37">
        <f t="shared" si="67"/>
        <v>298.5</v>
      </c>
      <c r="C319" s="37" t="str">
        <f t="shared" si="68"/>
        <v/>
      </c>
      <c r="D319" s="37" t="str">
        <f t="shared" si="69"/>
        <v/>
      </c>
      <c r="E319" s="37" t="str">
        <f t="shared" si="70"/>
        <v/>
      </c>
      <c r="F319" s="37" t="str">
        <f t="shared" si="71"/>
        <v/>
      </c>
      <c r="G319" s="37" t="str">
        <f t="shared" si="72"/>
        <v/>
      </c>
      <c r="H319" s="37" t="str">
        <f t="shared" si="73"/>
        <v/>
      </c>
      <c r="I319" s="37" t="str">
        <f t="shared" si="74"/>
        <v/>
      </c>
      <c r="J319" s="37" t="str">
        <f t="shared" si="75"/>
        <v/>
      </c>
      <c r="K319" s="37" t="str">
        <f t="shared" si="76"/>
        <v/>
      </c>
      <c r="L319" s="37" t="str">
        <f t="shared" si="77"/>
        <v/>
      </c>
      <c r="M319" s="37" t="str">
        <f t="shared" si="78"/>
        <v/>
      </c>
      <c r="N319" s="37" t="str">
        <f t="shared" si="79"/>
        <v/>
      </c>
      <c r="O319" s="37" t="str">
        <f t="shared" si="80"/>
        <v/>
      </c>
      <c r="P319" s="37" t="str">
        <f t="shared" si="81"/>
        <v/>
      </c>
      <c r="Q319" s="37" t="str">
        <f t="shared" si="82"/>
        <v/>
      </c>
    </row>
    <row r="320" spans="1:17" ht="15" customHeight="1" x14ac:dyDescent="0.25">
      <c r="A320" s="58">
        <v>300</v>
      </c>
      <c r="B320" s="37">
        <f t="shared" si="67"/>
        <v>299.5</v>
      </c>
      <c r="C320" s="37" t="str">
        <f t="shared" si="68"/>
        <v/>
      </c>
      <c r="D320" s="37" t="str">
        <f t="shared" si="69"/>
        <v/>
      </c>
      <c r="E320" s="37" t="str">
        <f t="shared" si="70"/>
        <v/>
      </c>
      <c r="F320" s="37" t="str">
        <f t="shared" si="71"/>
        <v/>
      </c>
      <c r="G320" s="37" t="str">
        <f t="shared" si="72"/>
        <v/>
      </c>
      <c r="H320" s="37" t="str">
        <f t="shared" si="73"/>
        <v/>
      </c>
      <c r="I320" s="37" t="str">
        <f t="shared" si="74"/>
        <v/>
      </c>
      <c r="J320" s="37" t="str">
        <f t="shared" si="75"/>
        <v/>
      </c>
      <c r="K320" s="37" t="str">
        <f t="shared" si="76"/>
        <v/>
      </c>
      <c r="L320" s="37" t="str">
        <f t="shared" si="77"/>
        <v/>
      </c>
      <c r="M320" s="37" t="str">
        <f t="shared" si="78"/>
        <v/>
      </c>
      <c r="N320" s="37" t="str">
        <f t="shared" si="79"/>
        <v/>
      </c>
      <c r="O320" s="37" t="str">
        <f t="shared" si="80"/>
        <v/>
      </c>
      <c r="P320" s="37" t="str">
        <f t="shared" si="81"/>
        <v/>
      </c>
      <c r="Q320" s="37" t="str">
        <f t="shared" si="82"/>
        <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2"/>
  <sheetViews>
    <sheetView zoomScaleNormal="100" workbookViewId="0"/>
  </sheetViews>
  <sheetFormatPr defaultColWidth="8.7109375" defaultRowHeight="15" x14ac:dyDescent="0.25"/>
  <cols>
    <col min="1" max="1" width="34" customWidth="1"/>
    <col min="2" max="13" width="14" customWidth="1"/>
    <col min="14" max="14" width="26" customWidth="1"/>
  </cols>
  <sheetData>
    <row r="1" spans="1:14" ht="18" customHeight="1" x14ac:dyDescent="0.3">
      <c r="A1" s="3" t="s">
        <v>300</v>
      </c>
    </row>
    <row r="2" spans="1:14" ht="15" customHeight="1" x14ac:dyDescent="0.25">
      <c r="A2" s="8" t="s">
        <v>301</v>
      </c>
    </row>
    <row r="4" spans="1:14" ht="55.5" customHeight="1" x14ac:dyDescent="0.25">
      <c r="A4" s="5" t="s">
        <v>302</v>
      </c>
      <c r="B4" s="5" t="s">
        <v>303</v>
      </c>
      <c r="C4" s="5" t="s">
        <v>304</v>
      </c>
      <c r="D4" s="5" t="s">
        <v>305</v>
      </c>
      <c r="E4" s="5" t="s">
        <v>306</v>
      </c>
      <c r="F4" s="5" t="s">
        <v>307</v>
      </c>
      <c r="G4" s="5" t="s">
        <v>308</v>
      </c>
      <c r="H4" s="5" t="s">
        <v>309</v>
      </c>
      <c r="I4" s="5" t="s">
        <v>310</v>
      </c>
      <c r="J4" s="5" t="s">
        <v>311</v>
      </c>
      <c r="K4" s="5" t="s">
        <v>312</v>
      </c>
      <c r="L4" s="5" t="s">
        <v>313</v>
      </c>
      <c r="M4" s="5" t="s">
        <v>314</v>
      </c>
      <c r="N4" s="5" t="s">
        <v>315</v>
      </c>
    </row>
    <row r="5" spans="1:14" ht="15" customHeight="1" x14ac:dyDescent="0.25">
      <c r="A5" s="62" t="s">
        <v>316</v>
      </c>
      <c r="B5" s="63">
        <v>4.5</v>
      </c>
      <c r="C5" s="63">
        <v>40.5</v>
      </c>
      <c r="D5" s="63">
        <v>2</v>
      </c>
      <c r="E5" s="63">
        <v>40</v>
      </c>
      <c r="F5" s="63">
        <v>7.28</v>
      </c>
      <c r="G5" s="63">
        <v>33.9</v>
      </c>
      <c r="H5" s="63">
        <v>72120</v>
      </c>
      <c r="I5" s="63">
        <v>40</v>
      </c>
      <c r="J5" s="63">
        <v>7.33</v>
      </c>
      <c r="K5" s="63">
        <v>33.799999999999997</v>
      </c>
      <c r="L5" s="63">
        <v>72120</v>
      </c>
      <c r="M5" s="63">
        <v>-0.1</v>
      </c>
      <c r="N5" s="63" t="s">
        <v>317</v>
      </c>
    </row>
    <row r="6" spans="1:14" ht="15" customHeight="1" x14ac:dyDescent="0.25">
      <c r="A6" s="62" t="s">
        <v>318</v>
      </c>
      <c r="B6" s="63">
        <v>20.2</v>
      </c>
      <c r="C6" s="63">
        <v>24.8</v>
      </c>
      <c r="D6" s="63">
        <v>2</v>
      </c>
      <c r="E6" s="63">
        <v>34.1</v>
      </c>
      <c r="F6" s="63">
        <v>7.26</v>
      </c>
      <c r="G6" s="63">
        <v>26.1</v>
      </c>
      <c r="H6" s="63">
        <v>62520</v>
      </c>
      <c r="I6" s="63">
        <v>31.9</v>
      </c>
      <c r="J6" s="63">
        <v>8.2899999999999991</v>
      </c>
      <c r="K6" s="63">
        <v>20.5</v>
      </c>
      <c r="L6" s="63">
        <v>50520</v>
      </c>
      <c r="M6" s="63">
        <v>-6.3</v>
      </c>
      <c r="N6" s="63" t="s">
        <v>319</v>
      </c>
    </row>
    <row r="7" spans="1:14" ht="15" customHeight="1" x14ac:dyDescent="0.25">
      <c r="A7" s="62" t="s">
        <v>320</v>
      </c>
      <c r="B7" s="63">
        <v>3.6</v>
      </c>
      <c r="C7" s="63">
        <v>7.2</v>
      </c>
      <c r="D7" s="63">
        <v>2</v>
      </c>
      <c r="E7" s="63">
        <v>38.1</v>
      </c>
      <c r="F7" s="63">
        <v>7.71</v>
      </c>
      <c r="G7" s="63">
        <v>30.3</v>
      </c>
      <c r="H7" s="63">
        <v>71040</v>
      </c>
      <c r="I7" s="63">
        <v>37.1</v>
      </c>
      <c r="J7" s="63">
        <v>8.2899999999999991</v>
      </c>
      <c r="K7" s="63">
        <v>27.4</v>
      </c>
      <c r="L7" s="63">
        <v>64431</v>
      </c>
      <c r="M7" s="63">
        <v>-2.6</v>
      </c>
      <c r="N7" s="63" t="s">
        <v>321</v>
      </c>
    </row>
    <row r="8" spans="1:14" ht="15" customHeight="1" x14ac:dyDescent="0.25">
      <c r="A8" s="62" t="s">
        <v>322</v>
      </c>
      <c r="B8" s="63">
        <v>22.5</v>
      </c>
      <c r="C8" s="63">
        <v>40.5</v>
      </c>
      <c r="D8" s="63">
        <v>2</v>
      </c>
      <c r="E8" s="63">
        <v>37.299999999999997</v>
      </c>
      <c r="F8" s="63">
        <v>7.42</v>
      </c>
      <c r="G8" s="63">
        <v>29.9</v>
      </c>
      <c r="H8" s="63">
        <v>67320</v>
      </c>
      <c r="I8" s="63">
        <v>36.299999999999997</v>
      </c>
      <c r="J8" s="63">
        <v>8.33</v>
      </c>
      <c r="K8" s="63">
        <v>26.2</v>
      </c>
      <c r="L8" s="63">
        <v>58039</v>
      </c>
      <c r="M8" s="63">
        <v>-2.6</v>
      </c>
      <c r="N8" s="63" t="s">
        <v>323</v>
      </c>
    </row>
    <row r="9" spans="1:14" ht="15" customHeight="1" x14ac:dyDescent="0.25">
      <c r="A9" s="62" t="s">
        <v>324</v>
      </c>
      <c r="B9" s="63">
        <v>2.2000000000000002</v>
      </c>
      <c r="C9" s="63">
        <v>2.2000000000000002</v>
      </c>
      <c r="D9" s="63">
        <v>2</v>
      </c>
      <c r="E9" s="63">
        <v>40.799999999999997</v>
      </c>
      <c r="F9" s="63">
        <v>7.71</v>
      </c>
      <c r="G9" s="63">
        <v>33.799999999999997</v>
      </c>
      <c r="H9" s="63">
        <v>74820</v>
      </c>
      <c r="I9" s="63">
        <v>39.799999999999997</v>
      </c>
      <c r="J9" s="63">
        <v>8.33</v>
      </c>
      <c r="K9" s="63">
        <v>30.8</v>
      </c>
      <c r="L9" s="63">
        <v>68211</v>
      </c>
      <c r="M9" s="63">
        <v>-2.5</v>
      </c>
      <c r="N9" s="63" t="s">
        <v>325</v>
      </c>
    </row>
    <row r="12" spans="1:14" ht="15" customHeight="1" x14ac:dyDescent="0.25">
      <c r="A12" s="8" t="s">
        <v>326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6"/>
  <sheetViews>
    <sheetView showGridLines="0" zoomScaleNormal="100" workbookViewId="0"/>
  </sheetViews>
  <sheetFormatPr defaultColWidth="8.7109375" defaultRowHeight="15" x14ac:dyDescent="0.25"/>
  <cols>
    <col min="1" max="1" width="42" customWidth="1"/>
    <col min="2" max="12" width="15" customWidth="1"/>
  </cols>
  <sheetData>
    <row r="1" spans="1:12" ht="18" customHeight="1" x14ac:dyDescent="0.3">
      <c r="A1" s="3" t="s">
        <v>327</v>
      </c>
    </row>
    <row r="2" spans="1:12" ht="15" customHeight="1" x14ac:dyDescent="0.25">
      <c r="A2" s="8" t="s">
        <v>328</v>
      </c>
    </row>
    <row r="4" spans="1:12" ht="55.5" customHeight="1" x14ac:dyDescent="0.25">
      <c r="A4" s="5" t="s">
        <v>329</v>
      </c>
      <c r="B4" s="5" t="s">
        <v>330</v>
      </c>
      <c r="C4" s="5" t="s">
        <v>331</v>
      </c>
      <c r="D4" s="5" t="s">
        <v>332</v>
      </c>
      <c r="E4" s="5" t="s">
        <v>333</v>
      </c>
      <c r="F4" s="5" t="s">
        <v>334</v>
      </c>
      <c r="G4" s="5" t="s">
        <v>335</v>
      </c>
      <c r="H4" s="5" t="s">
        <v>336</v>
      </c>
      <c r="I4" s="5" t="s">
        <v>337</v>
      </c>
      <c r="J4" s="5" t="s">
        <v>338</v>
      </c>
      <c r="K4" s="5" t="s">
        <v>339</v>
      </c>
      <c r="L4" s="5" t="s">
        <v>340</v>
      </c>
    </row>
    <row r="5" spans="1:12" ht="15" customHeight="1" x14ac:dyDescent="0.25">
      <c r="A5" s="62" t="s">
        <v>341</v>
      </c>
      <c r="B5" s="64">
        <v>87.8</v>
      </c>
      <c r="C5" s="64">
        <v>94.5</v>
      </c>
      <c r="D5" s="64">
        <v>37.6</v>
      </c>
      <c r="E5" s="64">
        <v>45.5</v>
      </c>
      <c r="F5" s="64">
        <v>48.8</v>
      </c>
      <c r="G5" s="64">
        <v>61.8</v>
      </c>
      <c r="H5" s="65">
        <v>127</v>
      </c>
      <c r="I5" s="65">
        <v>140</v>
      </c>
      <c r="J5" s="65">
        <v>262</v>
      </c>
      <c r="K5" s="65">
        <v>266</v>
      </c>
      <c r="L5" s="64">
        <v>3.3</v>
      </c>
    </row>
    <row r="6" spans="1:12" ht="15" customHeight="1" x14ac:dyDescent="0.25">
      <c r="A6" s="62" t="s">
        <v>342</v>
      </c>
      <c r="B6" s="64">
        <v>87.8</v>
      </c>
      <c r="C6" s="64">
        <v>94.7</v>
      </c>
      <c r="D6" s="64">
        <v>65.7</v>
      </c>
      <c r="E6" s="64">
        <v>67.900000000000006</v>
      </c>
      <c r="F6" s="64">
        <v>30.5</v>
      </c>
      <c r="G6" s="64">
        <v>50.3</v>
      </c>
      <c r="H6" s="65">
        <v>203</v>
      </c>
      <c r="I6" s="65">
        <v>211</v>
      </c>
      <c r="J6" s="65">
        <v>482</v>
      </c>
      <c r="K6" s="65">
        <v>480</v>
      </c>
      <c r="L6" s="64">
        <v>0</v>
      </c>
    </row>
    <row r="7" spans="1:12" ht="15" customHeight="1" x14ac:dyDescent="0.25">
      <c r="A7" s="62" t="s">
        <v>343</v>
      </c>
      <c r="B7" s="64">
        <v>87.8</v>
      </c>
      <c r="C7" s="64">
        <v>94.5</v>
      </c>
      <c r="D7" s="64">
        <v>47</v>
      </c>
      <c r="E7" s="64">
        <v>56</v>
      </c>
      <c r="F7" s="64">
        <v>61</v>
      </c>
      <c r="G7" s="64">
        <v>79.900000000000006</v>
      </c>
      <c r="H7" s="65">
        <v>165</v>
      </c>
      <c r="I7" s="65">
        <v>179</v>
      </c>
      <c r="J7" s="65">
        <v>391</v>
      </c>
      <c r="K7" s="65">
        <v>412</v>
      </c>
      <c r="L7" s="64">
        <v>4.0999999999999996</v>
      </c>
    </row>
    <row r="8" spans="1:12" ht="15" customHeight="1" x14ac:dyDescent="0.25">
      <c r="A8" s="62" t="s">
        <v>344</v>
      </c>
      <c r="B8" s="64">
        <v>85.4</v>
      </c>
      <c r="C8" s="64">
        <v>93.7</v>
      </c>
      <c r="D8" s="64">
        <v>25.1</v>
      </c>
      <c r="E8" s="64">
        <v>30.6</v>
      </c>
      <c r="F8" s="64">
        <v>47.4</v>
      </c>
      <c r="G8" s="64">
        <v>57.8</v>
      </c>
      <c r="H8" s="65">
        <v>115</v>
      </c>
      <c r="I8" s="65">
        <v>130</v>
      </c>
      <c r="J8" s="65">
        <v>222</v>
      </c>
      <c r="K8" s="65">
        <v>241</v>
      </c>
      <c r="L8" s="64">
        <v>3.3</v>
      </c>
    </row>
    <row r="9" spans="1:12" ht="15" customHeight="1" x14ac:dyDescent="0.25">
      <c r="A9" s="62" t="s">
        <v>345</v>
      </c>
      <c r="B9" s="64">
        <v>87.8</v>
      </c>
      <c r="C9" s="64">
        <v>98.5</v>
      </c>
      <c r="D9" s="64">
        <v>75.2</v>
      </c>
      <c r="E9" s="64">
        <v>86.6</v>
      </c>
      <c r="F9" s="64">
        <v>48.8</v>
      </c>
      <c r="G9" s="64">
        <v>83.2</v>
      </c>
      <c r="H9" s="65">
        <v>252</v>
      </c>
      <c r="I9" s="65">
        <v>266</v>
      </c>
      <c r="J9" s="65">
        <v>857</v>
      </c>
      <c r="K9" s="65">
        <v>866</v>
      </c>
      <c r="L9" s="64">
        <v>3.3</v>
      </c>
    </row>
    <row r="10" spans="1:12" ht="15" customHeight="1" x14ac:dyDescent="0.25">
      <c r="A10" s="62" t="s">
        <v>346</v>
      </c>
      <c r="B10" s="64">
        <v>87.8</v>
      </c>
      <c r="C10" s="64">
        <v>83.8</v>
      </c>
      <c r="D10" s="64">
        <v>22.6</v>
      </c>
      <c r="E10" s="64">
        <v>31.4</v>
      </c>
      <c r="F10" s="64">
        <v>48.8</v>
      </c>
      <c r="G10" s="64">
        <v>52.5</v>
      </c>
      <c r="H10" s="65">
        <v>98</v>
      </c>
      <c r="I10" s="65">
        <v>112</v>
      </c>
      <c r="J10" s="65">
        <v>187</v>
      </c>
      <c r="K10" s="65">
        <v>197</v>
      </c>
      <c r="L10" s="64">
        <v>3.3</v>
      </c>
    </row>
    <row r="11" spans="1:12" ht="15" customHeight="1" x14ac:dyDescent="0.25">
      <c r="A11" s="62"/>
      <c r="B11" s="64"/>
      <c r="C11" s="64"/>
      <c r="D11" s="64"/>
      <c r="E11" s="64"/>
      <c r="F11" s="64"/>
      <c r="G11" s="64"/>
      <c r="H11" s="65"/>
      <c r="I11" s="65"/>
      <c r="J11" s="65"/>
      <c r="K11" s="65"/>
      <c r="L11" s="64"/>
    </row>
    <row r="12" spans="1:12" ht="15" customHeight="1" x14ac:dyDescent="0.25">
      <c r="A12" s="28" t="s">
        <v>347</v>
      </c>
    </row>
    <row r="13" spans="1:12" ht="15" customHeight="1" x14ac:dyDescent="0.25">
      <c r="A13" s="8" t="s">
        <v>348</v>
      </c>
    </row>
    <row r="14" spans="1:12" ht="15" customHeight="1" x14ac:dyDescent="0.25">
      <c r="A14" s="8" t="s">
        <v>349</v>
      </c>
    </row>
    <row r="15" spans="1:12" ht="15" customHeight="1" x14ac:dyDescent="0.25">
      <c r="A15" s="8" t="s">
        <v>350</v>
      </c>
    </row>
    <row r="16" spans="1:12" ht="15" customHeight="1" x14ac:dyDescent="0.25">
      <c r="A16" s="8" t="s">
        <v>351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93</vt:i4>
      </vt:variant>
    </vt:vector>
  </HeadingPairs>
  <TitlesOfParts>
    <vt:vector size="102" baseType="lpstr">
      <vt:lpstr>Dashboard</vt:lpstr>
      <vt:lpstr>Equipment</vt:lpstr>
      <vt:lpstr>README</vt:lpstr>
      <vt:lpstr>Optimizer</vt:lpstr>
      <vt:lpstr>Tier_calc</vt:lpstr>
      <vt:lpstr>Chart_data</vt:lpstr>
      <vt:lpstr>Bay_position</vt:lpstr>
      <vt:lpstr>Lift_location_study</vt:lpstr>
      <vt:lpstr>DES_validation</vt:lpstr>
      <vt:lpstr>a_lift</vt:lpstr>
      <vt:lpstr>a_sh</vt:lpstr>
      <vt:lpstr>aisle_w</vt:lpstr>
      <vt:lpstr>bay_dy</vt:lpstr>
      <vt:lpstr>bay_in_x</vt:lpstr>
      <vt:lpstr>bay_out_x</vt:lpstr>
      <vt:lpstr>best_i</vt:lpstr>
      <vt:lpstr>best_NT</vt:lpstr>
      <vt:lpstr>best_T</vt:lpstr>
      <vt:lpstr>c_conv</vt:lpstr>
      <vt:lpstr>c_lift</vt:lpstr>
      <vt:lpstr>c_m2</vt:lpstr>
      <vt:lpstr>c_m3</vt:lpstr>
      <vt:lpstr>c_pos</vt:lpstr>
      <vt:lpstr>c_shut</vt:lpstr>
      <vt:lpstr>cap_req</vt:lpstr>
      <vt:lpstr>D_b</vt:lpstr>
      <vt:lpstr>dist_mode</vt:lpstr>
      <vt:lpstr>dy_b</vt:lpstr>
      <vt:lpstr>env_use</vt:lpstr>
      <vt:lpstr>f_hc</vt:lpstr>
      <vt:lpstr>fill</vt:lpstr>
      <vt:lpstr>H_max</vt:lpstr>
      <vt:lpstr>headroom</vt:lpstr>
      <vt:lpstr>hours_in</vt:lpstr>
      <vt:lpstr>hours_out</vt:lpstr>
      <vt:lpstr>L_b</vt:lpstr>
      <vt:lpstr>L_bldg</vt:lpstr>
      <vt:lpstr>lam_in</vt:lpstr>
      <vt:lpstr>lam_out</vt:lpstr>
      <vt:lpstr>lam_total</vt:lpstr>
      <vt:lpstr>lane_off</vt:lpstr>
      <vt:lpstr>lane_policy</vt:lpstr>
      <vt:lpstr>lift_iface</vt:lpstr>
      <vt:lpstr>lift_layout</vt:lpstr>
      <vt:lpstr>lift_x1</vt:lpstr>
      <vt:lpstr>lift_x2</vt:lpstr>
      <vt:lpstr>lift_x3</vt:lpstr>
      <vt:lpstr>lift_x4</vt:lpstr>
      <vt:lpstr>lift_x5</vt:lpstr>
      <vt:lpstr>lift_x6</vt:lpstr>
      <vt:lpstr>lpl</vt:lpstr>
      <vt:lpstr>m_pallet</vt:lpstr>
      <vt:lpstr>min_sh</vt:lpstr>
      <vt:lpstr>moves_day</vt:lpstr>
      <vt:lpstr>n_b</vt:lpstr>
      <vt:lpstr>n_feas</vt:lpstr>
      <vt:lpstr>nA</vt:lpstr>
      <vt:lpstr>nB</vt:lpstr>
      <vt:lpstr>NC_man</vt:lpstr>
      <vt:lpstr>NL_b</vt:lpstr>
      <vt:lpstr>NT_man</vt:lpstr>
      <vt:lpstr>obj_mode</vt:lpstr>
      <vt:lpstr>P_req</vt:lpstr>
      <vt:lpstr>peak_factor</vt:lpstr>
      <vt:lpstr>pos_rng</vt:lpstr>
      <vt:lpstr>redund</vt:lpstr>
      <vt:lpstr>rho_fail</vt:lpstr>
      <vt:lpstr>rho_max</vt:lpstr>
      <vt:lpstr>shareA</vt:lpstr>
      <vt:lpstr>shareB</vt:lpstr>
      <vt:lpstr>shareC</vt:lpstr>
      <vt:lpstr>sku_pal</vt:lpstr>
      <vt:lpstr>spares</vt:lpstr>
      <vt:lpstr>sum_cc</vt:lpstr>
      <vt:lpstr>sum_ct</vt:lpstr>
      <vt:lpstr>sum_cv</vt:lpstr>
      <vt:lpstr>sum_cyc</vt:lpstr>
      <vt:lpstr>sum_cyc0</vt:lpstr>
      <vt:lpstr>sum_J</vt:lpstr>
      <vt:lpstr>sum_ta</vt:lpstr>
      <vt:lpstr>sum_trunk</vt:lpstr>
      <vt:lpstr>t_ch</vt:lpstr>
      <vt:lpstr>t_I</vt:lpstr>
      <vt:lpstr>t_lift_sh</vt:lpstr>
      <vt:lpstr>t_pos</vt:lpstr>
      <vt:lpstr>t_sh</vt:lpstr>
      <vt:lpstr>t_turn</vt:lpstr>
      <vt:lpstr>Tc_idx</vt:lpstr>
      <vt:lpstr>Tc_mh</vt:lpstr>
      <vt:lpstr>Tc_P</vt:lpstr>
      <vt:lpstr>Tc_pl</vt:lpstr>
      <vt:lpstr>Tc_S</vt:lpstr>
      <vt:lpstr>u_d</vt:lpstr>
      <vt:lpstr>u_h</vt:lpstr>
      <vt:lpstr>u_w</vt:lpstr>
      <vt:lpstr>v_conv</vt:lpstr>
      <vt:lpstr>v_lift</vt:lpstr>
      <vt:lpstr>v_sh</vt:lpstr>
      <vt:lpstr>W_bldg</vt:lpstr>
      <vt:lpstr>w_conv</vt:lpstr>
      <vt:lpstr>x_rng</vt:lpstr>
      <vt:lpstr>x0_b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Matteo Piras</cp:lastModifiedBy>
  <cp:revision>6</cp:revision>
  <dcterms:created xsi:type="dcterms:W3CDTF">2026-10-26T14:54:43Z</dcterms:created>
  <dcterms:modified xsi:type="dcterms:W3CDTF">2026-10-27T12:59:17Z</dcterms:modified>
  <dc:language>en-US</dc:language>
</cp:coreProperties>
</file>