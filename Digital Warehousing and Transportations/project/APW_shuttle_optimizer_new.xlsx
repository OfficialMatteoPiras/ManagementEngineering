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Equipment" sheetId="2" state="visible" r:id="rId4"/>
    <sheet name="README" sheetId="3" state="visible" r:id="rId5"/>
    <sheet name="Optimizer" sheetId="4" state="visible" r:id="rId6"/>
    <sheet name="Tier_calc" sheetId="5" state="visible" r:id="rId7"/>
    <sheet name="Chart_data" sheetId="6" state="visible" r:id="rId8"/>
    <sheet name="Bay_position" sheetId="7" state="visible" r:id="rId9"/>
    <sheet name="Lift_location_study" sheetId="8" state="visible" r:id="rId10"/>
    <sheet name="DES_validation" sheetId="9" state="visible" r:id="rId11"/>
  </sheets>
  <definedNames>
    <definedName function="false" hidden="false" name="aisle_w" vbProcedure="false">Dashboard!$B$30</definedName>
    <definedName function="false" hidden="false" name="a_lift" vbProcedure="false">Equipment!$B$9</definedName>
    <definedName function="false" hidden="false" name="a_sh" vbProcedure="false">Equipment!$B$5</definedName>
    <definedName function="false" hidden="false" name="bay_dy" vbProcedure="false">Dashboard!$B$56</definedName>
    <definedName function="false" hidden="false" name="bay_in_x" vbProcedure="false">Dashboard!$B$54</definedName>
    <definedName function="false" hidden="false" name="bay_out_x" vbProcedure="false">Dashboard!$B$55</definedName>
    <definedName function="false" hidden="false" name="best_i" vbProcedure="false">Optimizer!$D$4</definedName>
    <definedName function="false" hidden="false" name="best_NT" vbProcedure="false">Chart_data!$B$3</definedName>
    <definedName function="false" hidden="false" name="best_T" vbProcedure="false">Chart_data!$B$4</definedName>
    <definedName function="false" hidden="false" name="cap_req" vbProcedure="false">Dashboard!$B$6</definedName>
    <definedName function="false" hidden="false" name="c_conv" vbProcedure="false">Dashboard!$B$58</definedName>
    <definedName function="false" hidden="false" name="c_lift" vbProcedure="false">Dashboard!$B$43</definedName>
    <definedName function="false" hidden="false" name="c_m2" vbProcedure="false">Dashboard!$B$46</definedName>
    <definedName function="false" hidden="false" name="c_m3" vbProcedure="false">Dashboard!$B$47</definedName>
    <definedName function="false" hidden="false" name="c_pos" vbProcedure="false">Dashboard!$B$45</definedName>
    <definedName function="false" hidden="false" name="c_shut" vbProcedure="false">Dashboard!$B$44</definedName>
    <definedName function="false" hidden="false" name="dist_mode" vbProcedure="false">Dashboard!$B$20</definedName>
    <definedName function="false" hidden="false" name="dy_b" vbProcedure="false">Bay_position!$B$9</definedName>
    <definedName function="false" hidden="false" name="D_b" vbProcedure="false">Bay_position!$B$7</definedName>
    <definedName function="false" hidden="false" name="env_use" vbProcedure="false">Dashboard!$B$15</definedName>
    <definedName function="false" hidden="false" name="fill" vbProcedure="false">Dashboard!$B$35</definedName>
    <definedName function="false" hidden="false" name="f_hc" vbProcedure="false">Dashboard!$B$33</definedName>
    <definedName function="false" hidden="false" name="headroom" vbProcedure="false">Dashboard!$B$32</definedName>
    <definedName function="false" hidden="false" name="hours_in" vbProcedure="false">Dashboard!$B$10</definedName>
    <definedName function="false" hidden="false" name="hours_out" vbProcedure="false">Dashboard!$B$11</definedName>
    <definedName function="false" hidden="false" name="H_max" vbProcedure="false">Dashboard!$B$14</definedName>
    <definedName function="false" hidden="false" name="lam_in" vbProcedure="false">Dashboard!$B$8</definedName>
    <definedName function="false" hidden="false" name="lam_out" vbProcedure="false">Dashboard!$B$9</definedName>
    <definedName function="false" hidden="false" name="lam_total" vbProcedure="false">Equipment!$B$19</definedName>
    <definedName function="false" hidden="false" name="lane_off" vbProcedure="false">Dashboard!$B$31</definedName>
    <definedName function="false" hidden="false" name="lane_policy" vbProcedure="false">Dashboard!$B$19</definedName>
    <definedName function="false" hidden="false" name="lift_iface" vbProcedure="false">Equipment!$B$13</definedName>
    <definedName function="false" hidden="false" name="lift_layout" vbProcedure="false">Dashboard!$B$60</definedName>
    <definedName function="false" hidden="false" name="lift_x1" vbProcedure="false">Dashboard!$B$61</definedName>
    <definedName function="false" hidden="false" name="lift_x2" vbProcedure="false">Dashboard!$B$62</definedName>
    <definedName function="false" hidden="false" name="lift_x3" vbProcedure="false">Dashboard!$B$63</definedName>
    <definedName function="false" hidden="false" name="lift_x4" vbProcedure="false">Dashboard!$B$64</definedName>
    <definedName function="false" hidden="false" name="lift_x5" vbProcedure="false">Dashboard!$B$65</definedName>
    <definedName function="false" hidden="false" name="lift_x6" vbProcedure="false">Dashboard!$B$66</definedName>
    <definedName function="false" hidden="false" name="lpl" vbProcedure="false">Dashboard!$B$34</definedName>
    <definedName function="false" hidden="false" name="L_b" vbProcedure="false">Bay_position!$B$6</definedName>
    <definedName function="false" hidden="false" name="L_bldg" vbProcedure="false">Dashboard!$B$16</definedName>
    <definedName function="false" hidden="false" name="min_sh" vbProcedure="false">Dashboard!$B$40</definedName>
    <definedName function="false" hidden="false" name="moves_day" vbProcedure="false">Equipment!$B$20</definedName>
    <definedName function="false" hidden="false" name="m_pallet" vbProcedure="false">Dashboard!$B$50</definedName>
    <definedName function="false" hidden="false" name="nA" vbProcedure="false">Dashboard!$B$21</definedName>
    <definedName function="false" hidden="false" name="nB" vbProcedure="false">Dashboard!$B$22</definedName>
    <definedName function="false" hidden="false" name="NC_man" vbProcedure="false">Dashboard!$B$51</definedName>
    <definedName function="false" hidden="false" name="NL_b" vbProcedure="false">Bay_position!$B$4</definedName>
    <definedName function="false" hidden="false" name="NT_man" vbProcedure="false">Dashboard!$B$52</definedName>
    <definedName function="false" hidden="false" name="n_b" vbProcedure="false">Bay_position!$B$5</definedName>
    <definedName function="false" hidden="false" name="n_feas" vbProcedure="false">Optimizer!$F$4</definedName>
    <definedName function="false" hidden="false" name="obj_mode" vbProcedure="false">Dashboard!$B$49</definedName>
    <definedName function="false" hidden="false" name="peak_factor" vbProcedure="false">Dashboard!$B$12</definedName>
    <definedName function="false" hidden="false" name="pos_rng" vbProcedure="false">Bay_position!$B$12:$B$17</definedName>
    <definedName function="false" hidden="false" name="P_req" vbProcedure="false">Equipment!$B$21</definedName>
    <definedName function="false" hidden="false" name="redund" vbProcedure="false">Dashboard!$B$39</definedName>
    <definedName function="false" hidden="false" name="rho_fail" vbProcedure="false">Dashboard!$B$38</definedName>
    <definedName function="false" hidden="false" name="rho_max" vbProcedure="false">Dashboard!$B$37</definedName>
    <definedName function="false" hidden="false" name="shareA" vbProcedure="false">Dashboard!$B$23</definedName>
    <definedName function="false" hidden="false" name="shareB" vbProcedure="false">Dashboard!$B$24</definedName>
    <definedName function="false" hidden="false" name="shareC" vbProcedure="false">Dashboard!$B$25</definedName>
    <definedName function="false" hidden="false" name="sku_pal" vbProcedure="false">Dashboard!$B$7</definedName>
    <definedName function="false" hidden="false" name="spares" vbProcedure="false">Dashboard!$B$41</definedName>
    <definedName function="false" hidden="false" name="sum_cc" vbProcedure="false">Bay_position!$J$10</definedName>
    <definedName function="false" hidden="false" name="sum_ct" vbProcedure="false">Bay_position!$J$8</definedName>
    <definedName function="false" hidden="false" name="sum_cv" vbProcedure="false">Bay_position!$J$7</definedName>
    <definedName function="false" hidden="false" name="sum_cyc" vbProcedure="false">Bay_position!$J$11</definedName>
    <definedName function="false" hidden="false" name="sum_cyc0" vbProcedure="false">Bay_position!$J$12</definedName>
    <definedName function="false" hidden="false" name="sum_J" vbProcedure="false">Bay_position!$J$5</definedName>
    <definedName function="false" hidden="false" name="sum_ta" vbProcedure="false">Bay_position!$J$6</definedName>
    <definedName function="false" hidden="false" name="sum_trunk" vbProcedure="false">Bay_position!$J$9</definedName>
    <definedName function="false" hidden="false" name="Tc_idx" vbProcedure="false">Tier_calc!$C$4:$V$4</definedName>
    <definedName function="false" hidden="false" name="Tc_mh" vbProcedure="false">Tier_calc!$AB$10:$AB$29</definedName>
    <definedName function="false" hidden="false" name="Tc_P" vbProcedure="false">Tier_calc!$C$33:$V$52</definedName>
    <definedName function="false" hidden="false" name="Tc_pl" vbProcedure="false">Tier_calc!$Z$10:$Z$29</definedName>
    <definedName function="false" hidden="false" name="Tc_S" vbProcedure="false">Tier_calc!$AA$10:$AA$29</definedName>
    <definedName function="false" hidden="false" name="t_ch" vbProcedure="false">Equipment!$B$11</definedName>
    <definedName function="false" hidden="false" name="t_I" vbProcedure="false">Equipment!$B$14</definedName>
    <definedName function="false" hidden="false" name="t_lift_sh" vbProcedure="false">Equipment!$B$12</definedName>
    <definedName function="false" hidden="false" name="t_pos" vbProcedure="false">Equipment!$B$10</definedName>
    <definedName function="false" hidden="false" name="t_sh" vbProcedure="false">Equipment!$B$7</definedName>
    <definedName function="false" hidden="false" name="t_turn" vbProcedure="false">Equipment!$B$6</definedName>
    <definedName function="false" hidden="false" name="u_d" vbProcedure="false">Dashboard!$B$28</definedName>
    <definedName function="false" hidden="false" name="u_h" vbProcedure="false">Dashboard!$B$29</definedName>
    <definedName function="false" hidden="false" name="u_w" vbProcedure="false">Dashboard!$B$27</definedName>
    <definedName function="false" hidden="false" name="v_conv" vbProcedure="false">Dashboard!$B$57</definedName>
    <definedName function="false" hidden="false" name="v_lift" vbProcedure="false">Equipment!$B$8</definedName>
    <definedName function="false" hidden="false" name="v_sh" vbProcedure="false">Equipment!$B$4</definedName>
    <definedName function="false" hidden="false" name="W_bldg" vbProcedure="false">Dashboard!$B$17</definedName>
    <definedName function="false" hidden="false" name="w_conv" vbProcedure="false">Dashboard!$B$59</definedName>
    <definedName function="false" hidden="false" name="x0_b" vbProcedure="false">Bay_position!$B$8</definedName>
    <definedName function="false" hidden="false" name="x_rng" vbProcedure="false">Bay_position!$C$12:$C$17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<sst xmlns="http://schemas.openxmlformats.org/spreadsheetml/2006/main" count="422" uniqueCount="347">
  <si>
    <t xml:space="preserve">APW 2026/27 – Parametric six-way shuttle warehouse: optimizer dashboard</t>
  </si>
  <si>
    <t xml:space="preserve">Only the lift and shuttle data are fixed (sheet 'Equipment'). Change any blue cell: the optimizer re-derives lifts, lanes, shuttles and cost for every combination of lane depth N_C × tiers N_T and picks the best one.</t>
  </si>
  <si>
    <t xml:space="preserve">INPUTS (blue on yellow)</t>
  </si>
  <si>
    <t xml:space="preserve">Value</t>
  </si>
  <si>
    <t xml:space="preserve">Unit</t>
  </si>
  <si>
    <t xml:space="preserve">RESULT</t>
  </si>
  <si>
    <t xml:space="preserve">Optimal design</t>
  </si>
  <si>
    <t xml:space="preserve">Manual design</t>
  </si>
  <si>
    <t xml:space="preserve">Requirements and operation</t>
  </si>
  <si>
    <t xml:space="preserve">Lane depth N_C</t>
  </si>
  <si>
    <t xml:space="preserve">Required effective capacity</t>
  </si>
  <si>
    <t xml:space="preserve">pallets</t>
  </si>
  <si>
    <t xml:space="preserve">Tiers N_T</t>
  </si>
  <si>
    <t xml:space="preserve">Pallets per SKU</t>
  </si>
  <si>
    <t xml:space="preserve">Lifts</t>
  </si>
  <si>
    <t xml:space="preserve">Inbound rate</t>
  </si>
  <si>
    <t xml:space="preserve">pallets/h</t>
  </si>
  <si>
    <t xml:space="preserve">Lanes per side N_L</t>
  </si>
  <si>
    <t xml:space="preserve">Outbound rate (during working hours)</t>
  </si>
  <si>
    <t xml:space="preserve">Aisle length (m)</t>
  </si>
  <si>
    <t xml:space="preserve">Inbound hours per day</t>
  </si>
  <si>
    <t xml:space="preserve">h</t>
  </si>
  <si>
    <t xml:space="preserve">Block depth (m)</t>
  </si>
  <si>
    <t xml:space="preserve">Outbound hours per day</t>
  </si>
  <si>
    <t xml:space="preserve">Rack height (m)</t>
  </si>
  <si>
    <t xml:space="preserve">Peak design factor (1.25 = +25 %)</t>
  </si>
  <si>
    <t xml:space="preserve">x</t>
  </si>
  <si>
    <t xml:space="preserve">D/W</t>
  </si>
  <si>
    <t xml:space="preserve">Building limits</t>
  </si>
  <si>
    <t xml:space="preserve">Net positions</t>
  </si>
  <si>
    <t xml:space="preserve">Maximum rack height available</t>
  </si>
  <si>
    <t xml:space="preserve">m</t>
  </si>
  <si>
    <t xml:space="preserve">Effective positions</t>
  </si>
  <si>
    <t xml:space="preserve">Constrain footprint to the building below?</t>
  </si>
  <si>
    <t xml:space="preserve">Yes</t>
  </si>
  <si>
    <t xml:space="preserve">Footprint (m²)</t>
  </si>
  <si>
    <t xml:space="preserve">Building length</t>
  </si>
  <si>
    <t xml:space="preserve">Shuttle cycle (s)</t>
  </si>
  <si>
    <t xml:space="preserve">Building width</t>
  </si>
  <si>
    <t xml:space="preserve">Shuttles incl. spares</t>
  </si>
  <si>
    <t xml:space="preserve">Lane policy and ABC distribution</t>
  </si>
  <si>
    <t xml:space="preserve">Lift utilization</t>
  </si>
  <si>
    <t xml:space="preserve">Free (optimize N_C)</t>
  </si>
  <si>
    <t xml:space="preserve">Lift util., one lift down</t>
  </si>
  <si>
    <t xml:space="preserve">Distribution of transactions over tiers</t>
  </si>
  <si>
    <t xml:space="preserve">ABC</t>
  </si>
  <si>
    <t xml:space="preserve">Lift energy (kWh/day)</t>
  </si>
  <si>
    <t xml:space="preserve">Tiers for class A (lowest)</t>
  </si>
  <si>
    <t xml:space="preserve">tiers</t>
  </si>
  <si>
    <t xml:space="preserve">Total cost (EUR)</t>
  </si>
  <si>
    <t xml:space="preserve">Tiers for class B</t>
  </si>
  <si>
    <t xml:space="preserve">Cost per effective pallet (EUR)</t>
  </si>
  <si>
    <t xml:space="preserve">Share of transactions class A</t>
  </si>
  <si>
    <t xml:space="preserve">Feasible?</t>
  </si>
  <si>
    <t xml:space="preserve">Share of transactions class B</t>
  </si>
  <si>
    <t xml:space="preserve">Share of transactions class C</t>
  </si>
  <si>
    <t xml:space="preserve">Pallet and rack geometry</t>
  </si>
  <si>
    <t xml:space="preserve">Top 5</t>
  </si>
  <si>
    <t xml:space="preserve">N_C</t>
  </si>
  <si>
    <t xml:space="preserve">N_T</t>
  </si>
  <si>
    <t xml:space="preserve">N_L</t>
  </si>
  <si>
    <t xml:space="preserve">Shuttles</t>
  </si>
  <si>
    <t xml:space="preserve">Cycle (s)</t>
  </si>
  <si>
    <t xml:space="preserve">Cost (EUR)</t>
  </si>
  <si>
    <t xml:space="preserve">Lane pitch across lanes u_w (pallet 850 + 150 upright)</t>
  </si>
  <si>
    <t xml:space="preserve">Position pitch along lane u_d (pallet 1250 + 50)</t>
  </si>
  <si>
    <t xml:space="preserve">Vertical pitch u_h (pallet 1700 + 450 rail zone)</t>
  </si>
  <si>
    <t xml:space="preserve">Cross-aisle width (slide: 1300 mm)</t>
  </si>
  <si>
    <t xml:space="preserve">Offset aisle centre → first slot / lift</t>
  </si>
  <si>
    <t xml:space="preserve">Headroom above racks</t>
  </si>
  <si>
    <t xml:space="preserve">Tip: switch 'Lane depth N_C' to 'Free', the objective or ABC to see how the optimum moves.</t>
  </si>
  <si>
    <t xml:space="preserve">Honeycombing factor f</t>
  </si>
  <si>
    <t xml:space="preserve">Lanes replaced by each lift shaft</t>
  </si>
  <si>
    <t xml:space="preserve">lanes</t>
  </si>
  <si>
    <t xml:space="preserve">IN / OUT bays and lifts (optimal design)</t>
  </si>
  <si>
    <t xml:space="preserve">Average fill ratio</t>
  </si>
  <si>
    <t xml:space="preserve">Lift layout used</t>
  </si>
  <si>
    <t xml:space="preserve">Design rules</t>
  </si>
  <si>
    <t xml:space="preserve">Lift positions in aisle (m)</t>
  </si>
  <si>
    <t xml:space="preserve">Max utilization (normal operation)</t>
  </si>
  <si>
    <t xml:space="preserve">Mean shuttle aisle leg (s)</t>
  </si>
  <si>
    <t xml:space="preserve">Max lift utilization with one lift down</t>
  </si>
  <si>
    <t xml:space="preserve">Shuttle cycle with this layout (s)</t>
  </si>
  <si>
    <t xml:space="preserve">N+1 redundancy on lifts</t>
  </si>
  <si>
    <t xml:space="preserve">Mean conveyor length (m)</t>
  </si>
  <si>
    <t xml:space="preserve">Minimum shuttles per active tier (0.4 ≈ roaming pool)</t>
  </si>
  <si>
    <t xml:space="preserve">shuttles</t>
  </si>
  <si>
    <t xml:space="preserve">Mean conveyor time (s)</t>
  </si>
  <si>
    <t xml:space="preserve">Spare shuttles</t>
  </si>
  <si>
    <t xml:space="preserve">Installed ground conveyor (m)</t>
  </si>
  <si>
    <t xml:space="preserve">Costs (ASSUMPTIONS – edit freely)</t>
  </si>
  <si>
    <t xml:space="preserve">Conveyor cost (EUR)</t>
  </si>
  <si>
    <t xml:space="preserve">Cost per lift</t>
  </si>
  <si>
    <t xml:space="preserve">EUR</t>
  </si>
  <si>
    <t xml:space="preserve">Cost per shuttle (paper: generic shuttle)</t>
  </si>
  <si>
    <t xml:space="preserve">Static study of best lift positions for several IN/OUT layouts: sheet Lift_location_study.</t>
  </si>
  <si>
    <t xml:space="preserve">Cost per pallet position (rack)</t>
  </si>
  <si>
    <t xml:space="preserve">Cost per m² of footprint</t>
  </si>
  <si>
    <t xml:space="preserve">EUR/m²</t>
  </si>
  <si>
    <t xml:space="preserve">Cost per m³ of building</t>
  </si>
  <si>
    <t xml:space="preserve">EUR/m³</t>
  </si>
  <si>
    <t xml:space="preserve">Optimization target and manual design</t>
  </si>
  <si>
    <t xml:space="preserve">Objective</t>
  </si>
  <si>
    <t xml:space="preserve">Total cost</t>
  </si>
  <si>
    <t xml:space="preserve">Pallet mass (energy, upper bound)</t>
  </si>
  <si>
    <t xml:space="preserve">kg</t>
  </si>
  <si>
    <t xml:space="preserve">Manual design: lane depth N_C</t>
  </si>
  <si>
    <t xml:space="preserve">pos</t>
  </si>
  <si>
    <t xml:space="preserve">Manual design: tiers N_T</t>
  </si>
  <si>
    <t xml:space="preserve">IN / OUT bays and lift layout (x from the left wall, along the building length)</t>
  </si>
  <si>
    <t xml:space="preserve">Inbound bay position</t>
  </si>
  <si>
    <t xml:space="preserve">Outbound bay position</t>
  </si>
  <si>
    <t xml:space="preserve">Distance front wall → rack block (apron)</t>
  </si>
  <si>
    <t xml:space="preserve">Ground conveyor speed (ASSUMPTION)</t>
  </si>
  <si>
    <t xml:space="preserve">m/s</t>
  </si>
  <si>
    <t xml:space="preserve">Ground conveyor cost (ASSUMPTION)</t>
  </si>
  <si>
    <t xml:space="preserve">EUR/m</t>
  </si>
  <si>
    <t xml:space="preserve">Weight of conveyor time vs shuttle time (lift placement)</t>
  </si>
  <si>
    <t xml:space="preserve">Lift positions along the aisle</t>
  </si>
  <si>
    <t xml:space="preserve">Equispaced</t>
  </si>
  <si>
    <t xml:space="preserve">Manual position of lift 1 (aisle coordinate)</t>
  </si>
  <si>
    <t xml:space="preserve">Manual position of lift 2 (aisle coordinate)</t>
  </si>
  <si>
    <t xml:space="preserve">Manual position of lift 3 (aisle coordinate)</t>
  </si>
  <si>
    <t xml:space="preserve">Manual position of lift 4 (aisle coordinate)</t>
  </si>
  <si>
    <t xml:space="preserve">Manual position of lift 5 (aisle coordinate)</t>
  </si>
  <si>
    <t xml:space="preserve">Manual position of lift 6 (aisle coordinate)</t>
  </si>
  <si>
    <t xml:space="preserve">LIFT AND SHUTTLE DATA – fixed by the assignment</t>
  </si>
  <si>
    <t xml:space="preserve">Parameter</t>
  </si>
  <si>
    <t xml:space="preserve">Note</t>
  </si>
  <si>
    <t xml:space="preserve">Shuttle max speed</t>
  </si>
  <si>
    <t xml:space="preserve">Shuttle acceleration = deceleration</t>
  </si>
  <si>
    <t xml:space="preserve">m/s²</t>
  </si>
  <si>
    <t xml:space="preserve">Direction change time</t>
  </si>
  <si>
    <t xml:space="preserve">s</t>
  </si>
  <si>
    <t xml:space="preserve">Shuttle load/unload (rack / conveyor)</t>
  </si>
  <si>
    <t xml:space="preserve">Lift max speed</t>
  </si>
  <si>
    <t xml:space="preserve">Lift acceleration</t>
  </si>
  <si>
    <t xml:space="preserve">Lift positioning time</t>
  </si>
  <si>
    <t xml:space="preserve">Lift load/unload with chain conveyor</t>
  </si>
  <si>
    <t xml:space="preserve">Lift load/unload with shuttle</t>
  </si>
  <si>
    <t xml:space="preserve">Lift interface at the tiers</t>
  </si>
  <si>
    <t xml:space="preserve">Shuttle</t>
  </si>
  <si>
    <t xml:space="preserve">'Shuttle' = 25 s hand-over; 'Chain' = chain conveyor buffer at each tier (7 s)</t>
  </si>
  <si>
    <t xml:space="preserve">Interface time used (t_I)</t>
  </si>
  <si>
    <t xml:space="preserve">Reference data (not used in the equations): shuttle 1045×890×197 mm, 260 kg, capacity 1000 kg, battery 8 h; lift 470 kg, capacity 1800 kg, 16 kW.</t>
  </si>
  <si>
    <t xml:space="preserve">Derived values</t>
  </si>
  <si>
    <t xml:space="preserve">Peak transactions (in + out)</t>
  </si>
  <si>
    <t xml:space="preserve">tx/h</t>
  </si>
  <si>
    <t xml:space="preserve">Pallet movements per day</t>
  </si>
  <si>
    <t xml:space="preserve">mov/day</t>
  </si>
  <si>
    <t xml:space="preserve">Positions to build (capacity / fill)</t>
  </si>
  <si>
    <t xml:space="preserve">Shuttle battery 50 V × 30 Ah (slide)</t>
  </si>
  <si>
    <t xml:space="preserve">kWh</t>
  </si>
  <si>
    <t xml:space="preserve">Runtime 8 h (slide); not used in the equations</t>
  </si>
  <si>
    <t xml:space="preserve">APW 2026/27 – Parametric warehouse optimizer: how it works</t>
  </si>
  <si>
    <t xml:space="preserve">What it does</t>
  </si>
  <si>
    <t xml:space="preserve">Given the requirements (capacity, flows, SKU size, building limits, costs), it explores every combination of lane depth N_C and number of tiers N_T and, for each one, derives the number of lifts, the number of lanes, the aisle length, the shuttle fleet, the cost and the feasibility. The best design is shown on the Dashboard, together with a manual design for comparison.</t>
  </si>
  <si>
    <t xml:space="preserve">What is fixed</t>
  </si>
  <si>
    <t xml:space="preserve">Only the lift and shuttle kinematics (sheet Equipment). Everything else is an input on the Dashboard.</t>
  </si>
  <si>
    <t xml:space="preserve">Derivation of each design (sheet Optimizer)</t>
  </si>
  <si>
    <t xml:space="preserve">1. Lifts: lift workload = peak rate × share of transactions above tier 1 × mean lift cycle / 3600. Lifts n = max(ceil(workload/ρ_max), ceil(workload/ρ_fail)+1 if N+1).</t>
  </si>
  <si>
    <t xml:space="preserve">2. Lanes: N_L = ceil((required positions/(N_C·N_T) + n·lanes per lift)/2).  Aisle length = N_L·u_w, block depth = 2·N_C·u_d + aisle width.</t>
  </si>
  <si>
    <t xml:space="preserve">3. Shuttle cycle = 2·25 + 2·4 + 2·(mean aisle leg to the nearest lift) + 2·(mean in-lane leg with honeycombing); lifts equally spaced at (2k−1)L/(2n), mean distance L/(4n).</t>
  </si>
  <si>
    <t xml:space="preserve">4. Shuttles per tier = max(min per tier, ceil(tier load × cycle / (3600 ρ_max))); fleet = sum + spares.</t>
  </si>
  <si>
    <t xml:space="preserve">5. Cost = lifts + shuttles + rack positions + building (footprint × €/m² + volume × €/m³). Costs are ASSUMPTIONS: replace them with real quotes.</t>
  </si>
  <si>
    <t xml:space="preserve">6. Feasible = height ≤ maximum, lane policy respected, footprint inside the building (if constrained). The best feasible design minimizes the chosen objective.</t>
  </si>
  <si>
    <t xml:space="preserve">Limits of the model</t>
  </si>
  <si>
    <t xml:space="preserve">Single-command cycles, deterministic travel, no queues: use it for concept design. DES_validation shows the discrete-event simulation: the shuttle cycle is optimistic by about 9 % and lift utilization by a few points.</t>
  </si>
  <si>
    <t xml:space="preserve">The cost surface is flat near the optimum (a few percent): treat the top 5 designs as equivalent and decide with the other criteria (resilience, expansion, footprint).</t>
  </si>
  <si>
    <t xml:space="preserve">One cross-aisle per tier is modelled. Very long aisles (&gt; 60 m) would in practice be split into modules, which this sheet does not do.</t>
  </si>
  <si>
    <t xml:space="preserve">Sliders</t>
  </si>
  <si>
    <t xml:space="preserve">Excel sliders are 'form controls' that cannot be generated by script. To add one: Developer tab → Insert → Scroll Bar (Form Control) → draw it → right-click → Format Control → set min/max and 'Cell link' = the input cell (works for whole-number inputs such as N_C manual, N_T manual, lanes per lift).</t>
  </si>
  <si>
    <t xml:space="preserve">Colour code</t>
  </si>
  <si>
    <t xml:space="preserve">Blue on yellow = input; black = formula; green = optimal design; blue without fill (DES_validation) = hard-coded results.</t>
  </si>
  <si>
    <t xml:space="preserve">IN / OUT bays (new)</t>
  </si>
  <si>
    <t xml:space="preserve">The inbound and outbound bay positions are inputs. They do not change the optimal rack shape, but they change where lifts should go and the length/cost of the ground conveyors. Sheet Bay_position evaluates the chosen layout (Equispaced or Manual); Lift_location_study shows the best positions found by search for several bay layouts.</t>
  </si>
  <si>
    <t xml:space="preserve">Geometry now follows the professor's slides: pallet 850×1250×1700 mm, lane pitch 1.00 m (850 + 150 upright), position pitch 1.30 m, vertical pitch 2.15 m (1700 + 450 rail zone), cross-aisle 1.3 m. The vertical pitch and lane pitch are my reading of the drawings: confirm with the professor.</t>
  </si>
  <si>
    <t xml:space="preserve">OPTIMIZER – all combinations of lane depth N_C × tiers N_T (formulas only)</t>
  </si>
  <si>
    <t xml:space="preserve">N_C values explored →</t>
  </si>
  <si>
    <t xml:space="preserve">Best score / row / feasible designs →</t>
  </si>
  <si>
    <t xml:space="preserve">Objective by N_T (rows) and N_C (columns); infeasible = NA</t>
  </si>
  <si>
    <t xml:space="preserve">#</t>
  </si>
  <si>
    <t xml:space="preserve">p lift users</t>
  </si>
  <si>
    <t xml:space="preserve">Lift cycle (s)</t>
  </si>
  <si>
    <t xml:space="preserve">Lift-equiv. busy</t>
  </si>
  <si>
    <t xml:space="preserve">Lifts n</t>
  </si>
  <si>
    <t xml:space="preserve">N_L per side</t>
  </si>
  <si>
    <t xml:space="preserve">Aisle L (m)</t>
  </si>
  <si>
    <t xml:space="preserve">dmax (m)</t>
  </si>
  <si>
    <t xml:space="preserve">t_aisle (s)</t>
  </si>
  <si>
    <t xml:space="preserve">t_lane (s)</t>
  </si>
  <si>
    <t xml:space="preserve">Σ shuttles needed</t>
  </si>
  <si>
    <t xml:space="preserve">Shuttles + spares</t>
  </si>
  <si>
    <t xml:space="preserve">Volume (m³)</t>
  </si>
  <si>
    <t xml:space="preserve">Cost lifts</t>
  </si>
  <si>
    <t xml:space="preserve">Cost shuttles</t>
  </si>
  <si>
    <t xml:space="preserve">Cost rack</t>
  </si>
  <si>
    <t xml:space="preserve">Cost building</t>
  </si>
  <si>
    <t xml:space="preserve">Lift util</t>
  </si>
  <si>
    <t xml:space="preserve">Lift util, one down</t>
  </si>
  <si>
    <t xml:space="preserve">Feasible</t>
  </si>
  <si>
    <t xml:space="preserve">Score</t>
  </si>
  <si>
    <t xml:space="preserve">Why not</t>
  </si>
  <si>
    <t xml:space="preserve">N_T \ N_C</t>
  </si>
  <si>
    <t xml:space="preserve">TIER DISTRIBUTION BY NUMBER OF TIERS (helper – formulas only)</t>
  </si>
  <si>
    <t xml:space="preserve">Tier i →</t>
  </si>
  <si>
    <t xml:space="preserve">index</t>
  </si>
  <si>
    <t xml:space="preserve">height h_i (m)</t>
  </si>
  <si>
    <t xml:space="preserve">lift travel t(h_i) (s)</t>
  </si>
  <si>
    <t xml:space="preserve">lift single cycle (s), tiers ≥ 2</t>
  </si>
  <si>
    <t xml:space="preserve">Raw weights R[N_T, i]  (rows: number of tiers N_T)</t>
  </si>
  <si>
    <t xml:space="preserve">Σ weights</t>
  </si>
  <si>
    <t xml:space="preserve">p tier 1</t>
  </si>
  <si>
    <t xml:space="preserve">mean lift cycle (s)</t>
  </si>
  <si>
    <t xml:space="preserve">mean height (m)</t>
  </si>
  <si>
    <t xml:space="preserve">Normalized probabilities p[N_T, i]</t>
  </si>
  <si>
    <t xml:space="preserve">CHART DATA (helper – formulas only)</t>
  </si>
  <si>
    <t xml:space="preserve">Best N_T</t>
  </si>
  <si>
    <t xml:space="preserve">Best shuttle cycle</t>
  </si>
  <si>
    <t xml:space="preserve">1) Shape at the optimal N_T</t>
  </si>
  <si>
    <t xml:space="preserve">Row</t>
  </si>
  <si>
    <t xml:space="preserve">Selected design</t>
  </si>
  <si>
    <t xml:space="preserve">2) Lift utilization vs number of lifts (optimal design)</t>
  </si>
  <si>
    <t xml:space="preserve">Normal</t>
  </si>
  <si>
    <t xml:space="preserve">One lift down</t>
  </si>
  <si>
    <t xml:space="preserve">Target normal</t>
  </si>
  <si>
    <t xml:space="preserve">Target one down</t>
  </si>
  <si>
    <t xml:space="preserve">3) Shuttle utilization per tier (optimal design)</t>
  </si>
  <si>
    <t xml:space="preserve">Tier</t>
  </si>
  <si>
    <t xml:space="preserve">p tier</t>
  </si>
  <si>
    <t xml:space="preserve">Load (tx/h)</t>
  </si>
  <si>
    <t xml:space="preserve">Shuttles assigned</t>
  </si>
  <si>
    <t xml:space="preserve">Utilization</t>
  </si>
  <si>
    <t xml:space="preserve">Target</t>
  </si>
  <si>
    <t xml:space="preserve">4) Cost breakdown (EUR)</t>
  </si>
  <si>
    <t xml:space="preserve">Item</t>
  </si>
  <si>
    <t xml:space="preserve">Optimal</t>
  </si>
  <si>
    <t xml:space="preserve">Manual</t>
  </si>
  <si>
    <t xml:space="preserve">Racks</t>
  </si>
  <si>
    <t xml:space="preserve">Building</t>
  </si>
  <si>
    <t xml:space="preserve">5) Plan view of the optimal design (building coordinates)</t>
  </si>
  <si>
    <t xml:space="preserve">x0 (rack start)</t>
  </si>
  <si>
    <t xml:space="preserve">Block depth D</t>
  </si>
  <si>
    <t xml:space="preserve">Aisle L</t>
  </si>
  <si>
    <t xml:space="preserve">Front apron</t>
  </si>
  <si>
    <t xml:space="preserve">Rack x</t>
  </si>
  <si>
    <t xml:space="preserve">Rack y</t>
  </si>
  <si>
    <t xml:space="preserve">Aisle x</t>
  </si>
  <si>
    <t xml:space="preserve">Aisle y</t>
  </si>
  <si>
    <t xml:space="preserve">Lift x</t>
  </si>
  <si>
    <t xml:space="preserve">Lift y</t>
  </si>
  <si>
    <t xml:space="preserve">Building x</t>
  </si>
  <si>
    <t xml:space="preserve">Building y</t>
  </si>
  <si>
    <t xml:space="preserve">Bay IN x</t>
  </si>
  <si>
    <t xml:space="preserve">Bay IN y</t>
  </si>
  <si>
    <t xml:space="preserve">Bay OUT x</t>
  </si>
  <si>
    <t xml:space="preserve">Bay OUT y</t>
  </si>
  <si>
    <t xml:space="preserve">6) Top 5 designs</t>
  </si>
  <si>
    <t xml:space="preserve">Rank</t>
  </si>
  <si>
    <t xml:space="preserve">Aisle (m)</t>
  </si>
  <si>
    <t xml:space="preserve">Depth (m)</t>
  </si>
  <si>
    <t xml:space="preserve">Height (m)</t>
  </si>
  <si>
    <t xml:space="preserve">IN / OUT BAYS AND LIFT POSITIONS – optimal design (formulas only)</t>
  </si>
  <si>
    <t xml:space="preserve">Each lane is served by the lift that minimises 2·t_aisle + w·conveyor_time. Layout 'Equispaced' or 'Manual' is chosen on the Dashboard. The Optimizer sheet always uses equispaced lifts; here you see the effect of the layout on the shuttle leg and on the ground conveyors.</t>
  </si>
  <si>
    <t xml:space="preserve">N_L (best design)</t>
  </si>
  <si>
    <t xml:space="preserve">SUMMARY</t>
  </si>
  <si>
    <t xml:space="preserve">Lifts (best design)</t>
  </si>
  <si>
    <t xml:space="preserve">Mean placement objective J (s)</t>
  </si>
  <si>
    <t xml:space="preserve">Mean conveyor length per transaction (m)</t>
  </si>
  <si>
    <t xml:space="preserve">Rack block start x (m, centred)</t>
  </si>
  <si>
    <t xml:space="preserve">Conveyor spur: wall → aisle centre (m)</t>
  </si>
  <si>
    <t xml:space="preserve">Installed conveyor cost (EUR)</t>
  </si>
  <si>
    <t xml:space="preserve">Lift k</t>
  </si>
  <si>
    <t xml:space="preserve">Position in aisle (m)</t>
  </si>
  <si>
    <t xml:space="preserve">Position x in building (m)</t>
  </si>
  <si>
    <t xml:space="preserve">Conveyor leg to bays (m)</t>
  </si>
  <si>
    <t xml:space="preserve">Conv. time (s)</t>
  </si>
  <si>
    <t xml:space="preserve">Shuttle cycle, equispaced (Optimizer) (s)</t>
  </si>
  <si>
    <t xml:space="preserve">Lane j</t>
  </si>
  <si>
    <t xml:space="preserve">y (m)</t>
  </si>
  <si>
    <t xml:space="preserve">t_aisle lift 1</t>
  </si>
  <si>
    <t xml:space="preserve">t_aisle lift 2</t>
  </si>
  <si>
    <t xml:space="preserve">t_aisle lift 3</t>
  </si>
  <si>
    <t xml:space="preserve">t_aisle lift 4</t>
  </si>
  <si>
    <t xml:space="preserve">t_aisle lift 5</t>
  </si>
  <si>
    <t xml:space="preserve">t_aisle lift 6</t>
  </si>
  <si>
    <t xml:space="preserve">J lift 1</t>
  </si>
  <si>
    <t xml:space="preserve">J lift 2</t>
  </si>
  <si>
    <t xml:space="preserve">J lift 3</t>
  </si>
  <si>
    <t xml:space="preserve">J lift 4</t>
  </si>
  <si>
    <t xml:space="preserve">J lift 5</t>
  </si>
  <si>
    <t xml:space="preserve">J lift 6</t>
  </si>
  <si>
    <t xml:space="preserve">min J (s)</t>
  </si>
  <si>
    <t xml:space="preserve">t_aisle used (s)</t>
  </si>
  <si>
    <t xml:space="preserve">conveyor leg used (m)</t>
  </si>
  <si>
    <t xml:space="preserve">BEST LIFT POSITIONS FOR DIFFERENT IN/OUT LAYOUTS (static values from: python apw_shuttle_model.py lifts)</t>
  </si>
  <si>
    <t xml:space="preserve">Design used: N_C 8, N_T 8, N_L 40, 2 lifts (best feasible inside 45×30×20 m with free N_C). Lifts placed by coordinate search minimising 2·t_aisle + 0.3·conveyor time. J = placement objective (s).</t>
  </si>
  <si>
    <t xml:space="preserve">scenario</t>
  </si>
  <si>
    <t xml:space="preserve">IN_x_m</t>
  </si>
  <si>
    <t xml:space="preserve">OUT_x_m</t>
  </si>
  <si>
    <t xml:space="preserve">lifts</t>
  </si>
  <si>
    <t xml:space="preserve">J_equi_s</t>
  </si>
  <si>
    <t xml:space="preserve">shuttle_leg_equi_s</t>
  </si>
  <si>
    <t xml:space="preserve">conv_len_equi_m</t>
  </si>
  <si>
    <t xml:space="preserve">conv_cost_equi_EUR</t>
  </si>
  <si>
    <t xml:space="preserve">J_opt_s</t>
  </si>
  <si>
    <t xml:space="preserve">shuttle_leg_opt_s</t>
  </si>
  <si>
    <t xml:space="preserve">conv_len_opt_m</t>
  </si>
  <si>
    <t xml:space="preserve">conv_cost_opt_EUR</t>
  </si>
  <si>
    <t xml:space="preserve">J_change_%</t>
  </si>
  <si>
    <t xml:space="preserve">lift_positions_opt_m</t>
  </si>
  <si>
    <t xml:space="preserve">IN left / OUT right</t>
  </si>
  <si>
    <t xml:space="preserve">[11.5, 31.5]</t>
  </si>
  <si>
    <t xml:space="preserve">IN and OUT side by side, centre</t>
  </si>
  <si>
    <t xml:space="preserve">[12.5, 22.5]</t>
  </si>
  <si>
    <t xml:space="preserve">IN and OUT both at left</t>
  </si>
  <si>
    <t xml:space="preserve">[4.7, 24.5]</t>
  </si>
  <si>
    <t xml:space="preserve">IN centre / OUT right</t>
  </si>
  <si>
    <t xml:space="preserve">[19.5, 33.5]</t>
  </si>
  <si>
    <t xml:space="preserve">IN and OUT same point (corner)</t>
  </si>
  <si>
    <t xml:space="preserve">[4.5, 24.5]</t>
  </si>
  <si>
    <t xml:space="preserve">Reading: moving lifts toward the bays shortens the conveyors but lengthens the shuttle leg. Gains are small (0–6 % of J) because the apron + half block depth dominates the conveyor length; they grow when IN and OUT are close together.</t>
  </si>
  <si>
    <t xml:space="preserve">DISCRETE-EVENT SIMULATION vs ANALYTICAL MODEL (static values from apw_shuttle_model.py)</t>
  </si>
  <si>
    <t xml:space="preserve">Reference design N_C 8, N_L 40, N_T 8, 2 lifts, new slide geometry (u_w 1.00, u_d 1.30, u_h 2.15). SimPy, 3 replications × 40 h, 4 h warm-up, 40 in + 60 out per hour. Re-run 'python apw_shuttle_model.py des' to refresh.</t>
  </si>
  <si>
    <t xml:space="preserve">Scenario</t>
  </si>
  <si>
    <t xml:space="preserve">Analytical shuttle cycle (s)</t>
  </si>
  <si>
    <t xml:space="preserve">DES shuttle active time per tx (s)</t>
  </si>
  <si>
    <t xml:space="preserve">Analytical lift util (%)</t>
  </si>
  <si>
    <t xml:space="preserve">DES lift util (%)</t>
  </si>
  <si>
    <t xml:space="preserve">Analytical max shuttle util (%)</t>
  </si>
  <si>
    <t xml:space="preserve">DES max shuttle group util (%)</t>
  </si>
  <si>
    <t xml:space="preserve">DES mean throughput storage (s)</t>
  </si>
  <si>
    <t xml:space="preserve">DES mean throughput retrieval (s)</t>
  </si>
  <si>
    <t xml:space="preserve">DES p95 storage (s)</t>
  </si>
  <si>
    <t xml:space="preserve">DES p95 retrieval (s)</t>
  </si>
  <si>
    <t xml:space="preserve">Relocations per hour</t>
  </si>
  <si>
    <t xml:space="preserve">Base: ABC, 2 lifts, fleet by tier group</t>
  </si>
  <si>
    <t xml:space="preserve">Uniform, 2 lifts, 1 shuttle/tier</t>
  </si>
  <si>
    <t xml:space="preserve">ABC, 2 lifts, peak +25%</t>
  </si>
  <si>
    <t xml:space="preserve">ABC, 3 lifts</t>
  </si>
  <si>
    <t xml:space="preserve">ABC, 2 lifts, one lift down</t>
  </si>
  <si>
    <t xml:space="preserve">ABC, 2 lifts, chain conveyor interface</t>
  </si>
  <si>
    <t xml:space="preserve">How to read it</t>
  </si>
  <si>
    <t xml:space="preserve">• The analytical shuttle cycle is optimistic by about 8 %: in the simulation a shuttle restarts from the lift point it used last, not from the lift nearest to the next lane.</t>
  </si>
  <si>
    <t xml:space="preserve">• DES lift utilization is 5–10 points above the analytical value (relocations of the roaming pool, lift waiting for the shuttle).</t>
  </si>
  <si>
    <t xml:space="preserve">• With 2 lifts and one down, the remaining lift runs at ~87 % and the 95th-percentile throughput time is ~14 minutes: a third lift (or the chain-conveyor interface) is needed for real N+1.</t>
  </si>
  <si>
    <t xml:space="preserve">• The chain conveyor interface (7 s) cuts lift utilization by about 30 % and the mean throughput time by about 20 %.</t>
  </si>
</sst>
</file>

<file path=xl/styles.xml><?xml version="1.0" encoding="utf-8"?>
<styleSheet xmlns="http://schemas.openxmlformats.org/spreadsheetml/2006/main">
  <numFmts count="10">
    <numFmt numFmtId="164" formatCode="General"/>
    <numFmt numFmtId="165" formatCode="0"/>
    <numFmt numFmtId="166" formatCode="#,##0"/>
    <numFmt numFmtId="167" formatCode="0.0"/>
    <numFmt numFmtId="168" formatCode="0.00"/>
    <numFmt numFmtId="169" formatCode="0%"/>
    <numFmt numFmtId="170" formatCode="@"/>
    <numFmt numFmtId="171" formatCode="#,##0.0"/>
    <numFmt numFmtId="172" formatCode="0.0%"/>
    <numFmt numFmtId="173" formatCode="0.000"/>
  </numFmts>
  <fonts count="12">
    <font>
      <sz val="11"/>
      <color theme="1"/>
      <name val="Calibri"/>
      <family val="2"/>
      <charset val="1"/>
    </font>
    <font>
      <sz val="10"/>
      <name val="Arial"/>
      <family val="0"/>
    </font>
    <font>
      <sz val="10"/>
      <name val="Arial"/>
      <family val="0"/>
    </font>
    <font>
      <sz val="10"/>
      <name val="Arial"/>
      <family val="0"/>
    </font>
    <font>
      <b val="true"/>
      <sz val="15"/>
      <name val="Arial"/>
      <family val="0"/>
      <charset val="1"/>
    </font>
    <font>
      <sz val="10"/>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1F3864"/>
        <bgColor rgb="FF333333"/>
      </patternFill>
    </fill>
    <fill>
      <patternFill patternType="solid">
        <fgColor rgb="FFD9E2F3"/>
        <bgColor rgb="FFD9D9D9"/>
      </patternFill>
    </fill>
    <fill>
      <patternFill patternType="solid">
        <fgColor rgb="FFE2EFDA"/>
        <bgColor rgb="FFD9E2F3"/>
      </patternFill>
    </fill>
    <fill>
      <patternFill patternType="solid">
        <fgColor rgb="FFFFF2CC"/>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5" fontId="7" fillId="4" borderId="1" xfId="0" applyFont="true" applyBorder="true" applyAlignment="true" applyProtection="false">
      <alignment horizontal="right" vertical="bottom" textRotation="0" wrapText="false" indent="0" shrinkToFit="false"/>
      <protection locked="true" hidden="false"/>
    </xf>
    <xf numFmtId="165" fontId="5" fillId="0" borderId="1" xfId="0" applyFont="true" applyBorder="true" applyAlignment="true" applyProtection="false">
      <alignment horizontal="right" vertical="bottom" textRotation="0" wrapText="false" indent="0" shrinkToFit="false"/>
      <protection locked="true" hidden="false"/>
    </xf>
    <xf numFmtId="166" fontId="8" fillId="5" borderId="1" xfId="0" applyFont="true" applyBorder="true" applyAlignment="true" applyProtection="false">
      <alignment horizontal="right" vertical="bottom" textRotation="0" wrapText="false" indent="0" shrinkToFit="false"/>
      <protection locked="true" hidden="false"/>
    </xf>
    <xf numFmtId="165" fontId="8" fillId="5" borderId="1" xfId="0" applyFont="true" applyBorder="true" applyAlignment="true" applyProtection="false">
      <alignment horizontal="right" vertical="bottom" textRotation="0" wrapText="false" indent="0" shrinkToFit="false"/>
      <protection locked="true" hidden="false"/>
    </xf>
    <xf numFmtId="164" fontId="8" fillId="5" borderId="1" xfId="0" applyFont="true" applyBorder="true" applyAlignment="true" applyProtection="false">
      <alignment horizontal="right" vertical="bottom" textRotation="0" wrapText="false" indent="0" shrinkToFit="false"/>
      <protection locked="true" hidden="false"/>
    </xf>
    <xf numFmtId="167" fontId="7" fillId="4" borderId="1" xfId="0" applyFont="true" applyBorder="true" applyAlignment="true" applyProtection="false">
      <alignment horizontal="right" vertical="bottom" textRotation="0" wrapText="false" indent="0" shrinkToFit="false"/>
      <protection locked="true" hidden="false"/>
    </xf>
    <xf numFmtId="167" fontId="5" fillId="0" borderId="1" xfId="0" applyFont="true" applyBorder="true" applyAlignment="true" applyProtection="false">
      <alignment horizontal="right" vertical="bottom" textRotation="0" wrapText="false" indent="0" shrinkToFit="false"/>
      <protection locked="true" hidden="false"/>
    </xf>
    <xf numFmtId="168" fontId="8" fillId="5" borderId="1" xfId="0" applyFont="true" applyBorder="true" applyAlignment="true" applyProtection="false">
      <alignment horizontal="right" vertical="bottom" textRotation="0" wrapText="false" indent="0" shrinkToFit="false"/>
      <protection locked="true" hidden="false"/>
    </xf>
    <xf numFmtId="168" fontId="7" fillId="4" borderId="1" xfId="0" applyFont="true" applyBorder="true" applyAlignment="true" applyProtection="false">
      <alignment horizontal="right" vertical="bottom" textRotation="0" wrapText="false" indent="0" shrinkToFit="false"/>
      <protection locked="true" hidden="false"/>
    </xf>
    <xf numFmtId="168" fontId="5" fillId="0" borderId="1" xfId="0" applyFont="true" applyBorder="true" applyAlignment="true" applyProtection="false">
      <alignment horizontal="right" vertical="bottom" textRotation="0" wrapText="false" indent="0" shrinkToFit="false"/>
      <protection locked="true" hidden="false"/>
    </xf>
    <xf numFmtId="166" fontId="7" fillId="4" borderId="1" xfId="0" applyFont="true" applyBorder="true" applyAlignment="true" applyProtection="false">
      <alignment horizontal="right" vertical="bottom" textRotation="0" wrapText="false" indent="0" shrinkToFit="false"/>
      <protection locked="true" hidden="false"/>
    </xf>
    <xf numFmtId="166" fontId="5" fillId="0" borderId="1" xfId="0" applyFont="true" applyBorder="true" applyAlignment="true" applyProtection="false">
      <alignment horizontal="right" vertical="bottom" textRotation="0" wrapText="false" indent="0" shrinkToFit="false"/>
      <protection locked="true" hidden="false"/>
    </xf>
    <xf numFmtId="167" fontId="8" fillId="5" borderId="1" xfId="0" applyFont="true" applyBorder="true" applyAlignment="true" applyProtection="false">
      <alignment horizontal="right" vertical="bottom" textRotation="0" wrapText="false" indent="0" shrinkToFit="false"/>
      <protection locked="true" hidden="false"/>
    </xf>
    <xf numFmtId="169" fontId="7" fillId="4" borderId="1" xfId="0" applyFont="true" applyBorder="true" applyAlignment="true" applyProtection="false">
      <alignment horizontal="right" vertical="bottom" textRotation="0" wrapText="false" indent="0" shrinkToFit="false"/>
      <protection locked="true" hidden="false"/>
    </xf>
    <xf numFmtId="169" fontId="5" fillId="0" borderId="1" xfId="0" applyFont="true" applyBorder="true" applyAlignment="true" applyProtection="false">
      <alignment horizontal="right" vertical="bottom" textRotation="0" wrapText="false" indent="0" shrinkToFit="false"/>
      <protection locked="true" hidden="false"/>
    </xf>
    <xf numFmtId="166" fontId="7" fillId="0" borderId="1" xfId="0" applyFont="true" applyBorder="true" applyAlignment="true" applyProtection="false">
      <alignment horizontal="right" vertical="bottom" textRotation="0" wrapText="false" indent="0" shrinkToFit="false"/>
      <protection locked="true" hidden="false"/>
    </xf>
    <xf numFmtId="169" fontId="8" fillId="5"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7" fontId="5" fillId="0" borderId="1" xfId="0" applyFont="true" applyBorder="true" applyAlignment="tru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general" vertical="bottom" textRotation="0" wrapText="false" indent="0" shrinkToFit="false"/>
      <protection locked="true" hidden="false"/>
    </xf>
    <xf numFmtId="170" fontId="7" fillId="0" borderId="1" xfId="0" applyFont="true" applyBorder="true" applyAlignment="true" applyProtection="false">
      <alignment horizontal="right" vertical="bottom" textRotation="0" wrapText="false" indent="0" shrinkToFit="false"/>
      <protection locked="true" hidden="false"/>
    </xf>
    <xf numFmtId="168" fontId="7" fillId="0" borderId="1" xfId="0" applyFont="true" applyBorder="true" applyAlignment="true" applyProtection="false">
      <alignment horizontal="right" vertical="bottom" textRotation="0" wrapText="false" indent="0" shrinkToFit="false"/>
      <protection locked="true" hidden="false"/>
    </xf>
    <xf numFmtId="167" fontId="7" fillId="0" borderId="1" xfId="0" applyFont="true" applyBorder="true" applyAlignment="true" applyProtection="false">
      <alignment horizontal="right" vertical="bottom" textRotation="0" wrapText="fals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4" fontId="8" fillId="5" borderId="1" xfId="0" applyFont="true" applyBorder="true" applyAlignment="tru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5" fontId="5" fillId="4" borderId="0" xfId="0" applyFont="true" applyBorder="false" applyAlignment="true" applyProtection="false">
      <alignment horizontal="general" vertical="bottom" textRotation="0" wrapText="false" indent="0" shrinkToFit="false"/>
      <protection locked="true" hidden="false"/>
    </xf>
    <xf numFmtId="172"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8" fontId="5" fillId="4" borderId="0" xfId="0" applyFont="true" applyBorder="fals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general" vertical="bottom" textRotation="0" wrapText="false" indent="0" shrinkToFit="false"/>
      <protection locked="true" hidden="false"/>
    </xf>
    <xf numFmtId="171" fontId="5" fillId="4"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72" fontId="5"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71" fontId="5" fillId="0" borderId="0" xfId="0" applyFont="tru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9" fontId="5"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color rgb="FFD9D9D9"/>
        <sz val="1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677E38"/>
      <rgbColor rgb="FF800080"/>
      <rgbColor rgb="FF7E9945"/>
      <rgbColor rgb="FFBFBFBF"/>
      <rgbColor rgb="FF7F7F7F"/>
      <rgbColor rgb="FFA6C178"/>
      <rgbColor rgb="FFBE4B48"/>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7E0C9"/>
      <rgbColor rgb="FFE2EFDA"/>
      <rgbColor rgb="FFFFFF99"/>
      <rgbColor rgb="FFC0D2A7"/>
      <rgbColor rgb="FFFF99CC"/>
      <rgbColor rgb="FFB3C992"/>
      <rgbColor rgb="FFCCDAB8"/>
      <rgbColor rgb="FF4F81BD"/>
      <rgbColor rgb="FF8FAF50"/>
      <rgbColor rgb="FF98B855"/>
      <rgbColor rgb="FFFFCC00"/>
      <rgbColor rgb="FF87A44B"/>
      <rgbColor rgb="FFFF6600"/>
      <rgbColor rgb="FF7D5FA0"/>
      <rgbColor rgb="FF878787"/>
      <rgbColor rgb="FF1F3864"/>
      <rgbColor rgb="FF738C3F"/>
      <rgbColor rgb="FF003300"/>
      <rgbColor rgb="FF333300"/>
      <rgbColor rgb="FF993300"/>
      <rgbColor rgb="FFC0504D"/>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Objective vs number of tiers (one line per N_C)</a:t>
            </a:r>
          </a:p>
        </c:rich>
      </c:tx>
      <c:overlay val="0"/>
      <c:spPr>
        <a:noFill/>
        <a:ln w="0">
          <a:noFill/>
        </a:ln>
      </c:spPr>
    </c:title>
    <c:autoTitleDeleted val="0"/>
    <c:plotArea>
      <c:scatterChart>
        <c:scatterStyle val="lineMarker"/>
        <c:varyColors val="0"/>
        <c:ser>
          <c:idx val="0"/>
          <c:order val="0"/>
          <c:tx>
            <c:strRef>
              <c:f>Optimizer!AK6</c:f>
              <c:strCache>
                <c:ptCount val="1"/>
                <c:pt idx="0">
                  <c:v>2</c:v>
                </c:pt>
              </c:strCache>
            </c:strRef>
          </c:tx>
          <c:spPr>
            <a:solidFill>
              <a:srgbClr val="677e38"/>
            </a:solidFill>
            <a:ln w="47520">
              <a:solidFill>
                <a:srgbClr val="677e38"/>
              </a:solidFill>
              <a:round/>
            </a:ln>
          </c:spPr>
          <c:marker>
            <c:symbol val="circle"/>
            <c:size val="4"/>
            <c:spPr>
              <a:solidFill>
                <a:srgbClr val="677e38"/>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Optimizer!$AK$7:$AK$26</c:f>
              <c:numCache>
                <c:formatCode>#,##0</c:formatCode>
                <c:ptCount val="20"/>
              </c:numCache>
            </c:numRef>
          </c:yVal>
          <c:smooth val="1"/>
        </c:ser>
        <c:ser>
          <c:idx val="1"/>
          <c:order val="1"/>
          <c:tx>
            <c:strRef>
              <c:f>Optimizer!AL6</c:f>
              <c:strCache>
                <c:ptCount val="1"/>
                <c:pt idx="0">
                  <c:v>3</c:v>
                </c:pt>
              </c:strCache>
            </c:strRef>
          </c:tx>
          <c:spPr>
            <a:solidFill>
              <a:srgbClr val="738c3f"/>
            </a:solidFill>
            <a:ln w="47520">
              <a:solidFill>
                <a:srgbClr val="738c3f"/>
              </a:solidFill>
              <a:round/>
            </a:ln>
          </c:spPr>
          <c:marker>
            <c:symbol val="circle"/>
            <c:size val="4"/>
            <c:spPr>
              <a:solidFill>
                <a:srgbClr val="738c3f"/>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Optimizer!$AL$7:$AL$26</c:f>
              <c:numCache>
                <c:formatCode>#,##0</c:formatCode>
                <c:ptCount val="20"/>
              </c:numCache>
            </c:numRef>
          </c:yVal>
          <c:smooth val="1"/>
        </c:ser>
        <c:ser>
          <c:idx val="2"/>
          <c:order val="2"/>
          <c:tx>
            <c:strRef>
              <c:f>Optimizer!AM6</c:f>
              <c:strCache>
                <c:ptCount val="1"/>
                <c:pt idx="0">
                  <c:v>4</c:v>
                </c:pt>
              </c:strCache>
            </c:strRef>
          </c:tx>
          <c:spPr>
            <a:solidFill>
              <a:srgbClr val="7e9945"/>
            </a:solidFill>
            <a:ln w="47520">
              <a:solidFill>
                <a:srgbClr val="7e9945"/>
              </a:solidFill>
              <a:round/>
            </a:ln>
          </c:spPr>
          <c:marker>
            <c:symbol val="circle"/>
            <c:size val="4"/>
            <c:spPr>
              <a:solidFill>
                <a:srgbClr val="7e9945"/>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Optimizer!$AM$7:$AM$26</c:f>
              <c:numCache>
                <c:formatCode>#,##0</c:formatCode>
                <c:ptCount val="20"/>
              </c:numCache>
            </c:numRef>
          </c:yVal>
          <c:smooth val="1"/>
        </c:ser>
        <c:ser>
          <c:idx val="3"/>
          <c:order val="3"/>
          <c:tx>
            <c:strRef>
              <c:f>Optimizer!AN6</c:f>
              <c:strCache>
                <c:ptCount val="1"/>
                <c:pt idx="0">
                  <c:v>5</c:v>
                </c:pt>
              </c:strCache>
            </c:strRef>
          </c:tx>
          <c:spPr>
            <a:solidFill>
              <a:srgbClr val="87a44b"/>
            </a:solidFill>
            <a:ln w="47520">
              <a:solidFill>
                <a:srgbClr val="87a44b"/>
              </a:solidFill>
              <a:round/>
            </a:ln>
          </c:spPr>
          <c:marker>
            <c:symbol val="circle"/>
            <c:size val="4"/>
            <c:spPr>
              <a:solidFill>
                <a:srgbClr val="87a44b"/>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Optimizer!$AN$7:$AN$26</c:f>
              <c:numCache>
                <c:formatCode>#,##0</c:formatCode>
                <c:ptCount val="20"/>
              </c:numCache>
            </c:numRef>
          </c:yVal>
          <c:smooth val="1"/>
        </c:ser>
        <c:ser>
          <c:idx val="4"/>
          <c:order val="4"/>
          <c:tx>
            <c:strRef>
              <c:f>Optimizer!AO6</c:f>
              <c:strCache>
                <c:ptCount val="1"/>
                <c:pt idx="0">
                  <c:v>6</c:v>
                </c:pt>
              </c:strCache>
            </c:strRef>
          </c:tx>
          <c:spPr>
            <a:solidFill>
              <a:srgbClr val="8faf50"/>
            </a:solidFill>
            <a:ln w="47520">
              <a:solidFill>
                <a:srgbClr val="8faf50"/>
              </a:solidFill>
              <a:round/>
            </a:ln>
          </c:spPr>
          <c:marker>
            <c:symbol val="circle"/>
            <c:size val="4"/>
            <c:spPr>
              <a:solidFill>
                <a:srgbClr val="8faf50"/>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Optimizer!$AO$7:$AO$26</c:f>
              <c:numCache>
                <c:formatCode>#,##0</c:formatCode>
                <c:ptCount val="20"/>
              </c:numCache>
            </c:numRef>
          </c:yVal>
          <c:smooth val="1"/>
        </c:ser>
        <c:ser>
          <c:idx val="5"/>
          <c:order val="5"/>
          <c:tx>
            <c:strRef>
              <c:f>Optimizer!AP6</c:f>
              <c:strCache>
                <c:ptCount val="1"/>
                <c:pt idx="0">
                  <c:v>8</c:v>
                </c:pt>
              </c:strCache>
            </c:strRef>
          </c:tx>
          <c:spPr>
            <a:solidFill>
              <a:srgbClr val="98b855"/>
            </a:solidFill>
            <a:ln w="47520">
              <a:solidFill>
                <a:srgbClr val="98b855"/>
              </a:solidFill>
              <a:round/>
            </a:ln>
          </c:spPr>
          <c:marker>
            <c:symbol val="circle"/>
            <c:size val="4"/>
            <c:spPr>
              <a:solidFill>
                <a:srgbClr val="98b855"/>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Optimizer!$AP$7:$AP$26</c:f>
              <c:numCache>
                <c:formatCode>#,##0</c:formatCode>
                <c:ptCount val="20"/>
                <c:pt idx="7">
                  <c:v>2223124</c:v>
                </c:pt>
                <c:pt idx="8">
                  <c:v>2241087.8</c:v>
                </c:pt>
              </c:numCache>
            </c:numRef>
          </c:yVal>
          <c:smooth val="1"/>
        </c:ser>
        <c:ser>
          <c:idx val="6"/>
          <c:order val="6"/>
          <c:tx>
            <c:strRef>
              <c:f>Optimizer!AQ6</c:f>
              <c:strCache>
                <c:ptCount val="1"/>
                <c:pt idx="0">
                  <c:v>10</c:v>
                </c:pt>
              </c:strCache>
            </c:strRef>
          </c:tx>
          <c:spPr>
            <a:solidFill>
              <a:srgbClr val="a6c178"/>
            </a:solidFill>
            <a:ln w="47520">
              <a:solidFill>
                <a:srgbClr val="a6c178"/>
              </a:solidFill>
              <a:round/>
            </a:ln>
          </c:spPr>
          <c:marker>
            <c:symbol val="circle"/>
            <c:size val="4"/>
            <c:spPr>
              <a:solidFill>
                <a:srgbClr val="a6c178"/>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Optimizer!$AQ$7:$AQ$26</c:f>
              <c:numCache>
                <c:formatCode>#,##0</c:formatCode>
                <c:ptCount val="20"/>
                <c:pt idx="5">
                  <c:v>2256684.8</c:v>
                </c:pt>
                <c:pt idx="6">
                  <c:v>2231554.65</c:v>
                </c:pt>
                <c:pt idx="7">
                  <c:v>2245764.9</c:v>
                </c:pt>
                <c:pt idx="8">
                  <c:v>2275884.5</c:v>
                </c:pt>
              </c:numCache>
            </c:numRef>
          </c:yVal>
          <c:smooth val="1"/>
        </c:ser>
        <c:ser>
          <c:idx val="7"/>
          <c:order val="7"/>
          <c:tx>
            <c:strRef>
              <c:f>Optimizer!AR6</c:f>
              <c:strCache>
                <c:ptCount val="1"/>
                <c:pt idx="0">
                  <c:v>12</c:v>
                </c:pt>
              </c:strCache>
            </c:strRef>
          </c:tx>
          <c:spPr>
            <a:solidFill>
              <a:srgbClr val="b3c992"/>
            </a:solidFill>
            <a:ln w="47520">
              <a:solidFill>
                <a:srgbClr val="b3c992"/>
              </a:solidFill>
              <a:round/>
            </a:ln>
          </c:spPr>
          <c:marker>
            <c:symbol val="circle"/>
            <c:size val="4"/>
            <c:spPr>
              <a:solidFill>
                <a:srgbClr val="b3c992"/>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Optimizer!$AR$7:$AR$26</c:f>
              <c:numCache>
                <c:formatCode>#,##0</c:formatCode>
                <c:ptCount val="20"/>
                <c:pt idx="7">
                  <c:v>2254510</c:v>
                </c:pt>
                <c:pt idx="8">
                  <c:v>2258418.75</c:v>
                </c:pt>
              </c:numCache>
            </c:numRef>
          </c:yVal>
          <c:smooth val="1"/>
        </c:ser>
        <c:ser>
          <c:idx val="8"/>
          <c:order val="8"/>
          <c:tx>
            <c:strRef>
              <c:f>Optimizer!AS6</c:f>
              <c:strCache>
                <c:ptCount val="1"/>
                <c:pt idx="0">
                  <c:v>16</c:v>
                </c:pt>
              </c:strCache>
            </c:strRef>
          </c:tx>
          <c:spPr>
            <a:solidFill>
              <a:srgbClr val="c0d2a7"/>
            </a:solidFill>
            <a:ln w="47520">
              <a:solidFill>
                <a:srgbClr val="c0d2a7"/>
              </a:solidFill>
              <a:round/>
            </a:ln>
          </c:spPr>
          <c:marker>
            <c:symbol val="circle"/>
            <c:size val="4"/>
            <c:spPr>
              <a:solidFill>
                <a:srgbClr val="c0d2a7"/>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Optimizer!$AS$7:$AS$26</c:f>
              <c:numCache>
                <c:formatCode>#,##0</c:formatCode>
                <c:ptCount val="20"/>
                <c:pt idx="5">
                  <c:v>2279398.4</c:v>
                </c:pt>
                <c:pt idx="6">
                  <c:v>2304296.25</c:v>
                </c:pt>
                <c:pt idx="7">
                  <c:v>2293391.8</c:v>
                </c:pt>
                <c:pt idx="8">
                  <c:v>2319479</c:v>
                </c:pt>
              </c:numCache>
            </c:numRef>
          </c:yVal>
          <c:smooth val="1"/>
        </c:ser>
        <c:ser>
          <c:idx val="9"/>
          <c:order val="9"/>
          <c:tx>
            <c:strRef>
              <c:f>Optimizer!AT6</c:f>
              <c:strCache>
                <c:ptCount val="1"/>
                <c:pt idx="0">
                  <c:v>20</c:v>
                </c:pt>
              </c:strCache>
            </c:strRef>
          </c:tx>
          <c:spPr>
            <a:solidFill>
              <a:srgbClr val="ccdab8"/>
            </a:solidFill>
            <a:ln w="47520">
              <a:solidFill>
                <a:srgbClr val="ccdab8"/>
              </a:solidFill>
              <a:round/>
            </a:ln>
          </c:spPr>
          <c:marker>
            <c:symbol val="circle"/>
            <c:size val="4"/>
            <c:spPr>
              <a:solidFill>
                <a:srgbClr val="ccdab8"/>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Optimizer!$AT$7:$AT$26</c:f>
              <c:numCache>
                <c:formatCode>#,##0</c:formatCode>
                <c:ptCount val="20"/>
              </c:numCache>
            </c:numRef>
          </c:yVal>
          <c:smooth val="1"/>
        </c:ser>
        <c:ser>
          <c:idx val="10"/>
          <c:order val="10"/>
          <c:tx>
            <c:strRef>
              <c:f>Optimizer!AU6</c:f>
              <c:strCache>
                <c:ptCount val="1"/>
                <c:pt idx="0">
                  <c:v>24</c:v>
                </c:pt>
              </c:strCache>
            </c:strRef>
          </c:tx>
          <c:spPr>
            <a:solidFill>
              <a:srgbClr val="d7e0c9"/>
            </a:solidFill>
            <a:ln w="47520">
              <a:solidFill>
                <a:srgbClr val="d7e0c9"/>
              </a:solidFill>
              <a:round/>
            </a:ln>
          </c:spPr>
          <c:marker>
            <c:symbol val="circle"/>
            <c:size val="4"/>
            <c:spPr>
              <a:solidFill>
                <a:srgbClr val="d7e0c9"/>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Optimizer!$AU$7:$AU$26</c:f>
              <c:numCache>
                <c:formatCode>#,##0</c:formatCode>
                <c:ptCount val="20"/>
              </c:numCache>
            </c:numRef>
          </c:yVal>
          <c:smooth val="1"/>
        </c:ser>
        <c:axId val="62149484"/>
        <c:axId val="46048502"/>
      </c:scatterChart>
      <c:valAx>
        <c:axId val="62149484"/>
        <c:scaling>
          <c:orientation val="minMax"/>
          <c:max val="20"/>
          <c:min val="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Number of tiers N_T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048502"/>
        <c:crosses val="autoZero"/>
        <c:crossBetween val="midCat"/>
      </c:valAx>
      <c:valAx>
        <c:axId val="4604850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Objective (EUR / s / m²)</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149484"/>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Shape: shuttle cycle vs D/W</a:t>
            </a:r>
          </a:p>
        </c:rich>
      </c:tx>
      <c:overlay val="0"/>
      <c:spPr>
        <a:noFill/>
        <a:ln w="0">
          <a:noFill/>
        </a:ln>
      </c:spPr>
    </c:title>
    <c:autoTitleDeleted val="0"/>
    <c:plotArea>
      <c:scatterChart>
        <c:scatterStyle val="lineMarker"/>
        <c:varyColors val="0"/>
        <c:ser>
          <c:idx val="0"/>
          <c:order val="0"/>
          <c:tx>
            <c:strRef>
              <c:f>"N_C values at optimal N_T"</c:f>
              <c:strCache>
                <c:ptCount val="1"/>
                <c:pt idx="0">
                  <c:v>N_C values at optimal N_T</c:v>
                </c:pt>
              </c:strCache>
            </c:strRef>
          </c:tx>
          <c:spPr>
            <a:solidFill>
              <a:srgbClr val="87a44b"/>
            </a:solidFill>
            <a:ln w="47520">
              <a:solidFill>
                <a:srgbClr val="87a44b"/>
              </a:solidFill>
              <a:round/>
            </a:ln>
          </c:spPr>
          <c:marker>
            <c:symbol val="circle"/>
            <c:size val="5"/>
            <c:spPr>
              <a:solidFill>
                <a:srgbClr val="87a44b"/>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Chart_data!$C$8:$C$18</c:f>
              <c:numCache>
                <c:formatCode>0.00</c:formatCode>
                <c:ptCount val="11"/>
                <c:pt idx="0">
                  <c:v>0.0172185430463576</c:v>
                </c:pt>
                <c:pt idx="1">
                  <c:v>0.0382352941176471</c:v>
                </c:pt>
                <c:pt idx="2">
                  <c:v>0.0675324675324675</c:v>
                </c:pt>
                <c:pt idx="3">
                  <c:v>0.104838709677419</c:v>
                </c:pt>
                <c:pt idx="4">
                  <c:v>0.147169811320755</c:v>
                </c:pt>
                <c:pt idx="5">
                  <c:v>0.26</c:v>
                </c:pt>
                <c:pt idx="6">
                  <c:v>0.393939393939394</c:v>
                </c:pt>
                <c:pt idx="7">
                  <c:v>0.557142857142857</c:v>
                </c:pt>
                <c:pt idx="8">
                  <c:v>0.945454545454545</c:v>
                </c:pt>
                <c:pt idx="9">
                  <c:v>1.44444444444444</c:v>
                </c:pt>
                <c:pt idx="10">
                  <c:v>1.95</c:v>
                </c:pt>
              </c:numCache>
            </c:numRef>
          </c:xVal>
          <c:yVal>
            <c:numRef>
              <c:f>Chart_data!$D$8:$D$18</c:f>
              <c:numCache>
                <c:formatCode>0.0</c:formatCode>
                <c:ptCount val="11"/>
                <c:pt idx="0">
                  <c:v>100.559691426333</c:v>
                </c:pt>
                <c:pt idx="1">
                  <c:v>93.2081800738178</c:v>
                </c:pt>
                <c:pt idx="2">
                  <c:v>89.9601819545678</c:v>
                </c:pt>
                <c:pt idx="3">
                  <c:v>88.3937374107059</c:v>
                </c:pt>
                <c:pt idx="4">
                  <c:v>87.8925391812571</c:v>
                </c:pt>
                <c:pt idx="5">
                  <c:v>87.7810072723084</c:v>
                </c:pt>
                <c:pt idx="6">
                  <c:v>88.7434287283392</c:v>
                </c:pt>
                <c:pt idx="7">
                  <c:v>90.0626634502366</c:v>
                </c:pt>
                <c:pt idx="8">
                  <c:v>93.4187145210803</c:v>
                </c:pt>
                <c:pt idx="9">
                  <c:v>97.1308098114791</c:v>
                </c:pt>
                <c:pt idx="10">
                  <c:v>101.209661037914</c:v>
                </c:pt>
              </c:numCache>
            </c:numRef>
          </c:yVal>
          <c:smooth val="1"/>
        </c:ser>
        <c:ser>
          <c:idx val="1"/>
          <c:order val="1"/>
          <c:tx>
            <c:strRef>
              <c:f>"Selected design"</c:f>
              <c:strCache>
                <c:ptCount val="1"/>
                <c:pt idx="0">
                  <c:v>Selected design</c:v>
                </c:pt>
              </c:strCache>
            </c:strRef>
          </c:tx>
          <c:spPr>
            <a:solidFill>
              <a:srgbClr val="ffffff"/>
            </a:solidFill>
            <a:ln w="47520">
              <a:noFill/>
            </a:ln>
          </c:spPr>
          <c:marker>
            <c:symbol val="diamond"/>
            <c:size val="12"/>
            <c:spPr>
              <a:no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Chart_data!$C$20</c:f>
              <c:numCache>
                <c:formatCode>0.00</c:formatCode>
                <c:ptCount val="1"/>
                <c:pt idx="0">
                  <c:v>0.26</c:v>
                </c:pt>
              </c:numCache>
            </c:numRef>
          </c:xVal>
          <c:yVal>
            <c:numRef>
              <c:f>Chart_data!$D$20</c:f>
              <c:numCache>
                <c:formatCode>0.0</c:formatCode>
                <c:ptCount val="1"/>
                <c:pt idx="0">
                  <c:v>87.7810072723084</c:v>
                </c:pt>
              </c:numCache>
            </c:numRef>
          </c:yVal>
          <c:smooth val="1"/>
        </c:ser>
        <c:axId val="32895018"/>
        <c:axId val="6895918"/>
      </c:scatterChart>
      <c:valAx>
        <c:axId val="32895018"/>
        <c:scaling>
          <c:logBase val="10"/>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D/W</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95918"/>
        <c:crosses val="autoZero"/>
        <c:crossBetween val="midCat"/>
      </c:valAx>
      <c:valAx>
        <c:axId val="689591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Shuttle cycle (s)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895018"/>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Shape: total cost vs D/W</a:t>
            </a:r>
          </a:p>
        </c:rich>
      </c:tx>
      <c:overlay val="0"/>
      <c:spPr>
        <a:noFill/>
        <a:ln w="0">
          <a:noFill/>
        </a:ln>
      </c:spPr>
    </c:title>
    <c:autoTitleDeleted val="0"/>
    <c:plotArea>
      <c:scatterChart>
        <c:scatterStyle val="lineMarker"/>
        <c:varyColors val="0"/>
        <c:ser>
          <c:idx val="0"/>
          <c:order val="0"/>
          <c:tx>
            <c:strRef>
              <c:f>"Feasible N_C values"</c:f>
              <c:strCache>
                <c:ptCount val="1"/>
                <c:pt idx="0">
                  <c:v>Feasible N_C values</c:v>
                </c:pt>
              </c:strCache>
            </c:strRef>
          </c:tx>
          <c:spPr>
            <a:solidFill>
              <a:srgbClr val="87a44b"/>
            </a:solidFill>
            <a:ln w="47520">
              <a:solidFill>
                <a:srgbClr val="87a44b"/>
              </a:solidFill>
              <a:round/>
            </a:ln>
          </c:spPr>
          <c:marker>
            <c:symbol val="circle"/>
            <c:size val="5"/>
            <c:spPr>
              <a:solidFill>
                <a:srgbClr val="87a44b"/>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Chart_data!$C$8:$C$18</c:f>
              <c:numCache>
                <c:formatCode>0.00</c:formatCode>
                <c:ptCount val="11"/>
                <c:pt idx="0">
                  <c:v>0.0172185430463576</c:v>
                </c:pt>
                <c:pt idx="1">
                  <c:v>0.0382352941176471</c:v>
                </c:pt>
                <c:pt idx="2">
                  <c:v>0.0675324675324675</c:v>
                </c:pt>
                <c:pt idx="3">
                  <c:v>0.104838709677419</c:v>
                </c:pt>
                <c:pt idx="4">
                  <c:v>0.147169811320755</c:v>
                </c:pt>
                <c:pt idx="5">
                  <c:v>0.26</c:v>
                </c:pt>
                <c:pt idx="6">
                  <c:v>0.393939393939394</c:v>
                </c:pt>
                <c:pt idx="7">
                  <c:v>0.557142857142857</c:v>
                </c:pt>
                <c:pt idx="8">
                  <c:v>0.945454545454545</c:v>
                </c:pt>
                <c:pt idx="9">
                  <c:v>1.44444444444444</c:v>
                </c:pt>
                <c:pt idx="10">
                  <c:v>1.95</c:v>
                </c:pt>
              </c:numCache>
            </c:numRef>
          </c:xVal>
          <c:yVal>
            <c:numRef>
              <c:f>Chart_data!$E$8:$E$18</c:f>
              <c:numCache>
                <c:formatCode>#,##0</c:formatCode>
                <c:ptCount val="11"/>
                <c:pt idx="5">
                  <c:v>2223124</c:v>
                </c:pt>
                <c:pt idx="6">
                  <c:v>2245764.9</c:v>
                </c:pt>
                <c:pt idx="7">
                  <c:v>2254510</c:v>
                </c:pt>
                <c:pt idx="8">
                  <c:v>2293391.8</c:v>
                </c:pt>
              </c:numCache>
            </c:numRef>
          </c:yVal>
          <c:smooth val="1"/>
        </c:ser>
        <c:ser>
          <c:idx val="1"/>
          <c:order val="1"/>
          <c:tx>
            <c:strRef>
              <c:f>"Selected design"</c:f>
              <c:strCache>
                <c:ptCount val="1"/>
                <c:pt idx="0">
                  <c:v>Selected design</c:v>
                </c:pt>
              </c:strCache>
            </c:strRef>
          </c:tx>
          <c:spPr>
            <a:solidFill>
              <a:srgbClr val="ffffff"/>
            </a:solidFill>
            <a:ln w="47520">
              <a:noFill/>
            </a:ln>
          </c:spPr>
          <c:marker>
            <c:symbol val="diamond"/>
            <c:size val="12"/>
            <c:spPr>
              <a:no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Chart_data!$C$20</c:f>
              <c:numCache>
                <c:formatCode>0.00</c:formatCode>
                <c:ptCount val="1"/>
                <c:pt idx="0">
                  <c:v>0.26</c:v>
                </c:pt>
              </c:numCache>
            </c:numRef>
          </c:xVal>
          <c:yVal>
            <c:numRef>
              <c:f>Chart_data!$E$20</c:f>
              <c:numCache>
                <c:formatCode>#,##0</c:formatCode>
                <c:ptCount val="1"/>
                <c:pt idx="0">
                  <c:v>2223124</c:v>
                </c:pt>
              </c:numCache>
            </c:numRef>
          </c:yVal>
          <c:smooth val="1"/>
        </c:ser>
        <c:axId val="21884972"/>
        <c:axId val="97488810"/>
      </c:scatterChart>
      <c:valAx>
        <c:axId val="21884972"/>
        <c:scaling>
          <c:logBase val="10"/>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D/W</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488810"/>
        <c:crosses val="autoZero"/>
        <c:crossBetween val="midCat"/>
      </c:valAx>
      <c:valAx>
        <c:axId val="9748881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Total cost (EUR)</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884972"/>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Lift utilization vs number of lifts (optimal design)</a:t>
            </a:r>
          </a:p>
        </c:rich>
      </c:tx>
      <c:overlay val="0"/>
      <c:spPr>
        <a:noFill/>
        <a:ln w="0">
          <a:noFill/>
        </a:ln>
      </c:spPr>
    </c:title>
    <c:autoTitleDeleted val="0"/>
    <c:plotArea>
      <c:barChart>
        <c:barDir val="col"/>
        <c:grouping val="clustered"/>
        <c:varyColors val="0"/>
        <c:ser>
          <c:idx val="0"/>
          <c:order val="0"/>
          <c:tx>
            <c:strRef>
              <c:f>Chart_data!B24</c:f>
              <c:strCache>
                <c:ptCount val="1"/>
                <c:pt idx="0">
                  <c:v>Normal</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Chart_data!$A$25:$A$30</c:f>
              <c:strCache>
                <c:ptCount val="6"/>
                <c:pt idx="0">
                  <c:v>1</c:v>
                </c:pt>
                <c:pt idx="1">
                  <c:v>2</c:v>
                </c:pt>
                <c:pt idx="2">
                  <c:v>3</c:v>
                </c:pt>
                <c:pt idx="3">
                  <c:v>4</c:v>
                </c:pt>
                <c:pt idx="4">
                  <c:v>5</c:v>
                </c:pt>
                <c:pt idx="5">
                  <c:v>6</c:v>
                </c:pt>
              </c:strCache>
            </c:strRef>
          </c:cat>
          <c:val>
            <c:numRef>
              <c:f>Chart_data!$B$25:$B$30</c:f>
              <c:numCache>
                <c:formatCode>0%</c:formatCode>
                <c:ptCount val="6"/>
                <c:pt idx="0">
                  <c:v>0.751646825396826</c:v>
                </c:pt>
                <c:pt idx="1">
                  <c:v>0.375823412698413</c:v>
                </c:pt>
                <c:pt idx="2">
                  <c:v>0.250548941798942</c:v>
                </c:pt>
                <c:pt idx="3">
                  <c:v>0.187911706349206</c:v>
                </c:pt>
                <c:pt idx="4">
                  <c:v>0.150329365079365</c:v>
                </c:pt>
                <c:pt idx="5">
                  <c:v>0.125274470899471</c:v>
                </c:pt>
              </c:numCache>
            </c:numRef>
          </c:val>
        </c:ser>
        <c:ser>
          <c:idx val="1"/>
          <c:order val="1"/>
          <c:tx>
            <c:strRef>
              <c:f>Chart_data!C24</c:f>
              <c:strCache>
                <c:ptCount val="1"/>
                <c:pt idx="0">
                  <c:v>One lift down</c:v>
                </c:pt>
              </c:strCache>
            </c:strRef>
          </c:tx>
          <c:spPr>
            <a:solidFill>
              <a:srgbClr val="c0504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Chart_data!$A$25:$A$30</c:f>
              <c:strCache>
                <c:ptCount val="6"/>
                <c:pt idx="0">
                  <c:v>1</c:v>
                </c:pt>
                <c:pt idx="1">
                  <c:v>2</c:v>
                </c:pt>
                <c:pt idx="2">
                  <c:v>3</c:v>
                </c:pt>
                <c:pt idx="3">
                  <c:v>4</c:v>
                </c:pt>
                <c:pt idx="4">
                  <c:v>5</c:v>
                </c:pt>
                <c:pt idx="5">
                  <c:v>6</c:v>
                </c:pt>
              </c:strCache>
            </c:strRef>
          </c:cat>
          <c:val>
            <c:numRef>
              <c:f>Chart_data!$C$25:$C$30</c:f>
              <c:numCache>
                <c:formatCode>0%</c:formatCode>
                <c:ptCount val="6"/>
                <c:pt idx="1">
                  <c:v>0.751646825396826</c:v>
                </c:pt>
                <c:pt idx="2">
                  <c:v>0.375823412698413</c:v>
                </c:pt>
                <c:pt idx="3">
                  <c:v>0.250548941798942</c:v>
                </c:pt>
                <c:pt idx="4">
                  <c:v>0.187911706349206</c:v>
                </c:pt>
                <c:pt idx="5">
                  <c:v>0.150329365079365</c:v>
                </c:pt>
              </c:numCache>
            </c:numRef>
          </c:val>
        </c:ser>
        <c:gapWidth val="150"/>
        <c:overlap val="0"/>
        <c:axId val="9030514"/>
        <c:axId val="18840678"/>
      </c:barChart>
      <c:lineChart>
        <c:grouping val="standard"/>
        <c:varyColors val="0"/>
        <c:ser>
          <c:idx val="2"/>
          <c:order val="2"/>
          <c:tx>
            <c:strRef>
              <c:f>Chart_data!D24</c:f>
              <c:strCache>
                <c:ptCount val="1"/>
                <c:pt idx="0">
                  <c:v>Target normal</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Chart_data!$A$25:$A$30</c:f>
              <c:strCache>
                <c:ptCount val="6"/>
                <c:pt idx="0">
                  <c:v>1</c:v>
                </c:pt>
                <c:pt idx="1">
                  <c:v>2</c:v>
                </c:pt>
                <c:pt idx="2">
                  <c:v>3</c:v>
                </c:pt>
                <c:pt idx="3">
                  <c:v>4</c:v>
                </c:pt>
                <c:pt idx="4">
                  <c:v>5</c:v>
                </c:pt>
                <c:pt idx="5">
                  <c:v>6</c:v>
                </c:pt>
              </c:strCache>
            </c:strRef>
          </c:cat>
          <c:val>
            <c:numRef>
              <c:f>Chart_data!$D$25:$D$30</c:f>
              <c:numCache>
                <c:formatCode>0%</c:formatCode>
                <c:ptCount val="6"/>
                <c:pt idx="0">
                  <c:v>0.75</c:v>
                </c:pt>
                <c:pt idx="1">
                  <c:v>0.75</c:v>
                </c:pt>
                <c:pt idx="2">
                  <c:v>0.75</c:v>
                </c:pt>
                <c:pt idx="3">
                  <c:v>0.75</c:v>
                </c:pt>
                <c:pt idx="4">
                  <c:v>0.75</c:v>
                </c:pt>
                <c:pt idx="5">
                  <c:v>0.75</c:v>
                </c:pt>
              </c:numCache>
            </c:numRef>
          </c:val>
          <c:smooth val="1"/>
        </c:ser>
        <c:ser>
          <c:idx val="3"/>
          <c:order val="3"/>
          <c:tx>
            <c:strRef>
              <c:f>Chart_data!E24</c:f>
              <c:strCache>
                <c:ptCount val="1"/>
                <c:pt idx="0">
                  <c:v>Target one down</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Chart_data!$A$25:$A$30</c:f>
              <c:strCache>
                <c:ptCount val="6"/>
                <c:pt idx="0">
                  <c:v>1</c:v>
                </c:pt>
                <c:pt idx="1">
                  <c:v>2</c:v>
                </c:pt>
                <c:pt idx="2">
                  <c:v>3</c:v>
                </c:pt>
                <c:pt idx="3">
                  <c:v>4</c:v>
                </c:pt>
                <c:pt idx="4">
                  <c:v>5</c:v>
                </c:pt>
                <c:pt idx="5">
                  <c:v>6</c:v>
                </c:pt>
              </c:strCache>
            </c:strRef>
          </c:cat>
          <c:val>
            <c:numRef>
              <c:f>Chart_data!$E$25:$E$30</c:f>
              <c:numCache>
                <c:formatCode>0%</c:formatCode>
                <c:ptCount val="6"/>
                <c:pt idx="0">
                  <c:v>0.95</c:v>
                </c:pt>
                <c:pt idx="1">
                  <c:v>0.95</c:v>
                </c:pt>
                <c:pt idx="2">
                  <c:v>0.95</c:v>
                </c:pt>
                <c:pt idx="3">
                  <c:v>0.95</c:v>
                </c:pt>
                <c:pt idx="4">
                  <c:v>0.95</c:v>
                </c:pt>
                <c:pt idx="5">
                  <c:v>0.95</c:v>
                </c:pt>
              </c:numCache>
            </c:numRef>
          </c:val>
          <c:smooth val="1"/>
        </c:ser>
        <c:hiLowLines>
          <c:spPr>
            <a:ln w="0">
              <a:noFill/>
            </a:ln>
          </c:spPr>
        </c:hiLowLines>
        <c:marker val="0"/>
        <c:axId val="9030514"/>
        <c:axId val="18840678"/>
      </c:lineChart>
      <c:catAx>
        <c:axId val="903051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Number of lifts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840678"/>
        <c:crosses val="autoZero"/>
        <c:auto val="1"/>
        <c:lblAlgn val="ctr"/>
        <c:lblOffset val="100"/>
        <c:noMultiLvlLbl val="0"/>
      </c:catAx>
      <c:valAx>
        <c:axId val="18840678"/>
        <c:scaling>
          <c:orientation val="minMax"/>
          <c:max val="1.5"/>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Utilization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3051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Shuttle utilization per tier (optimal design)</a:t>
            </a:r>
          </a:p>
        </c:rich>
      </c:tx>
      <c:overlay val="0"/>
      <c:spPr>
        <a:noFill/>
        <a:ln w="0">
          <a:noFill/>
        </a:ln>
      </c:spPr>
    </c:title>
    <c:autoTitleDeleted val="0"/>
    <c:plotArea>
      <c:barChart>
        <c:barDir val="col"/>
        <c:grouping val="clustered"/>
        <c:varyColors val="0"/>
        <c:ser>
          <c:idx val="0"/>
          <c:order val="0"/>
          <c:tx>
            <c:strRef>
              <c:f>Chart_data!E34</c:f>
              <c:strCache>
                <c:ptCount val="1"/>
                <c:pt idx="0">
                  <c:v>Utilization</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Chart_data!$A$35:$A$54</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Chart_data!$E$35:$E$54</c:f>
              <c:numCache>
                <c:formatCode>0%</c:formatCode>
                <c:ptCount val="20"/>
                <c:pt idx="0">
                  <c:v>0.487672262623936</c:v>
                </c:pt>
                <c:pt idx="1">
                  <c:v>0.487672262623936</c:v>
                </c:pt>
                <c:pt idx="2">
                  <c:v>0.121918065655984</c:v>
                </c:pt>
                <c:pt idx="3">
                  <c:v>0.121918065655984</c:v>
                </c:pt>
                <c:pt idx="4">
                  <c:v>0.121918065655984</c:v>
                </c:pt>
                <c:pt idx="5">
                  <c:v>0.0406393552186613</c:v>
                </c:pt>
                <c:pt idx="6">
                  <c:v>0.0406393552186613</c:v>
                </c:pt>
                <c:pt idx="7">
                  <c:v>0.0406393552186613</c:v>
                </c:pt>
              </c:numCache>
            </c:numRef>
          </c:val>
        </c:ser>
        <c:gapWidth val="150"/>
        <c:overlap val="0"/>
        <c:axId val="1734479"/>
        <c:axId val="68390972"/>
      </c:barChart>
      <c:lineChart>
        <c:grouping val="standard"/>
        <c:varyColors val="0"/>
        <c:ser>
          <c:idx val="1"/>
          <c:order val="1"/>
          <c:tx>
            <c:strRef>
              <c:f>Chart_data!F34</c:f>
              <c:strCache>
                <c:ptCount val="1"/>
                <c:pt idx="0">
                  <c:v>Target</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Chart_data!$A$35:$A$54</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Chart_data!$F$35:$F$54</c:f>
              <c:numCache>
                <c:formatCode>0%</c:formatCode>
                <c:ptCount val="20"/>
                <c:pt idx="0">
                  <c:v>0.75</c:v>
                </c:pt>
                <c:pt idx="1">
                  <c:v>0.75</c:v>
                </c:pt>
                <c:pt idx="2">
                  <c:v>0.75</c:v>
                </c:pt>
                <c:pt idx="3">
                  <c:v>0.75</c:v>
                </c:pt>
                <c:pt idx="4">
                  <c:v>0.75</c:v>
                </c:pt>
                <c:pt idx="5">
                  <c:v>0.75</c:v>
                </c:pt>
                <c:pt idx="6">
                  <c:v>0.75</c:v>
                </c:pt>
                <c:pt idx="7">
                  <c:v>0.75</c:v>
                </c:pt>
                <c:pt idx="8">
                  <c:v>0.75</c:v>
                </c:pt>
                <c:pt idx="9">
                  <c:v>0.75</c:v>
                </c:pt>
                <c:pt idx="10">
                  <c:v>0.75</c:v>
                </c:pt>
                <c:pt idx="11">
                  <c:v>0.75</c:v>
                </c:pt>
                <c:pt idx="12">
                  <c:v>0.75</c:v>
                </c:pt>
                <c:pt idx="13">
                  <c:v>0.75</c:v>
                </c:pt>
                <c:pt idx="14">
                  <c:v>0.75</c:v>
                </c:pt>
                <c:pt idx="15">
                  <c:v>0.75</c:v>
                </c:pt>
                <c:pt idx="16">
                  <c:v>0.75</c:v>
                </c:pt>
                <c:pt idx="17">
                  <c:v>0.75</c:v>
                </c:pt>
                <c:pt idx="18">
                  <c:v>0.75</c:v>
                </c:pt>
                <c:pt idx="19">
                  <c:v>0.75</c:v>
                </c:pt>
              </c:numCache>
            </c:numRef>
          </c:val>
          <c:smooth val="1"/>
        </c:ser>
        <c:hiLowLines>
          <c:spPr>
            <a:ln w="0">
              <a:noFill/>
            </a:ln>
          </c:spPr>
        </c:hiLowLines>
        <c:marker val="0"/>
        <c:axId val="1734479"/>
        <c:axId val="68390972"/>
      </c:lineChart>
      <c:catAx>
        <c:axId val="173447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Tier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390972"/>
        <c:crosses val="autoZero"/>
        <c:auto val="1"/>
        <c:lblAlgn val="ctr"/>
        <c:lblOffset val="100"/>
        <c:noMultiLvlLbl val="0"/>
      </c:catAx>
      <c:valAx>
        <c:axId val="68390972"/>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Utilization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3447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Cost breakdown: optimal vs manual design</a:t>
            </a:r>
          </a:p>
        </c:rich>
      </c:tx>
      <c:overlay val="0"/>
      <c:spPr>
        <a:noFill/>
        <a:ln w="0">
          <a:noFill/>
        </a:ln>
      </c:spPr>
    </c:title>
    <c:autoTitleDeleted val="0"/>
    <c:plotArea>
      <c:barChart>
        <c:barDir val="col"/>
        <c:grouping val="clustered"/>
        <c:varyColors val="0"/>
        <c:ser>
          <c:idx val="0"/>
          <c:order val="0"/>
          <c:tx>
            <c:strRef>
              <c:f>Chart_data!B58</c:f>
              <c:strCache>
                <c:ptCount val="1"/>
                <c:pt idx="0">
                  <c:v>Optimal</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Chart_data!$A$59:$A$62</c:f>
              <c:strCache>
                <c:ptCount val="4"/>
                <c:pt idx="0">
                  <c:v>Lifts</c:v>
                </c:pt>
                <c:pt idx="1">
                  <c:v>Shuttles</c:v>
                </c:pt>
                <c:pt idx="2">
                  <c:v>Racks</c:v>
                </c:pt>
                <c:pt idx="3">
                  <c:v>Building</c:v>
                </c:pt>
              </c:strCache>
            </c:strRef>
          </c:cat>
          <c:val>
            <c:numRef>
              <c:f>Chart_data!$B$59:$B$62</c:f>
              <c:numCache>
                <c:formatCode>#,##0</c:formatCode>
                <c:ptCount val="4"/>
                <c:pt idx="0">
                  <c:v>300000</c:v>
                </c:pt>
                <c:pt idx="1">
                  <c:v>600000</c:v>
                </c:pt>
                <c:pt idx="2">
                  <c:v>473600</c:v>
                </c:pt>
                <c:pt idx="3">
                  <c:v>849524</c:v>
                </c:pt>
              </c:numCache>
            </c:numRef>
          </c:val>
        </c:ser>
        <c:ser>
          <c:idx val="1"/>
          <c:order val="1"/>
          <c:tx>
            <c:strRef>
              <c:f>Chart_data!C58</c:f>
              <c:strCache>
                <c:ptCount val="1"/>
                <c:pt idx="0">
                  <c:v>Manual</c:v>
                </c:pt>
              </c:strCache>
            </c:strRef>
          </c:tx>
          <c:spPr>
            <a:solidFill>
              <a:srgbClr val="c0504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Chart_data!$A$59:$A$62</c:f>
              <c:strCache>
                <c:ptCount val="4"/>
                <c:pt idx="0">
                  <c:v>Lifts</c:v>
                </c:pt>
                <c:pt idx="1">
                  <c:v>Shuttles</c:v>
                </c:pt>
                <c:pt idx="2">
                  <c:v>Racks</c:v>
                </c:pt>
                <c:pt idx="3">
                  <c:v>Building</c:v>
                </c:pt>
              </c:strCache>
            </c:strRef>
          </c:cat>
          <c:val>
            <c:numRef>
              <c:f>Chart_data!$C$59:$C$62</c:f>
              <c:numCache>
                <c:formatCode>#,##0</c:formatCode>
                <c:ptCount val="4"/>
                <c:pt idx="0">
                  <c:v>300000</c:v>
                </c:pt>
                <c:pt idx="1">
                  <c:v>600000</c:v>
                </c:pt>
                <c:pt idx="2">
                  <c:v>473600</c:v>
                </c:pt>
                <c:pt idx="3">
                  <c:v>849524</c:v>
                </c:pt>
              </c:numCache>
            </c:numRef>
          </c:val>
        </c:ser>
        <c:gapWidth val="150"/>
        <c:overlap val="0"/>
        <c:axId val="9737573"/>
        <c:axId val="42744323"/>
      </c:barChart>
      <c:catAx>
        <c:axId val="973757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744323"/>
        <c:crosses val="autoZero"/>
        <c:auto val="1"/>
        <c:lblAlgn val="ctr"/>
        <c:lblOffset val="100"/>
        <c:noMultiLvlLbl val="0"/>
      </c:catAx>
      <c:valAx>
        <c:axId val="4274432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EUR</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3757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Plan view: rack block, cross-aisle and lifts</a:t>
            </a:r>
          </a:p>
        </c:rich>
      </c:tx>
      <c:overlay val="0"/>
      <c:spPr>
        <a:noFill/>
        <a:ln w="0">
          <a:noFill/>
        </a:ln>
      </c:spPr>
    </c:title>
    <c:autoTitleDeleted val="0"/>
    <c:plotArea>
      <c:scatterChart>
        <c:scatterStyle val="lineMarker"/>
        <c:varyColors val="0"/>
        <c:ser>
          <c:idx val="0"/>
          <c:order val="0"/>
          <c:tx>
            <c:strRef>
              <c:f>"Building"</c:f>
              <c:strCache>
                <c:ptCount val="1"/>
                <c:pt idx="0">
                  <c:v>Building</c:v>
                </c:pt>
              </c:strCache>
            </c:strRef>
          </c:tx>
          <c:spPr>
            <a:solidFill>
              <a:srgbClr val="7f7f7f"/>
            </a:solidFill>
            <a:ln w="47520">
              <a:solidFill>
                <a:srgbClr val="7f7f7f"/>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Chart_data!$G$72:$G$76</c:f>
              <c:numCache>
                <c:formatCode>General</c:formatCode>
                <c:ptCount val="5"/>
                <c:pt idx="0">
                  <c:v>0</c:v>
                </c:pt>
                <c:pt idx="1">
                  <c:v>45</c:v>
                </c:pt>
                <c:pt idx="2">
                  <c:v>45</c:v>
                </c:pt>
                <c:pt idx="3">
                  <c:v>0</c:v>
                </c:pt>
                <c:pt idx="4">
                  <c:v>0</c:v>
                </c:pt>
              </c:numCache>
            </c:numRef>
          </c:xVal>
          <c:yVal>
            <c:numRef>
              <c:f>Chart_data!$H$72:$H$76</c:f>
              <c:numCache>
                <c:formatCode>General</c:formatCode>
                <c:ptCount val="5"/>
                <c:pt idx="0">
                  <c:v>0</c:v>
                </c:pt>
                <c:pt idx="1">
                  <c:v>0</c:v>
                </c:pt>
                <c:pt idx="2">
                  <c:v>30</c:v>
                </c:pt>
                <c:pt idx="3">
                  <c:v>30</c:v>
                </c:pt>
                <c:pt idx="4">
                  <c:v>0</c:v>
                </c:pt>
              </c:numCache>
            </c:numRef>
          </c:yVal>
          <c:smooth val="1"/>
        </c:ser>
        <c:ser>
          <c:idx val="1"/>
          <c:order val="1"/>
          <c:tx>
            <c:strRef>
              <c:f>"Rack block"</c:f>
              <c:strCache>
                <c:ptCount val="1"/>
                <c:pt idx="0">
                  <c:v>Rack block</c:v>
                </c:pt>
              </c:strCache>
            </c:strRef>
          </c:tx>
          <c:spPr>
            <a:solidFill>
              <a:srgbClr val="1f3864"/>
            </a:solidFill>
            <a:ln w="47520">
              <a:solidFill>
                <a:srgbClr val="1f3864"/>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Chart_data!$A$72:$A$76</c:f>
              <c:numCache>
                <c:formatCode>0.0</c:formatCode>
                <c:ptCount val="5"/>
                <c:pt idx="0">
                  <c:v>2.5</c:v>
                </c:pt>
                <c:pt idx="1">
                  <c:v>42.5</c:v>
                </c:pt>
                <c:pt idx="2">
                  <c:v>42.5</c:v>
                </c:pt>
                <c:pt idx="3">
                  <c:v>2.5</c:v>
                </c:pt>
                <c:pt idx="4">
                  <c:v>2.5</c:v>
                </c:pt>
              </c:numCache>
            </c:numRef>
          </c:xVal>
          <c:yVal>
            <c:numRef>
              <c:f>Chart_data!$B$72:$B$76</c:f>
              <c:numCache>
                <c:formatCode>0.0</c:formatCode>
                <c:ptCount val="5"/>
                <c:pt idx="0">
                  <c:v>5</c:v>
                </c:pt>
                <c:pt idx="1">
                  <c:v>5</c:v>
                </c:pt>
                <c:pt idx="2">
                  <c:v>27.1</c:v>
                </c:pt>
                <c:pt idx="3">
                  <c:v>27.1</c:v>
                </c:pt>
                <c:pt idx="4">
                  <c:v>5</c:v>
                </c:pt>
              </c:numCache>
            </c:numRef>
          </c:yVal>
          <c:smooth val="1"/>
        </c:ser>
        <c:ser>
          <c:idx val="2"/>
          <c:order val="2"/>
          <c:tx>
            <c:strRef>
              <c:f>"Cross-aisle"</c:f>
              <c:strCache>
                <c:ptCount val="1"/>
                <c:pt idx="0">
                  <c:v>Cross-aisle</c:v>
                </c:pt>
              </c:strCache>
            </c:strRef>
          </c:tx>
          <c:spPr>
            <a:solidFill>
              <a:srgbClr val="c00000"/>
            </a:solidFill>
            <a:ln w="4752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Chart_data!$C$72:$C$73</c:f>
              <c:numCache>
                <c:formatCode>0.0</c:formatCode>
                <c:ptCount val="2"/>
                <c:pt idx="0">
                  <c:v>2.5</c:v>
                </c:pt>
                <c:pt idx="1">
                  <c:v>42.5</c:v>
                </c:pt>
              </c:numCache>
            </c:numRef>
          </c:xVal>
          <c:yVal>
            <c:numRef>
              <c:f>Chart_data!$D$72:$D$73</c:f>
              <c:numCache>
                <c:formatCode>General</c:formatCode>
                <c:ptCount val="2"/>
                <c:pt idx="0">
                  <c:v>16.05</c:v>
                </c:pt>
                <c:pt idx="1">
                  <c:v>16.05</c:v>
                </c:pt>
              </c:numCache>
            </c:numRef>
          </c:yVal>
          <c:smooth val="1"/>
        </c:ser>
        <c:ser>
          <c:idx val="3"/>
          <c:order val="3"/>
          <c:tx>
            <c:strRef>
              <c:f>"Lifts"</c:f>
              <c:strCache>
                <c:ptCount val="1"/>
                <c:pt idx="0">
                  <c:v>Lifts</c:v>
                </c:pt>
              </c:strCache>
            </c:strRef>
          </c:tx>
          <c:spPr>
            <a:solidFill>
              <a:srgbClr val="ffffff"/>
            </a:solidFill>
            <a:ln w="47520">
              <a:noFill/>
            </a:ln>
          </c:spPr>
          <c:marker>
            <c:symbol val="diamond"/>
            <c:size val="11"/>
            <c:spPr>
              <a:no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Chart_data!$E$72:$E$77</c:f>
              <c:numCache>
                <c:formatCode>0.0</c:formatCode>
                <c:ptCount val="6"/>
                <c:pt idx="0">
                  <c:v>12.5</c:v>
                </c:pt>
                <c:pt idx="1">
                  <c:v>32.5</c:v>
                </c:pt>
              </c:numCache>
            </c:numRef>
          </c:xVal>
          <c:yVal>
            <c:numRef>
              <c:f>Chart_data!$F$72:$F$77</c:f>
              <c:numCache>
                <c:formatCode>General</c:formatCode>
                <c:ptCount val="6"/>
                <c:pt idx="0">
                  <c:v>16.05</c:v>
                </c:pt>
                <c:pt idx="1">
                  <c:v>16.05</c:v>
                </c:pt>
              </c:numCache>
            </c:numRef>
          </c:yVal>
          <c:smooth val="1"/>
        </c:ser>
        <c:ser>
          <c:idx val="4"/>
          <c:order val="4"/>
          <c:tx>
            <c:strRef>
              <c:f>"IN bay"</c:f>
              <c:strCache>
                <c:ptCount val="1"/>
                <c:pt idx="0">
                  <c:v>IN bay</c:v>
                </c:pt>
              </c:strCache>
            </c:strRef>
          </c:tx>
          <c:spPr>
            <a:solidFill>
              <a:srgbClr val="ffffff"/>
            </a:solidFill>
            <a:ln w="28440">
              <a:noFill/>
            </a:ln>
          </c:spPr>
          <c:marker>
            <c:symbol val="triangle"/>
            <c:size val="12"/>
            <c:spPr>
              <a:no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Chart_data!$I$72</c:f>
              <c:numCache>
                <c:formatCode>0.0</c:formatCode>
                <c:ptCount val="1"/>
                <c:pt idx="0">
                  <c:v>5</c:v>
                </c:pt>
              </c:numCache>
            </c:numRef>
          </c:xVal>
          <c:yVal>
            <c:numRef>
              <c:f>Chart_data!$J$72</c:f>
              <c:numCache>
                <c:formatCode>General</c:formatCode>
                <c:ptCount val="1"/>
                <c:pt idx="0">
                  <c:v>0</c:v>
                </c:pt>
              </c:numCache>
            </c:numRef>
          </c:yVal>
          <c:smooth val="1"/>
        </c:ser>
        <c:ser>
          <c:idx val="5"/>
          <c:order val="5"/>
          <c:tx>
            <c:strRef>
              <c:f>"OUT bay"</c:f>
              <c:strCache>
                <c:ptCount val="1"/>
                <c:pt idx="0">
                  <c:v>OUT bay</c:v>
                </c:pt>
              </c:strCache>
            </c:strRef>
          </c:tx>
          <c:spPr>
            <a:solidFill>
              <a:srgbClr val="ffffff"/>
            </a:solidFill>
            <a:ln w="28440">
              <a:noFill/>
            </a:ln>
          </c:spPr>
          <c:marker>
            <c:symbol val="triangle"/>
            <c:size val="12"/>
            <c:spPr>
              <a:no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Chart_data!$K$72</c:f>
              <c:numCache>
                <c:formatCode>0.0</c:formatCode>
                <c:ptCount val="1"/>
                <c:pt idx="0">
                  <c:v>40</c:v>
                </c:pt>
              </c:numCache>
            </c:numRef>
          </c:xVal>
          <c:yVal>
            <c:numRef>
              <c:f>Chart_data!$L$72</c:f>
              <c:numCache>
                <c:formatCode>General</c:formatCode>
                <c:ptCount val="1"/>
                <c:pt idx="0">
                  <c:v>0</c:v>
                </c:pt>
              </c:numCache>
            </c:numRef>
          </c:yVal>
          <c:smooth val="1"/>
        </c:ser>
        <c:axId val="7719841"/>
        <c:axId val="12229112"/>
      </c:scatterChart>
      <c:valAx>
        <c:axId val="7719841"/>
        <c:scaling>
          <c:orientation val="minMax"/>
          <c:min val="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x along the aisle (m)</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229112"/>
        <c:crosses val="autoZero"/>
        <c:crossBetween val="midCat"/>
      </c:valAx>
      <c:valAx>
        <c:axId val="12229112"/>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y (m)</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19841"/>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145440</xdr:rowOff>
    </xdr:from>
    <xdr:to>
      <xdr:col>17</xdr:col>
      <xdr:colOff>74880</xdr:colOff>
      <xdr:row>16</xdr:row>
      <xdr:rowOff>127440</xdr:rowOff>
    </xdr:to>
    <xdr:graphicFrame>
      <xdr:nvGraphicFramePr>
        <xdr:cNvPr id="0" name="Chart 1"/>
        <xdr:cNvGraphicFramePr/>
      </xdr:nvGraphicFramePr>
      <xdr:xfrm>
        <a:off x="11066040" y="564480"/>
        <a:ext cx="5578560" cy="2734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0</xdr:colOff>
      <xdr:row>2</xdr:row>
      <xdr:rowOff>145440</xdr:rowOff>
    </xdr:from>
    <xdr:to>
      <xdr:col>26</xdr:col>
      <xdr:colOff>74880</xdr:colOff>
      <xdr:row>16</xdr:row>
      <xdr:rowOff>127440</xdr:rowOff>
    </xdr:to>
    <xdr:graphicFrame>
      <xdr:nvGraphicFramePr>
        <xdr:cNvPr id="1" name="Chart 2"/>
        <xdr:cNvGraphicFramePr/>
      </xdr:nvGraphicFramePr>
      <xdr:xfrm>
        <a:off x="16569720" y="564480"/>
        <a:ext cx="5578560" cy="2734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18</xdr:row>
      <xdr:rowOff>145440</xdr:rowOff>
    </xdr:from>
    <xdr:to>
      <xdr:col>17</xdr:col>
      <xdr:colOff>74880</xdr:colOff>
      <xdr:row>32</xdr:row>
      <xdr:rowOff>127080</xdr:rowOff>
    </xdr:to>
    <xdr:graphicFrame>
      <xdr:nvGraphicFramePr>
        <xdr:cNvPr id="2" name="Chart 3"/>
        <xdr:cNvGraphicFramePr/>
      </xdr:nvGraphicFramePr>
      <xdr:xfrm>
        <a:off x="11066040" y="3698280"/>
        <a:ext cx="5578560" cy="2734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0</xdr:colOff>
      <xdr:row>18</xdr:row>
      <xdr:rowOff>145440</xdr:rowOff>
    </xdr:from>
    <xdr:to>
      <xdr:col>26</xdr:col>
      <xdr:colOff>74880</xdr:colOff>
      <xdr:row>32</xdr:row>
      <xdr:rowOff>127080</xdr:rowOff>
    </xdr:to>
    <xdr:graphicFrame>
      <xdr:nvGraphicFramePr>
        <xdr:cNvPr id="3" name="Chart 4"/>
        <xdr:cNvGraphicFramePr/>
      </xdr:nvGraphicFramePr>
      <xdr:xfrm>
        <a:off x="16569720" y="3698280"/>
        <a:ext cx="5578560" cy="2734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0</xdr:colOff>
      <xdr:row>34</xdr:row>
      <xdr:rowOff>145440</xdr:rowOff>
    </xdr:from>
    <xdr:to>
      <xdr:col>17</xdr:col>
      <xdr:colOff>74880</xdr:colOff>
      <xdr:row>49</xdr:row>
      <xdr:rowOff>22320</xdr:rowOff>
    </xdr:to>
    <xdr:graphicFrame>
      <xdr:nvGraphicFramePr>
        <xdr:cNvPr id="4" name="Chart 5"/>
        <xdr:cNvGraphicFramePr/>
      </xdr:nvGraphicFramePr>
      <xdr:xfrm>
        <a:off x="11066040" y="6832080"/>
        <a:ext cx="5578560" cy="2734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0</xdr:colOff>
      <xdr:row>34</xdr:row>
      <xdr:rowOff>145440</xdr:rowOff>
    </xdr:from>
    <xdr:to>
      <xdr:col>26</xdr:col>
      <xdr:colOff>74880</xdr:colOff>
      <xdr:row>49</xdr:row>
      <xdr:rowOff>22320</xdr:rowOff>
    </xdr:to>
    <xdr:graphicFrame>
      <xdr:nvGraphicFramePr>
        <xdr:cNvPr id="5" name="Chart 6"/>
        <xdr:cNvGraphicFramePr/>
      </xdr:nvGraphicFramePr>
      <xdr:xfrm>
        <a:off x="16569720" y="6832080"/>
        <a:ext cx="5578560" cy="27342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0</xdr:colOff>
      <xdr:row>50</xdr:row>
      <xdr:rowOff>145440</xdr:rowOff>
    </xdr:from>
    <xdr:to>
      <xdr:col>17</xdr:col>
      <xdr:colOff>74880</xdr:colOff>
      <xdr:row>65</xdr:row>
      <xdr:rowOff>22680</xdr:rowOff>
    </xdr:to>
    <xdr:graphicFrame>
      <xdr:nvGraphicFramePr>
        <xdr:cNvPr id="6" name="Chart 7"/>
        <xdr:cNvGraphicFramePr/>
      </xdr:nvGraphicFramePr>
      <xdr:xfrm>
        <a:off x="11066040" y="9879840"/>
        <a:ext cx="5578560" cy="273492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24"/>
    <col collapsed="false" customWidth="true" hidden="false" outlineLevel="0" max="3" min="3" style="1" width="10"/>
    <col collapsed="false" customWidth="true" hidden="false" outlineLevel="0" max="4" min="4" style="1" width="2"/>
    <col collapsed="false" customWidth="true" hidden="false" outlineLevel="0" max="5" min="5" style="1" width="32"/>
    <col collapsed="false" customWidth="true" hidden="false" outlineLevel="0" max="7" min="6" style="1" width="15"/>
    <col collapsed="false" customWidth="true" hidden="false" outlineLevel="0" max="8" min="8" style="1" width="9"/>
  </cols>
  <sheetData>
    <row r="1" customFormat="false" ht="18" hidden="false" customHeight="true" outlineLevel="0" collapsed="false">
      <c r="A1" s="2" t="s">
        <v>0</v>
      </c>
    </row>
    <row r="2" customFormat="false" ht="15" hidden="false" customHeight="true" outlineLevel="0" collapsed="false">
      <c r="A2" s="3" t="s">
        <v>1</v>
      </c>
    </row>
    <row r="4" customFormat="false" ht="21.75" hidden="false" customHeight="true" outlineLevel="0" collapsed="false">
      <c r="A4" s="4" t="s">
        <v>2</v>
      </c>
      <c r="B4" s="4" t="s">
        <v>3</v>
      </c>
      <c r="C4" s="4" t="s">
        <v>4</v>
      </c>
      <c r="E4" s="4" t="s">
        <v>5</v>
      </c>
      <c r="F4" s="4" t="s">
        <v>6</v>
      </c>
      <c r="G4" s="4" t="s">
        <v>7</v>
      </c>
    </row>
    <row r="5" customFormat="false" ht="15" hidden="false" customHeight="true" outlineLevel="0" collapsed="false">
      <c r="A5" s="5" t="s">
        <v>8</v>
      </c>
      <c r="B5" s="6"/>
      <c r="C5" s="6"/>
      <c r="E5" s="3" t="s">
        <v>9</v>
      </c>
      <c r="F5" s="7" t="n">
        <f aca="false">IF(n_feas=0,"n/a",INDEX(Optimizer!$B$8:$B$227,best_i))</f>
        <v>8</v>
      </c>
      <c r="G5" s="8" t="n">
        <f aca="false">Optimizer!B7</f>
        <v>8</v>
      </c>
    </row>
    <row r="6" customFormat="false" ht="15" hidden="false" customHeight="true" outlineLevel="0" collapsed="false">
      <c r="A6" s="3" t="s">
        <v>10</v>
      </c>
      <c r="B6" s="9" t="n">
        <v>4000</v>
      </c>
      <c r="C6" s="3" t="s">
        <v>11</v>
      </c>
      <c r="E6" s="3" t="s">
        <v>12</v>
      </c>
      <c r="F6" s="7" t="n">
        <f aca="false">IF(n_feas=0,"n/a",INDEX(Optimizer!$C$8:$C$227,best_i))</f>
        <v>8</v>
      </c>
      <c r="G6" s="8" t="n">
        <f aca="false">Optimizer!C7</f>
        <v>8</v>
      </c>
    </row>
    <row r="7" customFormat="false" ht="15" hidden="false" customHeight="true" outlineLevel="0" collapsed="false">
      <c r="A7" s="3" t="s">
        <v>13</v>
      </c>
      <c r="B7" s="10" t="n">
        <v>6</v>
      </c>
      <c r="C7" s="3" t="s">
        <v>11</v>
      </c>
      <c r="E7" s="3" t="s">
        <v>14</v>
      </c>
      <c r="F7" s="7" t="n">
        <f aca="false">IF(n_feas=0,"n/a",INDEX(Optimizer!$G$8:$G$227,best_i))</f>
        <v>2</v>
      </c>
      <c r="G7" s="8" t="n">
        <f aca="false">Optimizer!G7</f>
        <v>2</v>
      </c>
    </row>
    <row r="8" customFormat="false" ht="15" hidden="false" customHeight="true" outlineLevel="0" collapsed="false">
      <c r="A8" s="3" t="s">
        <v>15</v>
      </c>
      <c r="B8" s="11" t="n">
        <v>40</v>
      </c>
      <c r="C8" s="3" t="s">
        <v>16</v>
      </c>
      <c r="E8" s="3" t="s">
        <v>17</v>
      </c>
      <c r="F8" s="7" t="n">
        <f aca="false">IF(n_feas=0,"n/a",INDEX(Optimizer!$H$8:$H$227,best_i))</f>
        <v>40</v>
      </c>
      <c r="G8" s="8" t="n">
        <f aca="false">Optimizer!H7</f>
        <v>40</v>
      </c>
    </row>
    <row r="9" customFormat="false" ht="15" hidden="false" customHeight="true" outlineLevel="0" collapsed="false">
      <c r="A9" s="3" t="s">
        <v>18</v>
      </c>
      <c r="B9" s="11" t="n">
        <v>60</v>
      </c>
      <c r="C9" s="3" t="s">
        <v>16</v>
      </c>
      <c r="E9" s="3" t="s">
        <v>19</v>
      </c>
      <c r="F9" s="12" t="n">
        <f aca="false">IF(n_feas=0,"n/a",INDEX(Optimizer!$I$8:$I$227,best_i))</f>
        <v>40</v>
      </c>
      <c r="G9" s="13" t="n">
        <f aca="false">Optimizer!I7</f>
        <v>40</v>
      </c>
    </row>
    <row r="10" customFormat="false" ht="15" hidden="false" customHeight="true" outlineLevel="0" collapsed="false">
      <c r="A10" s="3" t="s">
        <v>20</v>
      </c>
      <c r="B10" s="11" t="n">
        <v>24</v>
      </c>
      <c r="C10" s="3" t="s">
        <v>21</v>
      </c>
      <c r="E10" s="3" t="s">
        <v>22</v>
      </c>
      <c r="F10" s="12" t="n">
        <f aca="false">IF(n_feas=0,"n/a",INDEX(Optimizer!$J$8:$J$227,best_i))</f>
        <v>22.1</v>
      </c>
      <c r="G10" s="13" t="n">
        <f aca="false">Optimizer!J7</f>
        <v>22.1</v>
      </c>
    </row>
    <row r="11" customFormat="false" ht="15" hidden="false" customHeight="true" outlineLevel="0" collapsed="false">
      <c r="A11" s="3" t="s">
        <v>23</v>
      </c>
      <c r="B11" s="11" t="n">
        <v>16</v>
      </c>
      <c r="C11" s="3" t="s">
        <v>21</v>
      </c>
      <c r="E11" s="3" t="s">
        <v>24</v>
      </c>
      <c r="F11" s="12" t="n">
        <f aca="false">IF(n_feas=0,"n/a",INDEX(Optimizer!$K$8:$K$227,best_i))</f>
        <v>17.2</v>
      </c>
      <c r="G11" s="13" t="n">
        <f aca="false">Optimizer!K7</f>
        <v>17.2</v>
      </c>
    </row>
    <row r="12" customFormat="false" ht="15" hidden="false" customHeight="true" outlineLevel="0" collapsed="false">
      <c r="A12" s="3" t="s">
        <v>25</v>
      </c>
      <c r="B12" s="14" t="n">
        <v>1</v>
      </c>
      <c r="C12" s="3" t="s">
        <v>26</v>
      </c>
      <c r="E12" s="3" t="s">
        <v>27</v>
      </c>
      <c r="F12" s="15" t="n">
        <f aca="false">IF(n_feas=0,"n/a",INDEX(Optimizer!$AA$8:$AA$227,best_i))</f>
        <v>0.26</v>
      </c>
      <c r="G12" s="16" t="n">
        <f aca="false">Optimizer!AA7</f>
        <v>0.26</v>
      </c>
    </row>
    <row r="13" customFormat="false" ht="15" hidden="false" customHeight="true" outlineLevel="0" collapsed="false">
      <c r="A13" s="5" t="s">
        <v>28</v>
      </c>
      <c r="B13" s="6"/>
      <c r="C13" s="6"/>
      <c r="E13" s="3" t="s">
        <v>29</v>
      </c>
      <c r="F13" s="17" t="n">
        <f aca="false">IF(n_feas=0,"n/a",INDEX(Optimizer!$R$8:$R$227,best_i))</f>
        <v>4736</v>
      </c>
      <c r="G13" s="18" t="n">
        <f aca="false">Optimizer!R7</f>
        <v>4736</v>
      </c>
    </row>
    <row r="14" customFormat="false" ht="15" hidden="false" customHeight="true" outlineLevel="0" collapsed="false">
      <c r="A14" s="3" t="s">
        <v>30</v>
      </c>
      <c r="B14" s="19" t="n">
        <v>20</v>
      </c>
      <c r="C14" s="3" t="s">
        <v>31</v>
      </c>
      <c r="E14" s="3" t="s">
        <v>32</v>
      </c>
      <c r="F14" s="17" t="n">
        <f aca="false">IF(n_feas=0,"n/a",INDEX(Optimizer!$S$8:$S$227,best_i))</f>
        <v>4025.6</v>
      </c>
      <c r="G14" s="18" t="n">
        <f aca="false">Optimizer!S7</f>
        <v>4025.6</v>
      </c>
    </row>
    <row r="15" customFormat="false" ht="15" hidden="false" customHeight="true" outlineLevel="0" collapsed="false">
      <c r="A15" s="3" t="s">
        <v>33</v>
      </c>
      <c r="B15" s="11" t="s">
        <v>34</v>
      </c>
      <c r="C15" s="3"/>
      <c r="E15" s="3" t="s">
        <v>35</v>
      </c>
      <c r="F15" s="17" t="n">
        <f aca="false">IF(n_feas=0,"n/a",INDEX(Optimizer!$T$8:$T$227,best_i))</f>
        <v>884</v>
      </c>
      <c r="G15" s="18" t="n">
        <f aca="false">Optimizer!T7</f>
        <v>884</v>
      </c>
    </row>
    <row r="16" customFormat="false" ht="15" hidden="false" customHeight="true" outlineLevel="0" collapsed="false">
      <c r="A16" s="3" t="s">
        <v>36</v>
      </c>
      <c r="B16" s="19" t="n">
        <v>45</v>
      </c>
      <c r="C16" s="3" t="s">
        <v>31</v>
      </c>
      <c r="E16" s="3" t="s">
        <v>37</v>
      </c>
      <c r="F16" s="12" t="n">
        <f aca="false">IF(n_feas=0,"n/a",INDEX(Optimizer!$O$8:$O$227,best_i))</f>
        <v>87.7810072723084</v>
      </c>
      <c r="G16" s="13" t="n">
        <f aca="false">Optimizer!O7</f>
        <v>87.7810072723084</v>
      </c>
    </row>
    <row r="17" customFormat="false" ht="15" hidden="false" customHeight="true" outlineLevel="0" collapsed="false">
      <c r="A17" s="3" t="s">
        <v>38</v>
      </c>
      <c r="B17" s="19" t="n">
        <v>30</v>
      </c>
      <c r="C17" s="3" t="s">
        <v>31</v>
      </c>
      <c r="E17" s="3" t="s">
        <v>39</v>
      </c>
      <c r="F17" s="7" t="n">
        <f aca="false">IF(n_feas=0,"n/a",INDEX(Optimizer!$Q$8:$Q$227,best_i))</f>
        <v>12</v>
      </c>
      <c r="G17" s="8" t="n">
        <f aca="false">Optimizer!Q7</f>
        <v>12</v>
      </c>
    </row>
    <row r="18" customFormat="false" ht="15" hidden="false" customHeight="true" outlineLevel="0" collapsed="false">
      <c r="A18" s="5" t="s">
        <v>40</v>
      </c>
      <c r="B18" s="6"/>
      <c r="C18" s="6"/>
      <c r="E18" s="3" t="s">
        <v>41</v>
      </c>
      <c r="F18" s="20" t="n">
        <f aca="false">IF(n_feas=0,"n/a",INDEX(Optimizer!$AB$8:$AB$227,best_i))</f>
        <v>0.375823412698413</v>
      </c>
      <c r="G18" s="21" t="n">
        <f aca="false">Optimizer!AB7</f>
        <v>0.375823412698413</v>
      </c>
    </row>
    <row r="19" customFormat="false" ht="15" hidden="false" customHeight="true" outlineLevel="0" collapsed="false">
      <c r="A19" s="3" t="s">
        <v>9</v>
      </c>
      <c r="B19" s="11" t="s">
        <v>42</v>
      </c>
      <c r="C19" s="3"/>
      <c r="E19" s="3" t="s">
        <v>43</v>
      </c>
      <c r="F19" s="20" t="n">
        <f aca="false">IF(n_feas=0,"n/a",INDEX(Optimizer!$AC$8:$AC$227,best_i))</f>
        <v>0.751646825396826</v>
      </c>
      <c r="G19" s="21" t="n">
        <f aca="false">Optimizer!AC7</f>
        <v>0.751646825396826</v>
      </c>
    </row>
    <row r="20" customFormat="false" ht="15" hidden="false" customHeight="true" outlineLevel="0" collapsed="false">
      <c r="A20" s="3" t="s">
        <v>44</v>
      </c>
      <c r="B20" s="11" t="s">
        <v>45</v>
      </c>
      <c r="C20" s="3"/>
      <c r="E20" s="3" t="s">
        <v>46</v>
      </c>
      <c r="F20" s="12" t="n">
        <f aca="false">IF(n_feas=0,"n/a",INDEX(Optimizer!$AD$8:$AD$227,best_i))</f>
        <v>12.93612</v>
      </c>
      <c r="G20" s="13" t="n">
        <f aca="false">Optimizer!AD7</f>
        <v>12.93612</v>
      </c>
    </row>
    <row r="21" customFormat="false" ht="15" hidden="false" customHeight="true" outlineLevel="0" collapsed="false">
      <c r="A21" s="3" t="s">
        <v>47</v>
      </c>
      <c r="B21" s="10" t="n">
        <v>2</v>
      </c>
      <c r="C21" s="3" t="s">
        <v>48</v>
      </c>
      <c r="E21" s="3" t="s">
        <v>49</v>
      </c>
      <c r="F21" s="17" t="n">
        <f aca="false">IF(n_feas=0,"n/a",INDEX(Optimizer!$Z$8:$Z$227,best_i))</f>
        <v>2223124</v>
      </c>
      <c r="G21" s="18" t="n">
        <f aca="false">Optimizer!Z7</f>
        <v>2223124</v>
      </c>
    </row>
    <row r="22" customFormat="false" ht="15" hidden="false" customHeight="true" outlineLevel="0" collapsed="false">
      <c r="A22" s="3" t="s">
        <v>50</v>
      </c>
      <c r="B22" s="10" t="n">
        <v>3</v>
      </c>
      <c r="C22" s="3" t="s">
        <v>48</v>
      </c>
      <c r="E22" s="3" t="s">
        <v>51</v>
      </c>
      <c r="F22" s="22" t="n">
        <f aca="false">IF(n_feas=0,"n/a",INDEX(Optimizer!$Z$8:$Z$227,best_i)/INDEX(Optimizer!$S$8:$S$227,best_i))</f>
        <v>552.246621621622</v>
      </c>
      <c r="G22" s="22" t="n">
        <f aca="false">Optimizer!Z7/Optimizer!S7</f>
        <v>552.246621621622</v>
      </c>
    </row>
    <row r="23" customFormat="false" ht="15" hidden="false" customHeight="true" outlineLevel="0" collapsed="false">
      <c r="A23" s="3" t="s">
        <v>52</v>
      </c>
      <c r="B23" s="23" t="n">
        <v>0.8</v>
      </c>
      <c r="C23" s="3"/>
      <c r="E23" s="3" t="s">
        <v>53</v>
      </c>
      <c r="F23" s="24" t="str">
        <f aca="false">IF(n_feas=0,"NO feasible design",IF(INDEX(Optimizer!$AE$8:$AE$227,best_i)=1,"Yes","No"))</f>
        <v>Yes</v>
      </c>
      <c r="G23" s="24" t="str">
        <f aca="false">IF(Optimizer!AE7=1,"Yes","No – "&amp;Optimizer!AH7)</f>
        <v>Yes</v>
      </c>
    </row>
    <row r="24" customFormat="false" ht="15" hidden="false" customHeight="true" outlineLevel="0" collapsed="false">
      <c r="A24" s="3" t="s">
        <v>54</v>
      </c>
      <c r="B24" s="23" t="n">
        <v>0.15</v>
      </c>
      <c r="C24" s="3"/>
      <c r="E24" s="3" t="str">
        <f aca="false">IF(n_feas=0,"No design satisfies the constraints: relax height / footprint / lane policy.","Designs satisfying all constraints: "&amp;n_feas&amp;" of 220")</f>
        <v>Designs satisfying all constraints: 12 of 220</v>
      </c>
    </row>
    <row r="25" customFormat="false" ht="15" hidden="false" customHeight="true" outlineLevel="0" collapsed="false">
      <c r="A25" s="3" t="s">
        <v>55</v>
      </c>
      <c r="B25" s="23" t="n">
        <v>0.05</v>
      </c>
      <c r="C25" s="3"/>
    </row>
    <row r="26" customFormat="false" ht="21.75" hidden="false" customHeight="true" outlineLevel="0" collapsed="false">
      <c r="A26" s="5" t="s">
        <v>56</v>
      </c>
      <c r="B26" s="6"/>
      <c r="C26" s="6"/>
      <c r="E26" s="4" t="s">
        <v>57</v>
      </c>
      <c r="F26" s="4" t="s">
        <v>58</v>
      </c>
      <c r="G26" s="4" t="s">
        <v>59</v>
      </c>
      <c r="H26" s="4" t="s">
        <v>14</v>
      </c>
      <c r="I26" s="4" t="s">
        <v>60</v>
      </c>
      <c r="J26" s="4" t="s">
        <v>61</v>
      </c>
      <c r="K26" s="4" t="s">
        <v>62</v>
      </c>
      <c r="L26" s="4" t="s">
        <v>63</v>
      </c>
    </row>
    <row r="27" customFormat="false" ht="15" hidden="false" customHeight="true" outlineLevel="0" collapsed="false">
      <c r="A27" s="3" t="s">
        <v>64</v>
      </c>
      <c r="B27" s="14" t="n">
        <v>1</v>
      </c>
      <c r="C27" s="3" t="s">
        <v>31</v>
      </c>
      <c r="E27" s="25" t="n">
        <v>1</v>
      </c>
      <c r="F27" s="26" t="n">
        <f aca="false">Chart_data!C82</f>
        <v>8</v>
      </c>
      <c r="G27" s="26" t="n">
        <f aca="false">Chart_data!D82</f>
        <v>8</v>
      </c>
      <c r="H27" s="26" t="n">
        <f aca="false">Chart_data!E82</f>
        <v>2</v>
      </c>
      <c r="I27" s="26" t="n">
        <f aca="false">Chart_data!F82</f>
        <v>40</v>
      </c>
      <c r="J27" s="26" t="n">
        <f aca="false">Chart_data!G82</f>
        <v>12</v>
      </c>
      <c r="K27" s="27" t="n">
        <f aca="false">Chart_data!L82</f>
        <v>87.7810072723084</v>
      </c>
      <c r="L27" s="28" t="n">
        <f aca="false">Chart_data!M82</f>
        <v>2223124</v>
      </c>
    </row>
    <row r="28" customFormat="false" ht="15" hidden="false" customHeight="true" outlineLevel="0" collapsed="false">
      <c r="A28" s="3" t="s">
        <v>65</v>
      </c>
      <c r="B28" s="14" t="n">
        <v>1.3</v>
      </c>
      <c r="C28" s="3" t="s">
        <v>31</v>
      </c>
      <c r="E28" s="25" t="n">
        <v>2</v>
      </c>
      <c r="F28" s="26" t="n">
        <f aca="false">Chart_data!C83</f>
        <v>10</v>
      </c>
      <c r="G28" s="26" t="n">
        <f aca="false">Chart_data!D83</f>
        <v>7</v>
      </c>
      <c r="H28" s="26" t="n">
        <f aca="false">Chart_data!E83</f>
        <v>2</v>
      </c>
      <c r="I28" s="26" t="n">
        <f aca="false">Chart_data!F83</f>
        <v>37</v>
      </c>
      <c r="J28" s="26" t="n">
        <f aca="false">Chart_data!G83</f>
        <v>11</v>
      </c>
      <c r="K28" s="27" t="n">
        <f aca="false">Chart_data!L83</f>
        <v>89.4676912596385</v>
      </c>
      <c r="L28" s="28" t="n">
        <f aca="false">Chart_data!M83</f>
        <v>2231554.65</v>
      </c>
    </row>
    <row r="29" customFormat="false" ht="15" hidden="false" customHeight="true" outlineLevel="0" collapsed="false">
      <c r="A29" s="3" t="s">
        <v>66</v>
      </c>
      <c r="B29" s="14" t="n">
        <v>2.15</v>
      </c>
      <c r="C29" s="3" t="s">
        <v>31</v>
      </c>
      <c r="E29" s="25" t="n">
        <v>3</v>
      </c>
      <c r="F29" s="26" t="n">
        <f aca="false">Chart_data!C84</f>
        <v>8</v>
      </c>
      <c r="G29" s="26" t="n">
        <f aca="false">Chart_data!D84</f>
        <v>9</v>
      </c>
      <c r="H29" s="26" t="n">
        <f aca="false">Chart_data!E84</f>
        <v>2</v>
      </c>
      <c r="I29" s="26" t="n">
        <f aca="false">Chart_data!F84</f>
        <v>36</v>
      </c>
      <c r="J29" s="26" t="n">
        <f aca="false">Chart_data!G84</f>
        <v>13</v>
      </c>
      <c r="K29" s="27" t="n">
        <f aca="false">Chart_data!L84</f>
        <v>87.0582620485967</v>
      </c>
      <c r="L29" s="28" t="n">
        <f aca="false">Chart_data!M84</f>
        <v>2241087.8</v>
      </c>
    </row>
    <row r="30" customFormat="false" ht="15" hidden="false" customHeight="true" outlineLevel="0" collapsed="false">
      <c r="A30" s="3" t="s">
        <v>67</v>
      </c>
      <c r="B30" s="19" t="n">
        <v>1.3</v>
      </c>
      <c r="C30" s="3" t="s">
        <v>31</v>
      </c>
      <c r="E30" s="25" t="n">
        <v>4</v>
      </c>
      <c r="F30" s="26" t="n">
        <f aca="false">Chart_data!C85</f>
        <v>10</v>
      </c>
      <c r="G30" s="26" t="n">
        <f aca="false">Chart_data!D85</f>
        <v>8</v>
      </c>
      <c r="H30" s="26" t="n">
        <f aca="false">Chart_data!E85</f>
        <v>2</v>
      </c>
      <c r="I30" s="26" t="n">
        <f aca="false">Chart_data!F85</f>
        <v>33</v>
      </c>
      <c r="J30" s="26" t="n">
        <f aca="false">Chart_data!G85</f>
        <v>12</v>
      </c>
      <c r="K30" s="27" t="n">
        <f aca="false">Chart_data!L85</f>
        <v>88.7434287283392</v>
      </c>
      <c r="L30" s="28" t="n">
        <f aca="false">Chart_data!M85</f>
        <v>2245764.9</v>
      </c>
    </row>
    <row r="31" customFormat="false" ht="15" hidden="false" customHeight="true" outlineLevel="0" collapsed="false">
      <c r="A31" s="3" t="s">
        <v>68</v>
      </c>
      <c r="B31" s="19" t="n">
        <v>1.3</v>
      </c>
      <c r="C31" s="3" t="s">
        <v>31</v>
      </c>
      <c r="E31" s="25" t="n">
        <v>5</v>
      </c>
      <c r="F31" s="26" t="n">
        <f aca="false">Chart_data!C86</f>
        <v>12</v>
      </c>
      <c r="G31" s="26" t="n">
        <f aca="false">Chart_data!D86</f>
        <v>8</v>
      </c>
      <c r="H31" s="26" t="n">
        <f aca="false">Chart_data!E86</f>
        <v>2</v>
      </c>
      <c r="I31" s="26" t="n">
        <f aca="false">Chart_data!F86</f>
        <v>28</v>
      </c>
      <c r="J31" s="26" t="n">
        <f aca="false">Chart_data!G86</f>
        <v>12</v>
      </c>
      <c r="K31" s="27" t="n">
        <f aca="false">Chart_data!L86</f>
        <v>90.0626634502366</v>
      </c>
      <c r="L31" s="28" t="n">
        <f aca="false">Chart_data!M86</f>
        <v>2254510</v>
      </c>
    </row>
    <row r="32" customFormat="false" ht="15" hidden="false" customHeight="true" outlineLevel="0" collapsed="false">
      <c r="A32" s="3" t="s">
        <v>69</v>
      </c>
      <c r="B32" s="19" t="n">
        <v>1.5</v>
      </c>
      <c r="C32" s="3" t="s">
        <v>31</v>
      </c>
      <c r="E32" s="3" t="s">
        <v>70</v>
      </c>
    </row>
    <row r="33" customFormat="false" ht="15" hidden="false" customHeight="true" outlineLevel="0" collapsed="false">
      <c r="A33" s="3" t="s">
        <v>71</v>
      </c>
      <c r="B33" s="14" t="n">
        <v>0.2</v>
      </c>
      <c r="C33" s="3"/>
    </row>
    <row r="34" customFormat="false" ht="15" hidden="false" customHeight="true" outlineLevel="0" collapsed="false">
      <c r="A34" s="3" t="s">
        <v>72</v>
      </c>
      <c r="B34" s="10" t="n">
        <v>3</v>
      </c>
      <c r="C34" s="3" t="s">
        <v>73</v>
      </c>
      <c r="E34" s="5" t="s">
        <v>74</v>
      </c>
      <c r="F34" s="6"/>
      <c r="G34" s="6"/>
    </row>
    <row r="35" customFormat="false" ht="15" hidden="false" customHeight="true" outlineLevel="0" collapsed="false">
      <c r="A35" s="3" t="s">
        <v>75</v>
      </c>
      <c r="B35" s="23" t="n">
        <v>0.85</v>
      </c>
      <c r="C35" s="3"/>
      <c r="E35" s="3" t="s">
        <v>76</v>
      </c>
      <c r="F35" s="29" t="str">
        <f aca="false">lift_layout</f>
        <v>Equispaced</v>
      </c>
    </row>
    <row r="36" customFormat="false" ht="15" hidden="false" customHeight="true" outlineLevel="0" collapsed="false">
      <c r="A36" s="5" t="s">
        <v>77</v>
      </c>
      <c r="B36" s="6"/>
      <c r="C36" s="6"/>
      <c r="E36" s="3" t="s">
        <v>78</v>
      </c>
      <c r="F36" s="29" t="str">
        <f aca="false">IF(Bay_position!B12="","",IF(0&gt;0," / ","")&amp;TEXT(Bay_position!B12,"0.0"))&amp;IF(Bay_position!B13="","",IF(1&gt;0," / ","")&amp;TEXT(Bay_position!B13,"0.0"))&amp;IF(Bay_position!B14="","",IF(2&gt;0," / ","")&amp;TEXT(Bay_position!B14,"0.0"))&amp;IF(Bay_position!B15="","",IF(3&gt;0," / ","")&amp;TEXT(Bay_position!B15,"0.0"))&amp;IF(Bay_position!B16="","",IF(4&gt;0," / ","")&amp;TEXT(Bay_position!B16,"0.0"))&amp;IF(Bay_position!B17="","",IF(5&gt;0," / ","")&amp;TEXT(Bay_position!B17,"0.0"))</f>
        <v>10.0 / 30.0</v>
      </c>
    </row>
    <row r="37" customFormat="false" ht="15" hidden="false" customHeight="true" outlineLevel="0" collapsed="false">
      <c r="A37" s="3" t="s">
        <v>79</v>
      </c>
      <c r="B37" s="23" t="n">
        <v>0.75</v>
      </c>
      <c r="C37" s="3"/>
      <c r="E37" s="3" t="s">
        <v>80</v>
      </c>
      <c r="F37" s="30" t="n">
        <f aca="false">sum_ta</f>
        <v>7.28197879480893</v>
      </c>
    </row>
    <row r="38" customFormat="false" ht="15" hidden="false" customHeight="true" outlineLevel="0" collapsed="false">
      <c r="A38" s="3" t="s">
        <v>81</v>
      </c>
      <c r="B38" s="23" t="n">
        <v>0.95</v>
      </c>
      <c r="C38" s="3"/>
      <c r="E38" s="3" t="s">
        <v>82</v>
      </c>
      <c r="F38" s="31" t="n">
        <f aca="false">sum_cyc</f>
        <v>87.8211004467607</v>
      </c>
    </row>
    <row r="39" customFormat="false" ht="15" hidden="false" customHeight="true" outlineLevel="0" collapsed="false">
      <c r="A39" s="3" t="s">
        <v>83</v>
      </c>
      <c r="B39" s="11" t="s">
        <v>34</v>
      </c>
      <c r="C39" s="3"/>
      <c r="E39" s="3" t="s">
        <v>84</v>
      </c>
      <c r="F39" s="31" t="n">
        <f aca="false">sum_cv</f>
        <v>33.45</v>
      </c>
    </row>
    <row r="40" customFormat="false" ht="15" hidden="false" customHeight="true" outlineLevel="0" collapsed="false">
      <c r="A40" s="3" t="s">
        <v>85</v>
      </c>
      <c r="B40" s="19" t="n">
        <v>1</v>
      </c>
      <c r="C40" s="3" t="s">
        <v>86</v>
      </c>
      <c r="E40" s="3" t="s">
        <v>87</v>
      </c>
      <c r="F40" s="31" t="n">
        <f aca="false">sum_ct</f>
        <v>83.625</v>
      </c>
    </row>
    <row r="41" customFormat="false" ht="15" hidden="false" customHeight="true" outlineLevel="0" collapsed="false">
      <c r="A41" s="3" t="s">
        <v>88</v>
      </c>
      <c r="B41" s="10" t="n">
        <v>2</v>
      </c>
      <c r="C41" s="3" t="s">
        <v>86</v>
      </c>
      <c r="E41" s="3" t="s">
        <v>89</v>
      </c>
      <c r="F41" s="32" t="n">
        <f aca="false">sum_trunk</f>
        <v>119.2</v>
      </c>
    </row>
    <row r="42" customFormat="false" ht="15" hidden="false" customHeight="true" outlineLevel="0" collapsed="false">
      <c r="A42" s="5" t="s">
        <v>90</v>
      </c>
      <c r="B42" s="6"/>
      <c r="C42" s="6"/>
      <c r="E42" s="3" t="s">
        <v>91</v>
      </c>
      <c r="F42" s="22" t="n">
        <f aca="false">sum_cc</f>
        <v>71520</v>
      </c>
    </row>
    <row r="43" customFormat="false" ht="15" hidden="false" customHeight="true" outlineLevel="0" collapsed="false">
      <c r="A43" s="3" t="s">
        <v>92</v>
      </c>
      <c r="B43" s="9" t="n">
        <v>150000</v>
      </c>
      <c r="C43" s="3" t="s">
        <v>93</v>
      </c>
    </row>
    <row r="44" customFormat="false" ht="15" hidden="false" customHeight="true" outlineLevel="0" collapsed="false">
      <c r="A44" s="3" t="s">
        <v>94</v>
      </c>
      <c r="B44" s="9" t="n">
        <v>50000</v>
      </c>
      <c r="C44" s="3" t="s">
        <v>93</v>
      </c>
      <c r="E44" s="3" t="s">
        <v>95</v>
      </c>
    </row>
    <row r="45" customFormat="false" ht="15" hidden="false" customHeight="true" outlineLevel="0" collapsed="false">
      <c r="A45" s="3" t="s">
        <v>96</v>
      </c>
      <c r="B45" s="9" t="n">
        <v>100</v>
      </c>
      <c r="C45" s="3" t="s">
        <v>93</v>
      </c>
    </row>
    <row r="46" customFormat="false" ht="15" hidden="false" customHeight="true" outlineLevel="0" collapsed="false">
      <c r="A46" s="3" t="s">
        <v>97</v>
      </c>
      <c r="B46" s="9" t="n">
        <v>400</v>
      </c>
      <c r="C46" s="3" t="s">
        <v>98</v>
      </c>
    </row>
    <row r="47" customFormat="false" ht="15" hidden="false" customHeight="true" outlineLevel="0" collapsed="false">
      <c r="A47" s="3" t="s">
        <v>99</v>
      </c>
      <c r="B47" s="9" t="n">
        <v>30</v>
      </c>
      <c r="C47" s="3" t="s">
        <v>100</v>
      </c>
    </row>
    <row r="48" customFormat="false" ht="15" hidden="false" customHeight="true" outlineLevel="0" collapsed="false">
      <c r="A48" s="5" t="s">
        <v>101</v>
      </c>
      <c r="B48" s="6"/>
      <c r="C48" s="6"/>
    </row>
    <row r="49" customFormat="false" ht="15" hidden="false" customHeight="true" outlineLevel="0" collapsed="false">
      <c r="A49" s="3" t="s">
        <v>102</v>
      </c>
      <c r="B49" s="11" t="s">
        <v>103</v>
      </c>
      <c r="C49" s="3"/>
    </row>
    <row r="50" customFormat="false" ht="15" hidden="false" customHeight="true" outlineLevel="0" collapsed="false">
      <c r="A50" s="3" t="s">
        <v>104</v>
      </c>
      <c r="B50" s="9" t="n">
        <v>1000</v>
      </c>
      <c r="C50" s="3" t="s">
        <v>105</v>
      </c>
    </row>
    <row r="51" customFormat="false" ht="15" hidden="false" customHeight="true" outlineLevel="0" collapsed="false">
      <c r="A51" s="3" t="s">
        <v>106</v>
      </c>
      <c r="B51" s="10" t="n">
        <v>8</v>
      </c>
      <c r="C51" s="3" t="s">
        <v>107</v>
      </c>
    </row>
    <row r="52" customFormat="false" ht="15" hidden="false" customHeight="true" outlineLevel="0" collapsed="false">
      <c r="A52" s="3" t="s">
        <v>108</v>
      </c>
      <c r="B52" s="10" t="n">
        <v>8</v>
      </c>
      <c r="C52" s="3" t="s">
        <v>48</v>
      </c>
    </row>
    <row r="53" customFormat="false" ht="15" hidden="false" customHeight="true" outlineLevel="0" collapsed="false">
      <c r="A53" s="5" t="s">
        <v>109</v>
      </c>
      <c r="B53" s="6"/>
      <c r="C53" s="6"/>
    </row>
    <row r="54" customFormat="false" ht="15" hidden="false" customHeight="true" outlineLevel="0" collapsed="false">
      <c r="A54" s="3" t="s">
        <v>110</v>
      </c>
      <c r="B54" s="19" t="n">
        <v>5</v>
      </c>
      <c r="C54" s="3" t="s">
        <v>31</v>
      </c>
    </row>
    <row r="55" customFormat="false" ht="15" hidden="false" customHeight="true" outlineLevel="0" collapsed="false">
      <c r="A55" s="3" t="s">
        <v>111</v>
      </c>
      <c r="B55" s="19" t="n">
        <v>40</v>
      </c>
      <c r="C55" s="3" t="s">
        <v>31</v>
      </c>
    </row>
    <row r="56" customFormat="false" ht="15" hidden="false" customHeight="true" outlineLevel="0" collapsed="false">
      <c r="A56" s="3" t="s">
        <v>112</v>
      </c>
      <c r="B56" s="19" t="n">
        <v>5</v>
      </c>
      <c r="C56" s="3" t="s">
        <v>31</v>
      </c>
    </row>
    <row r="57" customFormat="false" ht="15" hidden="false" customHeight="true" outlineLevel="0" collapsed="false">
      <c r="A57" s="3" t="s">
        <v>113</v>
      </c>
      <c r="B57" s="14" t="n">
        <v>0.4</v>
      </c>
      <c r="C57" s="3" t="s">
        <v>114</v>
      </c>
    </row>
    <row r="58" customFormat="false" ht="15" hidden="false" customHeight="true" outlineLevel="0" collapsed="false">
      <c r="A58" s="3" t="s">
        <v>115</v>
      </c>
      <c r="B58" s="9" t="n">
        <v>600</v>
      </c>
      <c r="C58" s="3" t="s">
        <v>116</v>
      </c>
    </row>
    <row r="59" customFormat="false" ht="15" hidden="false" customHeight="true" outlineLevel="0" collapsed="false">
      <c r="A59" s="3" t="s">
        <v>117</v>
      </c>
      <c r="B59" s="14" t="n">
        <v>0.3</v>
      </c>
      <c r="C59" s="3"/>
    </row>
    <row r="60" customFormat="false" ht="15" hidden="false" customHeight="true" outlineLevel="0" collapsed="false">
      <c r="A60" s="3" t="s">
        <v>118</v>
      </c>
      <c r="B60" s="11" t="s">
        <v>119</v>
      </c>
      <c r="C60" s="3"/>
    </row>
    <row r="61" customFormat="false" ht="15" hidden="false" customHeight="true" outlineLevel="0" collapsed="false">
      <c r="A61" s="3" t="s">
        <v>120</v>
      </c>
      <c r="B61" s="19" t="n">
        <v>10</v>
      </c>
      <c r="C61" s="3" t="s">
        <v>31</v>
      </c>
    </row>
    <row r="62" customFormat="false" ht="15" hidden="false" customHeight="true" outlineLevel="0" collapsed="false">
      <c r="A62" s="3" t="s">
        <v>121</v>
      </c>
      <c r="B62" s="19" t="n">
        <v>20</v>
      </c>
      <c r="C62" s="3" t="s">
        <v>31</v>
      </c>
    </row>
    <row r="63" customFormat="false" ht="15" hidden="false" customHeight="true" outlineLevel="0" collapsed="false">
      <c r="A63" s="3" t="s">
        <v>122</v>
      </c>
      <c r="B63" s="19" t="n">
        <v>30</v>
      </c>
      <c r="C63" s="3" t="s">
        <v>31</v>
      </c>
    </row>
    <row r="64" customFormat="false" ht="15" hidden="false" customHeight="true" outlineLevel="0" collapsed="false">
      <c r="A64" s="3" t="s">
        <v>123</v>
      </c>
      <c r="B64" s="19" t="n">
        <v>40</v>
      </c>
      <c r="C64" s="3" t="s">
        <v>31</v>
      </c>
    </row>
    <row r="65" customFormat="false" ht="15" hidden="false" customHeight="true" outlineLevel="0" collapsed="false">
      <c r="A65" s="3" t="s">
        <v>124</v>
      </c>
      <c r="B65" s="19" t="n">
        <v>50</v>
      </c>
      <c r="C65" s="3" t="s">
        <v>31</v>
      </c>
    </row>
    <row r="66" customFormat="false" ht="15" hidden="false" customHeight="true" outlineLevel="0" collapsed="false">
      <c r="A66" s="3" t="s">
        <v>125</v>
      </c>
      <c r="B66" s="19" t="n">
        <v>60</v>
      </c>
      <c r="C66" s="3" t="s">
        <v>31</v>
      </c>
    </row>
  </sheetData>
  <dataValidations count="33">
    <dataValidation allowBlank="false" error="Enter a value between 100 and 100000" errorStyle="stop" errorTitle="Out of range" operator="between" showDropDown="false" showErrorMessage="true" showInputMessage="false" sqref="B6" type="decimal">
      <formula1>100</formula1>
      <formula2>100000</formula2>
    </dataValidation>
    <dataValidation allowBlank="false" error="Enter a value between 1 and 48" errorStyle="stop" errorTitle="Out of range" operator="between" showDropDown="false" showErrorMessage="true" showInputMessage="false" sqref="B7" type="decimal">
      <formula1>1</formula1>
      <formula2>48</formula2>
    </dataValidation>
    <dataValidation allowBlank="false" error="Enter a value between 0 and 1000" errorStyle="stop" errorTitle="Out of range" operator="between" showDropDown="false" showErrorMessage="true" showInputMessage="false" sqref="B8:B9 B47" type="decimal">
      <formula1>0</formula1>
      <formula2>1000</formula2>
    </dataValidation>
    <dataValidation allowBlank="false" error="Enter a value between 1 and 24" errorStyle="stop" errorTitle="Out of range" operator="between" showDropDown="false" showErrorMessage="true" showInputMessage="false" sqref="B10:B11" type="decimal">
      <formula1>1</formula1>
      <formula2>24</formula2>
    </dataValidation>
    <dataValidation allowBlank="false" error="Enter a value between 0.2 and 3" errorStyle="stop" errorTitle="Out of range" operator="between" showDropDown="false" showErrorMessage="true" showInputMessage="false" sqref="B12" type="decimal">
      <formula1>0.2</formula1>
      <formula2>3</formula2>
    </dataValidation>
    <dataValidation allowBlank="false" error="Enter a value between 2 and 100" errorStyle="stop" errorTitle="Out of range" operator="between" showDropDown="false" showErrorMessage="true" showInputMessage="false" sqref="B14" type="decimal">
      <formula1>2</formula1>
      <formula2>100</formula2>
    </dataValidation>
    <dataValidation allowBlank="false" errorStyle="stop" operator="between" showDropDown="false" showErrorMessage="false" showInputMessage="false" sqref="B15" type="list">
      <formula1>"No,Yes"</formula1>
      <formula2>0</formula2>
    </dataValidation>
    <dataValidation allowBlank="false" error="Enter a value between 5 and 500" errorStyle="stop" errorTitle="Out of range" operator="between" showDropDown="false" showErrorMessage="true" showInputMessage="false" sqref="B16:B17" type="decimal">
      <formula1>5</formula1>
      <formula2>500</formula2>
    </dataValidation>
    <dataValidation allowBlank="false" errorStyle="stop" operator="between" showDropDown="false" showErrorMessage="false" showInputMessage="false" sqref="B19" type="list">
      <formula1>"Fixed = pallets per SKU,Free (optimize N_C)"</formula1>
      <formula2>0</formula2>
    </dataValidation>
    <dataValidation allowBlank="false" errorStyle="stop" operator="between" showDropDown="false" showErrorMessage="false" showInputMessage="false" sqref="B20" type="list">
      <formula1>"ABC,Uniform"</formula1>
      <formula2>0</formula2>
    </dataValidation>
    <dataValidation allowBlank="false" error="Enter a value between 1 and 20" errorStyle="stop" errorTitle="Out of range" operator="between" showDropDown="false" showErrorMessage="true" showInputMessage="false" sqref="B21 B52" type="decimal">
      <formula1>1</formula1>
      <formula2>20</formula2>
    </dataValidation>
    <dataValidation allowBlank="false" error="Enter a value between 0 and 20" errorStyle="stop" errorTitle="Out of range" operator="between" showDropDown="false" showErrorMessage="true" showInputMessage="false" sqref="B22 B41" type="decimal">
      <formula1>0</formula1>
      <formula2>20</formula2>
    </dataValidation>
    <dataValidation allowBlank="false" error="Enter a value between 0 and 1" errorStyle="stop" errorTitle="Out of range" operator="between" showDropDown="false" showErrorMessage="true" showInputMessage="false" sqref="B23:B25 B33" type="decimal">
      <formula1>0</formula1>
      <formula2>1</formula2>
    </dataValidation>
    <dataValidation allowBlank="false" error="Enter a value between 0.5 and 2" errorStyle="stop" errorTitle="Out of range" operator="between" showDropDown="false" showErrorMessage="true" showInputMessage="false" sqref="B27:B28" type="decimal">
      <formula1>0.5</formula1>
      <formula2>2</formula2>
    </dataValidation>
    <dataValidation allowBlank="false" error="Enter a value between 1 and 3" errorStyle="stop" errorTitle="Out of range" operator="between" showDropDown="false" showErrorMessage="true" showInputMessage="false" sqref="B29" type="decimal">
      <formula1>1</formula1>
      <formula2>3</formula2>
    </dataValidation>
    <dataValidation allowBlank="false" error="Enter a value between 0.8 and 4" errorStyle="stop" errorTitle="Out of range" operator="between" showDropDown="false" showErrorMessage="true" showInputMessage="false" sqref="B30" type="decimal">
      <formula1>0.8</formula1>
      <formula2>4</formula2>
    </dataValidation>
    <dataValidation allowBlank="false" error="Enter a value between 0 and 3" errorStyle="stop" errorTitle="Out of range" operator="between" showDropDown="false" showErrorMessage="true" showInputMessage="false" sqref="B31" type="decimal">
      <formula1>0</formula1>
      <formula2>3</formula2>
    </dataValidation>
    <dataValidation allowBlank="false" error="Enter a value between 0 and 5" errorStyle="stop" errorTitle="Out of range" operator="between" showDropDown="false" showErrorMessage="true" showInputMessage="false" sqref="B32 B40 B59" type="decimal">
      <formula1>0</formula1>
      <formula2>5</formula2>
    </dataValidation>
    <dataValidation allowBlank="false" error="Enter a value between 0 and 10" errorStyle="stop" errorTitle="Out of range" operator="between" showDropDown="false" showErrorMessage="true" showInputMessage="false" sqref="B34" type="decimal">
      <formula1>0</formula1>
      <formula2>10</formula2>
    </dataValidation>
    <dataValidation allowBlank="false" error="Enter a value between 0.3 and 1" errorStyle="stop" errorTitle="Out of range" operator="between" showDropDown="false" showErrorMessage="true" showInputMessage="false" sqref="B35" type="decimal">
      <formula1>0.3</formula1>
      <formula2>1</formula2>
    </dataValidation>
    <dataValidation allowBlank="false" error="Enter a value between 0.2 and 1" errorStyle="stop" errorTitle="Out of range" operator="between" showDropDown="false" showErrorMessage="true" showInputMessage="false" sqref="B37" type="decimal">
      <formula1>0.2</formula1>
      <formula2>1</formula2>
    </dataValidation>
    <dataValidation allowBlank="false" error="Enter a value between 0.2 and 1.5" errorStyle="stop" errorTitle="Out of range" operator="between" showDropDown="false" showErrorMessage="true" showInputMessage="false" sqref="B38" type="decimal">
      <formula1>0.2</formula1>
      <formula2>1.5</formula2>
    </dataValidation>
    <dataValidation allowBlank="false" errorStyle="stop" operator="between" showDropDown="false" showErrorMessage="false" showInputMessage="false" sqref="B39" type="list">
      <formula1>"Yes,No"</formula1>
      <formula2>0</formula2>
    </dataValidation>
    <dataValidation allowBlank="false" error="Enter a value between 0 and 5000000.0" errorStyle="stop" errorTitle="Out of range" operator="between" showDropDown="false" showErrorMessage="true" showInputMessage="false" sqref="B43:B44" type="decimal">
      <formula1>0</formula1>
      <formula2>5000000</formula2>
    </dataValidation>
    <dataValidation allowBlank="false" error="Enter a value between 0 and 5000" errorStyle="stop" errorTitle="Out of range" operator="between" showDropDown="false" showErrorMessage="true" showInputMessage="false" sqref="B45" type="decimal">
      <formula1>0</formula1>
      <formula2>5000</formula2>
    </dataValidation>
    <dataValidation allowBlank="false" error="Enter a value between 0 and 10000" errorStyle="stop" errorTitle="Out of range" operator="between" showDropDown="false" showErrorMessage="true" showInputMessage="false" sqref="B46 B58" type="decimal">
      <formula1>0</formula1>
      <formula2>10000</formula2>
    </dataValidation>
    <dataValidation allowBlank="false" errorStyle="stop" operator="between" showDropDown="false" showErrorMessage="false" showInputMessage="false" sqref="B49" type="list">
      <formula1>"Total cost,Shuttle cycle,Footprint"</formula1>
      <formula2>0</formula2>
    </dataValidation>
    <dataValidation allowBlank="false" error="Enter a value between 50 and 1500" errorStyle="stop" errorTitle="Out of range" operator="between" showDropDown="false" showErrorMessage="true" showInputMessage="false" sqref="B50" type="decimal">
      <formula1>50</formula1>
      <formula2>1500</formula2>
    </dataValidation>
    <dataValidation allowBlank="false" error="Enter a value between 1 and 40" errorStyle="stop" errorTitle="Out of range" operator="between" showDropDown="false" showErrorMessage="true" showInputMessage="false" sqref="B51" type="decimal">
      <formula1>1</formula1>
      <formula2>40</formula2>
    </dataValidation>
    <dataValidation allowBlank="false" error="Enter a value between 0 and 500" errorStyle="stop" errorTitle="Out of range" operator="between" showDropDown="false" showErrorMessage="true" showInputMessage="false" sqref="B54:B55 B61:B66" type="decimal">
      <formula1>0</formula1>
      <formula2>500</formula2>
    </dataValidation>
    <dataValidation allowBlank="false" error="Enter a value between 0 and 100" errorStyle="stop" errorTitle="Out of range" operator="between" showDropDown="false" showErrorMessage="true" showInputMessage="false" sqref="B56" type="decimal">
      <formula1>0</formula1>
      <formula2>100</formula2>
    </dataValidation>
    <dataValidation allowBlank="false" error="Enter a value between 0.05 and 3" errorStyle="stop" errorTitle="Out of range" operator="between" showDropDown="false" showErrorMessage="true" showInputMessage="false" sqref="B57" type="decimal">
      <formula1>0.05</formula1>
      <formula2>3</formula2>
    </dataValidation>
    <dataValidation allowBlank="false" errorStyle="stop" operator="between" showDropDown="false" showErrorMessage="false" showInputMessage="false" sqref="B60" type="list">
      <formula1>"Equispaced,Manual"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14"/>
    <col collapsed="false" customWidth="true" hidden="false" outlineLevel="0" max="3" min="3" style="1" width="8"/>
    <col collapsed="false" customWidth="true" hidden="false" outlineLevel="0" max="4" min="4" style="1" width="80"/>
  </cols>
  <sheetData>
    <row r="1" customFormat="false" ht="18" hidden="false" customHeight="true" outlineLevel="0" collapsed="false">
      <c r="A1" s="2" t="s">
        <v>126</v>
      </c>
    </row>
    <row r="3" customFormat="false" ht="15" hidden="false" customHeight="true" outlineLevel="0" collapsed="false">
      <c r="A3" s="4" t="s">
        <v>127</v>
      </c>
      <c r="B3" s="4" t="s">
        <v>3</v>
      </c>
      <c r="C3" s="4" t="s">
        <v>4</v>
      </c>
      <c r="D3" s="4" t="s">
        <v>128</v>
      </c>
    </row>
    <row r="4" customFormat="false" ht="15" hidden="false" customHeight="true" outlineLevel="0" collapsed="false">
      <c r="A4" s="3" t="s">
        <v>129</v>
      </c>
      <c r="B4" s="33" t="n">
        <v>1.4</v>
      </c>
      <c r="C4" s="3" t="s">
        <v>114</v>
      </c>
      <c r="D4" s="3"/>
    </row>
    <row r="5" customFormat="false" ht="15" hidden="false" customHeight="true" outlineLevel="0" collapsed="false">
      <c r="A5" s="3" t="s">
        <v>130</v>
      </c>
      <c r="B5" s="33" t="n">
        <v>0.5</v>
      </c>
      <c r="C5" s="3" t="s">
        <v>131</v>
      </c>
      <c r="D5" s="3"/>
    </row>
    <row r="6" customFormat="false" ht="15" hidden="false" customHeight="true" outlineLevel="0" collapsed="false">
      <c r="A6" s="3" t="s">
        <v>132</v>
      </c>
      <c r="B6" s="33" t="n">
        <v>4</v>
      </c>
      <c r="C6" s="3" t="s">
        <v>133</v>
      </c>
      <c r="D6" s="3"/>
    </row>
    <row r="7" customFormat="false" ht="15" hidden="false" customHeight="true" outlineLevel="0" collapsed="false">
      <c r="A7" s="3" t="s">
        <v>134</v>
      </c>
      <c r="B7" s="33" t="n">
        <v>25</v>
      </c>
      <c r="C7" s="3" t="s">
        <v>133</v>
      </c>
      <c r="D7" s="3"/>
    </row>
    <row r="8" customFormat="false" ht="15" hidden="false" customHeight="true" outlineLevel="0" collapsed="false">
      <c r="A8" s="3" t="s">
        <v>135</v>
      </c>
      <c r="B8" s="33" t="n">
        <v>1</v>
      </c>
      <c r="C8" s="3" t="s">
        <v>114</v>
      </c>
      <c r="D8" s="3"/>
    </row>
    <row r="9" customFormat="false" ht="15" hidden="false" customHeight="true" outlineLevel="0" collapsed="false">
      <c r="A9" s="3" t="s">
        <v>136</v>
      </c>
      <c r="B9" s="33" t="n">
        <v>0.7</v>
      </c>
      <c r="C9" s="3" t="s">
        <v>131</v>
      </c>
      <c r="D9" s="3"/>
    </row>
    <row r="10" customFormat="false" ht="15" hidden="false" customHeight="true" outlineLevel="0" collapsed="false">
      <c r="A10" s="3" t="s">
        <v>137</v>
      </c>
      <c r="B10" s="33" t="n">
        <v>1</v>
      </c>
      <c r="C10" s="3" t="s">
        <v>133</v>
      </c>
      <c r="D10" s="3"/>
    </row>
    <row r="11" customFormat="false" ht="15" hidden="false" customHeight="true" outlineLevel="0" collapsed="false">
      <c r="A11" s="3" t="s">
        <v>138</v>
      </c>
      <c r="B11" s="33" t="n">
        <v>7</v>
      </c>
      <c r="C11" s="3" t="s">
        <v>133</v>
      </c>
      <c r="D11" s="3"/>
    </row>
    <row r="12" customFormat="false" ht="15" hidden="false" customHeight="true" outlineLevel="0" collapsed="false">
      <c r="A12" s="3" t="s">
        <v>139</v>
      </c>
      <c r="B12" s="33" t="n">
        <v>25</v>
      </c>
      <c r="C12" s="3" t="s">
        <v>133</v>
      </c>
      <c r="D12" s="3"/>
    </row>
    <row r="13" customFormat="false" ht="15" hidden="false" customHeight="true" outlineLevel="0" collapsed="false">
      <c r="A13" s="3" t="s">
        <v>140</v>
      </c>
      <c r="B13" s="33" t="s">
        <v>141</v>
      </c>
      <c r="C13" s="3"/>
      <c r="D13" s="3" t="s">
        <v>142</v>
      </c>
    </row>
    <row r="14" customFormat="false" ht="15" hidden="false" customHeight="true" outlineLevel="0" collapsed="false">
      <c r="A14" s="3" t="s">
        <v>143</v>
      </c>
      <c r="B14" s="3" t="n">
        <f aca="false">IF(lift_iface="Chain",t_ch,t_lift_sh)</f>
        <v>25</v>
      </c>
    </row>
    <row r="16" customFormat="false" ht="15" hidden="false" customHeight="true" outlineLevel="0" collapsed="false">
      <c r="A16" s="3" t="s">
        <v>144</v>
      </c>
    </row>
    <row r="18" customFormat="false" ht="15" hidden="false" customHeight="true" outlineLevel="0" collapsed="false">
      <c r="A18" s="25" t="s">
        <v>145</v>
      </c>
    </row>
    <row r="19" customFormat="false" ht="15" hidden="false" customHeight="true" outlineLevel="0" collapsed="false">
      <c r="A19" s="3" t="s">
        <v>146</v>
      </c>
      <c r="B19" s="34" t="n">
        <f aca="false">(lam_in+lam_out)*peak_factor</f>
        <v>100</v>
      </c>
      <c r="C19" s="3" t="s">
        <v>147</v>
      </c>
    </row>
    <row r="20" customFormat="false" ht="15" hidden="false" customHeight="true" outlineLevel="0" collapsed="false">
      <c r="A20" s="3" t="s">
        <v>148</v>
      </c>
      <c r="B20" s="34" t="n">
        <f aca="false">lam_in*hours_in+lam_out*hours_out</f>
        <v>1920</v>
      </c>
      <c r="C20" s="3" t="s">
        <v>149</v>
      </c>
    </row>
    <row r="21" customFormat="false" ht="15" hidden="false" customHeight="true" outlineLevel="0" collapsed="false">
      <c r="A21" s="3" t="s">
        <v>150</v>
      </c>
      <c r="B21" s="34" t="n">
        <f aca="false">cap_req/fill</f>
        <v>4705.88235294118</v>
      </c>
      <c r="C21" s="3" t="s">
        <v>11</v>
      </c>
    </row>
    <row r="23" customFormat="false" ht="15" hidden="false" customHeight="true" outlineLevel="0" collapsed="false">
      <c r="A23" s="3" t="s">
        <v>151</v>
      </c>
      <c r="B23" s="33" t="n">
        <v>1.5</v>
      </c>
      <c r="C23" s="3" t="s">
        <v>152</v>
      </c>
      <c r="D23" s="3" t="s">
        <v>153</v>
      </c>
    </row>
  </sheetData>
  <dataValidations count="1">
    <dataValidation allowBlank="false" errorStyle="stop" operator="between" showDropDown="false" showErrorMessage="false" showInputMessage="false" sqref="B13" type="list">
      <formula1>"Shuttle,Chain"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0"/>
  </cols>
  <sheetData>
    <row r="1" customFormat="false" ht="18" hidden="false" customHeight="true" outlineLevel="0" collapsed="false">
      <c r="A1" s="2" t="s">
        <v>154</v>
      </c>
    </row>
    <row r="3" customFormat="false" ht="15" hidden="false" customHeight="true" outlineLevel="0" collapsed="false">
      <c r="A3" s="35" t="s">
        <v>155</v>
      </c>
    </row>
    <row r="4" customFormat="false" ht="23.25" hidden="false" customHeight="true" outlineLevel="0" collapsed="false">
      <c r="A4" s="36" t="s">
        <v>156</v>
      </c>
    </row>
    <row r="5" customFormat="false" ht="15" hidden="false" customHeight="true" outlineLevel="0" collapsed="false">
      <c r="A5" s="36"/>
    </row>
    <row r="6" customFormat="false" ht="15" hidden="false" customHeight="true" outlineLevel="0" collapsed="false">
      <c r="A6" s="35" t="s">
        <v>157</v>
      </c>
    </row>
    <row r="7" customFormat="false" ht="15" hidden="false" customHeight="true" outlineLevel="0" collapsed="false">
      <c r="A7" s="36" t="s">
        <v>158</v>
      </c>
    </row>
    <row r="8" customFormat="false" ht="15" hidden="false" customHeight="true" outlineLevel="0" collapsed="false">
      <c r="A8" s="36"/>
    </row>
    <row r="9" customFormat="false" ht="15" hidden="false" customHeight="true" outlineLevel="0" collapsed="false">
      <c r="A9" s="35" t="s">
        <v>159</v>
      </c>
    </row>
    <row r="10" customFormat="false" ht="15" hidden="false" customHeight="true" outlineLevel="0" collapsed="false">
      <c r="A10" s="36" t="s">
        <v>160</v>
      </c>
    </row>
    <row r="11" customFormat="false" ht="15" hidden="false" customHeight="true" outlineLevel="0" collapsed="false">
      <c r="A11" s="36" t="s">
        <v>161</v>
      </c>
    </row>
    <row r="12" customFormat="false" ht="15" hidden="false" customHeight="true" outlineLevel="0" collapsed="false">
      <c r="A12" s="36" t="s">
        <v>162</v>
      </c>
    </row>
    <row r="13" customFormat="false" ht="15" hidden="false" customHeight="true" outlineLevel="0" collapsed="false">
      <c r="A13" s="36" t="s">
        <v>163</v>
      </c>
    </row>
    <row r="14" customFormat="false" ht="15" hidden="false" customHeight="true" outlineLevel="0" collapsed="false">
      <c r="A14" s="36" t="s">
        <v>164</v>
      </c>
    </row>
    <row r="15" customFormat="false" ht="15" hidden="false" customHeight="true" outlineLevel="0" collapsed="false">
      <c r="A15" s="36" t="s">
        <v>165</v>
      </c>
    </row>
    <row r="16" customFormat="false" ht="15" hidden="false" customHeight="true" outlineLevel="0" collapsed="false">
      <c r="A16" s="36"/>
    </row>
    <row r="17" customFormat="false" ht="15" hidden="false" customHeight="true" outlineLevel="0" collapsed="false">
      <c r="A17" s="35" t="s">
        <v>166</v>
      </c>
    </row>
    <row r="18" customFormat="false" ht="23.25" hidden="false" customHeight="true" outlineLevel="0" collapsed="false">
      <c r="A18" s="36" t="s">
        <v>167</v>
      </c>
    </row>
    <row r="19" customFormat="false" ht="15" hidden="false" customHeight="true" outlineLevel="0" collapsed="false">
      <c r="A19" s="36" t="s">
        <v>168</v>
      </c>
    </row>
    <row r="20" customFormat="false" ht="15" hidden="false" customHeight="true" outlineLevel="0" collapsed="false">
      <c r="A20" s="36" t="s">
        <v>169</v>
      </c>
    </row>
    <row r="21" customFormat="false" ht="15" hidden="false" customHeight="true" outlineLevel="0" collapsed="false">
      <c r="A21" s="36"/>
    </row>
    <row r="22" customFormat="false" ht="15" hidden="false" customHeight="true" outlineLevel="0" collapsed="false">
      <c r="A22" s="35" t="s">
        <v>170</v>
      </c>
    </row>
    <row r="23" customFormat="false" ht="23.25" hidden="false" customHeight="true" outlineLevel="0" collapsed="false">
      <c r="A23" s="36" t="s">
        <v>171</v>
      </c>
    </row>
    <row r="24" customFormat="false" ht="15" hidden="false" customHeight="true" outlineLevel="0" collapsed="false">
      <c r="A24" s="36"/>
    </row>
    <row r="25" customFormat="false" ht="15" hidden="false" customHeight="true" outlineLevel="0" collapsed="false">
      <c r="A25" s="35" t="s">
        <v>172</v>
      </c>
    </row>
    <row r="26" customFormat="false" ht="15" hidden="false" customHeight="true" outlineLevel="0" collapsed="false">
      <c r="A26" s="36" t="s">
        <v>173</v>
      </c>
    </row>
    <row r="28" customFormat="false" ht="15" hidden="false" customHeight="true" outlineLevel="0" collapsed="false">
      <c r="A28" s="35" t="s">
        <v>174</v>
      </c>
    </row>
    <row r="29" customFormat="false" ht="23.25" hidden="false" customHeight="true" outlineLevel="0" collapsed="false">
      <c r="A29" s="36" t="s">
        <v>175</v>
      </c>
    </row>
    <row r="30" customFormat="false" ht="23.25" hidden="false" customHeight="true" outlineLevel="0" collapsed="false">
      <c r="A30" s="36" t="s">
        <v>176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2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4" min="2" style="1" width="12"/>
  </cols>
  <sheetData>
    <row r="1" customFormat="false" ht="18" hidden="false" customHeight="true" outlineLevel="0" collapsed="false">
      <c r="A1" s="2" t="s">
        <v>177</v>
      </c>
    </row>
    <row r="3" customFormat="false" ht="15" hidden="false" customHeight="true" outlineLevel="0" collapsed="false">
      <c r="A3" s="25" t="s">
        <v>178</v>
      </c>
      <c r="B3" s="33" t="n">
        <v>2</v>
      </c>
      <c r="C3" s="33" t="n">
        <v>3</v>
      </c>
      <c r="D3" s="33" t="n">
        <v>4</v>
      </c>
      <c r="E3" s="33" t="n">
        <v>5</v>
      </c>
      <c r="F3" s="33" t="n">
        <v>6</v>
      </c>
      <c r="G3" s="33" t="n">
        <v>8</v>
      </c>
      <c r="H3" s="33" t="n">
        <v>10</v>
      </c>
      <c r="I3" s="33" t="n">
        <v>12</v>
      </c>
      <c r="J3" s="33" t="n">
        <v>16</v>
      </c>
      <c r="K3" s="33" t="n">
        <v>20</v>
      </c>
      <c r="L3" s="33" t="n">
        <v>24</v>
      </c>
    </row>
    <row r="4" customFormat="false" ht="15" hidden="false" customHeight="true" outlineLevel="0" collapsed="false">
      <c r="A4" s="25" t="s">
        <v>179</v>
      </c>
      <c r="B4" s="37" t="n">
        <f aca="false">MIN(AG8:AG227)</f>
        <v>2223124.02400974</v>
      </c>
      <c r="D4" s="1" t="n">
        <f aca="false">MATCH(B4,AG8:AG227,0)</f>
        <v>108</v>
      </c>
      <c r="F4" s="1" t="n">
        <f aca="false">COUNTIF(AE8:AE227,1)</f>
        <v>12</v>
      </c>
    </row>
    <row r="5" customFormat="false" ht="15" hidden="false" customHeight="true" outlineLevel="0" collapsed="false">
      <c r="AJ5" s="25" t="s">
        <v>180</v>
      </c>
    </row>
    <row r="6" customFormat="false" ht="43.5" hidden="false" customHeight="true" outlineLevel="0" collapsed="false">
      <c r="A6" s="4" t="s">
        <v>181</v>
      </c>
      <c r="B6" s="4" t="s">
        <v>58</v>
      </c>
      <c r="C6" s="4" t="s">
        <v>59</v>
      </c>
      <c r="D6" s="4" t="s">
        <v>182</v>
      </c>
      <c r="E6" s="4" t="s">
        <v>183</v>
      </c>
      <c r="F6" s="4" t="s">
        <v>184</v>
      </c>
      <c r="G6" s="4" t="s">
        <v>185</v>
      </c>
      <c r="H6" s="4" t="s">
        <v>186</v>
      </c>
      <c r="I6" s="4" t="s">
        <v>187</v>
      </c>
      <c r="J6" s="4" t="s">
        <v>22</v>
      </c>
      <c r="K6" s="4" t="s">
        <v>24</v>
      </c>
      <c r="L6" s="4" t="s">
        <v>188</v>
      </c>
      <c r="M6" s="4" t="s">
        <v>189</v>
      </c>
      <c r="N6" s="4" t="s">
        <v>190</v>
      </c>
      <c r="O6" s="4" t="s">
        <v>37</v>
      </c>
      <c r="P6" s="4" t="s">
        <v>191</v>
      </c>
      <c r="Q6" s="4" t="s">
        <v>192</v>
      </c>
      <c r="R6" s="4" t="s">
        <v>29</v>
      </c>
      <c r="S6" s="4" t="s">
        <v>32</v>
      </c>
      <c r="T6" s="4" t="s">
        <v>35</v>
      </c>
      <c r="U6" s="4" t="s">
        <v>193</v>
      </c>
      <c r="V6" s="4" t="s">
        <v>194</v>
      </c>
      <c r="W6" s="4" t="s">
        <v>195</v>
      </c>
      <c r="X6" s="4" t="s">
        <v>196</v>
      </c>
      <c r="Y6" s="4" t="s">
        <v>197</v>
      </c>
      <c r="Z6" s="4" t="s">
        <v>49</v>
      </c>
      <c r="AA6" s="4" t="s">
        <v>27</v>
      </c>
      <c r="AB6" s="4" t="s">
        <v>198</v>
      </c>
      <c r="AC6" s="4" t="s">
        <v>199</v>
      </c>
      <c r="AD6" s="4" t="s">
        <v>46</v>
      </c>
      <c r="AE6" s="4" t="s">
        <v>200</v>
      </c>
      <c r="AF6" s="4" t="s">
        <v>102</v>
      </c>
      <c r="AG6" s="4" t="s">
        <v>201</v>
      </c>
      <c r="AH6" s="4" t="s">
        <v>202</v>
      </c>
      <c r="AJ6" s="4" t="s">
        <v>203</v>
      </c>
      <c r="AK6" s="4" t="n">
        <f aca="false">B3</f>
        <v>2</v>
      </c>
      <c r="AL6" s="4" t="n">
        <f aca="false">C3</f>
        <v>3</v>
      </c>
      <c r="AM6" s="4" t="n">
        <f aca="false">D3</f>
        <v>4</v>
      </c>
      <c r="AN6" s="4" t="n">
        <f aca="false">E3</f>
        <v>5</v>
      </c>
      <c r="AO6" s="4" t="n">
        <f aca="false">F3</f>
        <v>6</v>
      </c>
      <c r="AP6" s="4" t="n">
        <f aca="false">G3</f>
        <v>8</v>
      </c>
      <c r="AQ6" s="4" t="n">
        <f aca="false">H3</f>
        <v>10</v>
      </c>
      <c r="AR6" s="4" t="n">
        <f aca="false">I3</f>
        <v>12</v>
      </c>
      <c r="AS6" s="4" t="n">
        <f aca="false">J3</f>
        <v>16</v>
      </c>
      <c r="AT6" s="4" t="n">
        <f aca="false">K3</f>
        <v>20</v>
      </c>
      <c r="AU6" s="4" t="n">
        <f aca="false">L3</f>
        <v>24</v>
      </c>
    </row>
    <row r="7" customFormat="false" ht="15" hidden="false" customHeight="true" outlineLevel="0" collapsed="false">
      <c r="A7" s="38" t="n">
        <v>0</v>
      </c>
      <c r="B7" s="39" t="n">
        <f aca="false">NC_man</f>
        <v>8</v>
      </c>
      <c r="C7" s="39" t="n">
        <f aca="false">NT_man</f>
        <v>8</v>
      </c>
      <c r="D7" s="40" t="n">
        <f aca="false">INDEX(Tc_pl,C7)</f>
        <v>0.6</v>
      </c>
      <c r="E7" s="41" t="n">
        <f aca="false">INDEX(Tc_S,C7)</f>
        <v>45.0988095238095</v>
      </c>
      <c r="F7" s="42" t="n">
        <f aca="false">lam_total*D7*E7/3600</f>
        <v>0.751646825396826</v>
      </c>
      <c r="G7" s="38" t="n">
        <f aca="false">IF(F7&lt;=0.000000000001,0,MAX(ROUNDUP(F7/rho_max-0.000000001,0),IF(redund="Yes",ROUNDUP(F7/rho_fail-0.000000001,0)+1,0)))</f>
        <v>2</v>
      </c>
      <c r="H7" s="38" t="n">
        <f aca="false">MAX(1,ROUNDUP((P_req/(B7*C7)+G7*lpl)/2-0.000000001,0))</f>
        <v>40</v>
      </c>
      <c r="I7" s="41" t="n">
        <f aca="false">H7*u_w</f>
        <v>40</v>
      </c>
      <c r="J7" s="41" t="n">
        <f aca="false">2*B7*u_d+aisle_w</f>
        <v>22.1</v>
      </c>
      <c r="K7" s="41" t="n">
        <f aca="false">C7*u_h</f>
        <v>17.2</v>
      </c>
      <c r="L7" s="41" t="n">
        <f aca="false">IF(G7=0,I7,I7/(2*G7))</f>
        <v>10</v>
      </c>
      <c r="M7" s="42" t="n">
        <f aca="false">((IF((lane_off+(L7))&lt;=(v_sh^2/a_sh),(4/3)*(lane_off+(L7))^1.5/SQRT(a_sh),(4/3)*(v_sh^2/a_sh)^1.5/SQRT(a_sh)+((lane_off+(L7))^2-(v_sh^2/a_sh)^2)/(2*v_sh)+(v_sh/a_sh)*((lane_off+(L7))-(v_sh^2/a_sh))))-(IF((lane_off)&lt;=(v_sh^2/a_sh),(4/3)*(lane_off)^1.5/SQRT(a_sh),(4/3)*(v_sh^2/a_sh)^1.5/SQRT(a_sh)+((lane_off)^2-(v_sh^2/a_sh)^2)/(2*v_sh)+(v_sh/a_sh)*((lane_off)-(v_sh^2/a_sh)))))/(L7)</f>
        <v>7.26193220758279</v>
      </c>
      <c r="N7" s="42" t="n">
        <f aca="false">IF(((B7-1)*u_d/2*(1+f_hc)+lane_off)&lt;=0,0,IF(((B7-1)*u_d/2*(1+f_hc)+lane_off)&gt;=v_sh^2/a_sh,((B7-1)*u_d/2*(1+f_hc)+lane_off)/v_sh+v_sh/a_sh,2*SQRT(((B7-1)*u_d/2*(1+f_hc)+lane_off)/a_sh)))</f>
        <v>7.62857142857143</v>
      </c>
      <c r="O7" s="41" t="n">
        <f aca="false">2*t_sh+2*t_turn+2*M7+2*N7</f>
        <v>87.7810072723084</v>
      </c>
      <c r="P7" s="41" t="n">
        <f aca="false">SUMPRODUCT((Tc_idx&lt;=C7)*(ROUNDUP(lam_total*INDEX(Tc_P,C7,0)*O7/(3600*rho_max)-0.000000001,0)+(ROUNDUP(lam_total*INDEX(Tc_P,C7,0)*O7/(3600*rho_max)-0.000000001,0)&lt;min_sh)*(min_sh-ROUNDUP(lam_total*INDEX(Tc_P,C7,0)*O7/(3600*rho_max)-0.000000001,0))))</f>
        <v>10</v>
      </c>
      <c r="Q7" s="38" t="n">
        <f aca="false">ROUNDUP(P7-0.000000001,0)+spares</f>
        <v>12</v>
      </c>
      <c r="R7" s="43" t="n">
        <f aca="false">B7*C7*(2*H7-G7*lpl)</f>
        <v>4736</v>
      </c>
      <c r="S7" s="43" t="n">
        <f aca="false">R7*fill</f>
        <v>4025.6</v>
      </c>
      <c r="T7" s="43" t="n">
        <f aca="false">I7*J7</f>
        <v>884</v>
      </c>
      <c r="U7" s="43" t="n">
        <f aca="false">T7*(K7+headroom)</f>
        <v>16530.8</v>
      </c>
      <c r="V7" s="43" t="n">
        <f aca="false">G7*c_lift</f>
        <v>300000</v>
      </c>
      <c r="W7" s="43" t="n">
        <f aca="false">Q7*c_shut</f>
        <v>600000</v>
      </c>
      <c r="X7" s="43" t="n">
        <f aca="false">R7*c_pos</f>
        <v>473600</v>
      </c>
      <c r="Y7" s="43" t="n">
        <f aca="false">T7*c_m2+U7*c_m3</f>
        <v>849524</v>
      </c>
      <c r="Z7" s="43" t="n">
        <f aca="false">SUM(V7:Y7)</f>
        <v>2223124</v>
      </c>
      <c r="AA7" s="42" t="n">
        <f aca="false">B7*u_d/(H7*u_w)</f>
        <v>0.26</v>
      </c>
      <c r="AB7" s="40" t="n">
        <f aca="false">IF(G7=0,0,F7/G7)</f>
        <v>0.375823412698413</v>
      </c>
      <c r="AC7" s="40" t="n">
        <f aca="false">IF(G7&gt;1,F7/(G7-1),"n/a")</f>
        <v>0.751646825396826</v>
      </c>
      <c r="AD7" s="41" t="n">
        <f aca="false">moves_day*m_pallet*9.81*INDEX(Tc_mh,C7)/3600000</f>
        <v>12.93612</v>
      </c>
      <c r="AE7" s="38" t="n">
        <f aca="false">IF(AND(K7&lt;=H_max,H7&lt;=300,OR(lane_policy="Free (optimize N_C)",B7=sku_pal),OR(env_use="No",AND(I7&lt;=L_bldg,J7&lt;=W_bldg),AND(I7&lt;=W_bldg,J7&lt;=L_bldg))),1,0)</f>
        <v>1</v>
      </c>
      <c r="AF7" s="44" t="n">
        <f aca="false">IF(obj_mode="Total cost",Z7,IF(obj_mode="Shuttle cycle",O7,T7))</f>
        <v>2223124</v>
      </c>
      <c r="AG7" s="38"/>
      <c r="AH7" s="38" t="str">
        <f aca="false">IF(AE7=1,"",IF(K7&gt;H_max,"height",IF(AND(lane_policy&lt;&gt;"Free (optimize N_C)",B7&lt;&gt;sku_pal),"lane policy","footprint")))</f>
        <v/>
      </c>
      <c r="AJ7" s="3" t="n">
        <v>1</v>
      </c>
      <c r="AK7" s="45" t="e">
        <f aca="false">IF(AE8=1,AF8,NA())</f>
        <v>#N/A</v>
      </c>
      <c r="AL7" s="45" t="e">
        <f aca="false">IF(AE28=1,AF28,NA())</f>
        <v>#N/A</v>
      </c>
      <c r="AM7" s="45" t="e">
        <f aca="false">IF(AE48=1,AF48,NA())</f>
        <v>#N/A</v>
      </c>
      <c r="AN7" s="45" t="e">
        <f aca="false">IF(AE68=1,AF68,NA())</f>
        <v>#N/A</v>
      </c>
      <c r="AO7" s="45" t="e">
        <f aca="false">IF(AE88=1,AF88,NA())</f>
        <v>#N/A</v>
      </c>
      <c r="AP7" s="45" t="e">
        <f aca="false">IF(AE108=1,AF108,NA())</f>
        <v>#N/A</v>
      </c>
      <c r="AQ7" s="45" t="e">
        <f aca="false">IF(AE128=1,AF128,NA())</f>
        <v>#N/A</v>
      </c>
      <c r="AR7" s="45" t="e">
        <f aca="false">IF(AE148=1,AF148,NA())</f>
        <v>#N/A</v>
      </c>
      <c r="AS7" s="45" t="e">
        <f aca="false">IF(AE168=1,AF168,NA())</f>
        <v>#N/A</v>
      </c>
      <c r="AT7" s="45" t="e">
        <f aca="false">IF(AE188=1,AF188,NA())</f>
        <v>#N/A</v>
      </c>
      <c r="AU7" s="45" t="e">
        <f aca="false">IF(AE208=1,AF208,NA())</f>
        <v>#N/A</v>
      </c>
    </row>
    <row r="8" customFormat="false" ht="15" hidden="false" customHeight="true" outlineLevel="0" collapsed="false">
      <c r="A8" s="3" t="n">
        <v>1</v>
      </c>
      <c r="B8" s="3" t="n">
        <f aca="false">$B$3</f>
        <v>2</v>
      </c>
      <c r="C8" s="3" t="n">
        <v>1</v>
      </c>
      <c r="D8" s="46" t="n">
        <f aca="false">INDEX(Tc_pl,C8)</f>
        <v>0</v>
      </c>
      <c r="E8" s="47" t="n">
        <f aca="false">INDEX(Tc_S,C8)</f>
        <v>0</v>
      </c>
      <c r="F8" s="34" t="n">
        <f aca="false">lam_total*D8*E8/3600</f>
        <v>0</v>
      </c>
      <c r="G8" s="3" t="n">
        <f aca="false">IF(F8&lt;=0.000000000001,0,MAX(ROUNDUP(F8/rho_max-0.000000001,0),IF(redund="Yes",ROUNDUP(F8/rho_fail-0.000000001,0)+1,0)))</f>
        <v>0</v>
      </c>
      <c r="H8" s="3" t="n">
        <f aca="false">MAX(1,ROUNDUP((P_req/(B8*C8)+G8*lpl)/2-0.000000001,0))</f>
        <v>1177</v>
      </c>
      <c r="I8" s="47" t="n">
        <f aca="false">H8*u_w</f>
        <v>1177</v>
      </c>
      <c r="J8" s="47" t="n">
        <f aca="false">2*B8*u_d+aisle_w</f>
        <v>6.5</v>
      </c>
      <c r="K8" s="47" t="n">
        <f aca="false">C8*u_h</f>
        <v>2.15</v>
      </c>
      <c r="L8" s="47" t="n">
        <f aca="false">IF(G8=0,I8,I8/(2*G8))</f>
        <v>1177</v>
      </c>
      <c r="M8" s="34" t="n">
        <f aca="false">((IF((lane_off+(L8))&lt;=(v_sh^2/a_sh),(4/3)*(lane_off+(L8))^1.5/SQRT(a_sh),(4/3)*(v_sh^2/a_sh)^1.5/SQRT(a_sh)+((lane_off+(L8))^2-(v_sh^2/a_sh)^2)/(2*v_sh)+(v_sh/a_sh)*((lane_off+(L8))-(v_sh^2/a_sh))))-(IF((lane_off)&lt;=(v_sh^2/a_sh),(4/3)*(lane_off)^1.5/SQRT(a_sh),(4/3)*(v_sh^2/a_sh)^1.5/SQRT(a_sh)+((lane_off)^2-(v_sh^2/a_sh)^2)/(2*v_sh)+(v_sh/a_sh)*((lane_off)-(v_sh^2/a_sh)))))/(L8)</f>
        <v>424.085390855023</v>
      </c>
      <c r="N8" s="34" t="n">
        <f aca="false">IF(((B8-1)*u_d/2*(1+f_hc)+lane_off)&lt;=0,0,IF(((B8-1)*u_d/2*(1+f_hc)+lane_off)&gt;=v_sh^2/a_sh,((B8-1)*u_d/2*(1+f_hc)+lane_off)/v_sh+v_sh/a_sh,2*SQRT(((B8-1)*u_d/2*(1+f_hc)+lane_off)/a_sh)))</f>
        <v>4.07921561087423</v>
      </c>
      <c r="O8" s="47" t="n">
        <f aca="false">2*t_sh+2*t_turn+2*M8+2*N8</f>
        <v>914.329212931794</v>
      </c>
      <c r="P8" s="47" t="n">
        <f aca="false">SUMPRODUCT((Tc_idx&lt;=C8)*(ROUNDUP(lam_total*INDEX(Tc_P,C8,0)*O8/(3600*rho_max)-0.000000001,0)+(ROUNDUP(lam_total*INDEX(Tc_P,C8,0)*O8/(3600*rho_max)-0.000000001,0)&lt;min_sh)*(min_sh-ROUNDUP(lam_total*INDEX(Tc_P,C8,0)*O8/(3600*rho_max)-0.000000001,0))))</f>
        <v>34</v>
      </c>
      <c r="Q8" s="3" t="n">
        <f aca="false">ROUNDUP(P8-0.000000001,0)+spares</f>
        <v>36</v>
      </c>
      <c r="R8" s="45" t="n">
        <f aca="false">B8*C8*(2*H8-G8*lpl)</f>
        <v>4708</v>
      </c>
      <c r="S8" s="45" t="n">
        <f aca="false">R8*fill</f>
        <v>4001.8</v>
      </c>
      <c r="T8" s="45" t="n">
        <f aca="false">I8*J8</f>
        <v>7650.5</v>
      </c>
      <c r="U8" s="45" t="n">
        <f aca="false">T8*(K8+headroom)</f>
        <v>27924.325</v>
      </c>
      <c r="V8" s="45" t="n">
        <f aca="false">G8*c_lift</f>
        <v>0</v>
      </c>
      <c r="W8" s="45" t="n">
        <f aca="false">Q8*c_shut</f>
        <v>1800000</v>
      </c>
      <c r="X8" s="45" t="n">
        <f aca="false">R8*c_pos</f>
        <v>470800</v>
      </c>
      <c r="Y8" s="45" t="n">
        <f aca="false">T8*c_m2+U8*c_m3</f>
        <v>3897929.75</v>
      </c>
      <c r="Z8" s="45" t="n">
        <f aca="false">SUM(V8:Y8)</f>
        <v>6168729.75</v>
      </c>
      <c r="AA8" s="34" t="n">
        <f aca="false">B8*u_d/(H8*u_w)</f>
        <v>0.0022090059473237</v>
      </c>
      <c r="AB8" s="46" t="n">
        <f aca="false">IF(G8=0,0,F8/G8)</f>
        <v>0</v>
      </c>
      <c r="AC8" s="46" t="str">
        <f aca="false">IF(G8&gt;1,F8/(G8-1),"n/a")</f>
        <v>n/a</v>
      </c>
      <c r="AD8" s="47" t="n">
        <f aca="false">moves_day*m_pallet*9.81*INDEX(Tc_mh,C8)/3600000</f>
        <v>0</v>
      </c>
      <c r="AE8" s="3" t="n">
        <f aca="false">IF(AND(K8&lt;=H_max,H8&lt;=300,OR(lane_policy="Free (optimize N_C)",B8=sku_pal),OR(env_use="No",AND(I8&lt;=L_bldg,J8&lt;=W_bldg),AND(I8&lt;=W_bldg,J8&lt;=L_bldg))),1,0)</f>
        <v>0</v>
      </c>
      <c r="AF8" s="48" t="n">
        <f aca="false">IF(obj_mode="Total cost",Z8,IF(obj_mode="Shuttle cycle",O8,T8))</f>
        <v>6168729.75</v>
      </c>
      <c r="AG8" s="3" t="n">
        <f aca="false">IF(AE8=1,AF8*(1+A8*0.0000000001),1E+099)</f>
        <v>1E+099</v>
      </c>
      <c r="AH8" s="3" t="str">
        <f aca="false">IF(AE8=1,"",IF(K8&gt;H_max,"height",IF(AND(lane_policy&lt;&gt;"Free (optimize N_C)",B8&lt;&gt;sku_pal),"lane policy","footprint")))</f>
        <v>footprint</v>
      </c>
      <c r="AJ8" s="3" t="n">
        <v>2</v>
      </c>
      <c r="AK8" s="45" t="e">
        <f aca="false">IF(AE9=1,AF9,NA())</f>
        <v>#N/A</v>
      </c>
      <c r="AL8" s="45" t="e">
        <f aca="false">IF(AE29=1,AF29,NA())</f>
        <v>#N/A</v>
      </c>
      <c r="AM8" s="45" t="e">
        <f aca="false">IF(AE49=1,AF49,NA())</f>
        <v>#N/A</v>
      </c>
      <c r="AN8" s="45" t="e">
        <f aca="false">IF(AE69=1,AF69,NA())</f>
        <v>#N/A</v>
      </c>
      <c r="AO8" s="45" t="e">
        <f aca="false">IF(AE89=1,AF89,NA())</f>
        <v>#N/A</v>
      </c>
      <c r="AP8" s="45" t="e">
        <f aca="false">IF(AE109=1,AF109,NA())</f>
        <v>#N/A</v>
      </c>
      <c r="AQ8" s="45" t="e">
        <f aca="false">IF(AE129=1,AF129,NA())</f>
        <v>#N/A</v>
      </c>
      <c r="AR8" s="45" t="e">
        <f aca="false">IF(AE149=1,AF149,NA())</f>
        <v>#N/A</v>
      </c>
      <c r="AS8" s="45" t="e">
        <f aca="false">IF(AE169=1,AF169,NA())</f>
        <v>#N/A</v>
      </c>
      <c r="AT8" s="45" t="e">
        <f aca="false">IF(AE189=1,AF189,NA())</f>
        <v>#N/A</v>
      </c>
      <c r="AU8" s="45" t="e">
        <f aca="false">IF(AE209=1,AF209,NA())</f>
        <v>#N/A</v>
      </c>
    </row>
    <row r="9" customFormat="false" ht="15" hidden="false" customHeight="true" outlineLevel="0" collapsed="false">
      <c r="A9" s="3" t="n">
        <v>2</v>
      </c>
      <c r="B9" s="3" t="n">
        <f aca="false">$B$3</f>
        <v>2</v>
      </c>
      <c r="C9" s="3" t="n">
        <v>2</v>
      </c>
      <c r="D9" s="46" t="n">
        <f aca="false">INDEX(Tc_pl,C9)</f>
        <v>0.5</v>
      </c>
      <c r="E9" s="47" t="n">
        <f aca="false">INDEX(Tc_S,C9)</f>
        <v>41.1571428571429</v>
      </c>
      <c r="F9" s="34" t="n">
        <f aca="false">lam_total*D9*E9/3600</f>
        <v>0.571626984126984</v>
      </c>
      <c r="G9" s="3" t="n">
        <f aca="false">IF(F9&lt;=0.000000000001,0,MAX(ROUNDUP(F9/rho_max-0.000000001,0),IF(redund="Yes",ROUNDUP(F9/rho_fail-0.000000001,0)+1,0)))</f>
        <v>2</v>
      </c>
      <c r="H9" s="3" t="n">
        <f aca="false">MAX(1,ROUNDUP((P_req/(B9*C9)+G9*lpl)/2-0.000000001,0))</f>
        <v>592</v>
      </c>
      <c r="I9" s="47" t="n">
        <f aca="false">H9*u_w</f>
        <v>592</v>
      </c>
      <c r="J9" s="47" t="n">
        <f aca="false">2*B9*u_d+aisle_w</f>
        <v>6.5</v>
      </c>
      <c r="K9" s="47" t="n">
        <f aca="false">C9*u_h</f>
        <v>4.3</v>
      </c>
      <c r="L9" s="47" t="n">
        <f aca="false">IF(G9=0,I9,I9/(2*G9))</f>
        <v>148</v>
      </c>
      <c r="M9" s="34" t="n">
        <f aca="false">((IF((lane_off+(L9))&lt;=(v_sh^2/a_sh),(4/3)*(lane_off+(L9))^1.5/SQRT(a_sh),(4/3)*(v_sh^2/a_sh)^1.5/SQRT(a_sh)+((lane_off+(L9))^2-(v_sh^2/a_sh)^2)/(2*v_sh)+(v_sh/a_sh)*((lane_off+(L9))-(v_sh^2/a_sh))))-(IF((lane_off)&lt;=(v_sh^2/a_sh),(4/3)*(lane_off)^1.5/SQRT(a_sh),(4/3)*(v_sh^2/a_sh)^1.5/SQRT(a_sh)+((lane_off)^2-(v_sh^2/a_sh)^2)/(2*v_sh)+(v_sh/a_sh)*((lane_off)-(v_sh^2/a_sh)))))/(L9)</f>
        <v>56.583142137578</v>
      </c>
      <c r="N9" s="34" t="n">
        <f aca="false">IF(((B9-1)*u_d/2*(1+f_hc)+lane_off)&lt;=0,0,IF(((B9-1)*u_d/2*(1+f_hc)+lane_off)&gt;=v_sh^2/a_sh,((B9-1)*u_d/2*(1+f_hc)+lane_off)/v_sh+v_sh/a_sh,2*SQRT(((B9-1)*u_d/2*(1+f_hc)+lane_off)/a_sh)))</f>
        <v>4.07921561087423</v>
      </c>
      <c r="O9" s="47" t="n">
        <f aca="false">2*t_sh+2*t_turn+2*M9+2*N9</f>
        <v>179.324715496904</v>
      </c>
      <c r="P9" s="47" t="n">
        <f aca="false">SUMPRODUCT((Tc_idx&lt;=C9)*(ROUNDUP(lam_total*INDEX(Tc_P,C9,0)*O9/(3600*rho_max)-0.000000001,0)+(ROUNDUP(lam_total*INDEX(Tc_P,C9,0)*O9/(3600*rho_max)-0.000000001,0)&lt;min_sh)*(min_sh-ROUNDUP(lam_total*INDEX(Tc_P,C9,0)*O9/(3600*rho_max)-0.000000001,0))))</f>
        <v>8</v>
      </c>
      <c r="Q9" s="3" t="n">
        <f aca="false">ROUNDUP(P9-0.000000001,0)+spares</f>
        <v>10</v>
      </c>
      <c r="R9" s="45" t="n">
        <f aca="false">B9*C9*(2*H9-G9*lpl)</f>
        <v>4712</v>
      </c>
      <c r="S9" s="45" t="n">
        <f aca="false">R9*fill</f>
        <v>4005.2</v>
      </c>
      <c r="T9" s="45" t="n">
        <f aca="false">I9*J9</f>
        <v>3848</v>
      </c>
      <c r="U9" s="45" t="n">
        <f aca="false">T9*(K9+headroom)</f>
        <v>22318.4</v>
      </c>
      <c r="V9" s="45" t="n">
        <f aca="false">G9*c_lift</f>
        <v>300000</v>
      </c>
      <c r="W9" s="45" t="n">
        <f aca="false">Q9*c_shut</f>
        <v>500000</v>
      </c>
      <c r="X9" s="45" t="n">
        <f aca="false">R9*c_pos</f>
        <v>471200</v>
      </c>
      <c r="Y9" s="45" t="n">
        <f aca="false">T9*c_m2+U9*c_m3</f>
        <v>2208752</v>
      </c>
      <c r="Z9" s="45" t="n">
        <f aca="false">SUM(V9:Y9)</f>
        <v>3479952</v>
      </c>
      <c r="AA9" s="34" t="n">
        <f aca="false">B9*u_d/(H9*u_w)</f>
        <v>0.00439189189189189</v>
      </c>
      <c r="AB9" s="46" t="n">
        <f aca="false">IF(G9=0,0,F9/G9)</f>
        <v>0.285813492063492</v>
      </c>
      <c r="AC9" s="46" t="n">
        <f aca="false">IF(G9&gt;1,F9/(G9-1),"n/a")</f>
        <v>0.571626984126984</v>
      </c>
      <c r="AD9" s="47" t="n">
        <f aca="false">moves_day*m_pallet*9.81*INDEX(Tc_mh,C9)/3600000</f>
        <v>5.6244</v>
      </c>
      <c r="AE9" s="3" t="n">
        <f aca="false">IF(AND(K9&lt;=H_max,H9&lt;=300,OR(lane_policy="Free (optimize N_C)",B9=sku_pal),OR(env_use="No",AND(I9&lt;=L_bldg,J9&lt;=W_bldg),AND(I9&lt;=W_bldg,J9&lt;=L_bldg))),1,0)</f>
        <v>0</v>
      </c>
      <c r="AF9" s="48" t="n">
        <f aca="false">IF(obj_mode="Total cost",Z9,IF(obj_mode="Shuttle cycle",O9,T9))</f>
        <v>3479952</v>
      </c>
      <c r="AG9" s="3" t="n">
        <f aca="false">IF(AE9=1,AF9*(1+A9*0.0000000001),1E+099)</f>
        <v>1E+099</v>
      </c>
      <c r="AH9" s="3" t="str">
        <f aca="false">IF(AE9=1,"",IF(K9&gt;H_max,"height",IF(AND(lane_policy&lt;&gt;"Free (optimize N_C)",B9&lt;&gt;sku_pal),"lane policy","footprint")))</f>
        <v>footprint</v>
      </c>
      <c r="AJ9" s="3" t="n">
        <v>3</v>
      </c>
      <c r="AK9" s="45" t="e">
        <f aca="false">IF(AE10=1,AF10,NA())</f>
        <v>#N/A</v>
      </c>
      <c r="AL9" s="45" t="e">
        <f aca="false">IF(AE30=1,AF30,NA())</f>
        <v>#N/A</v>
      </c>
      <c r="AM9" s="45" t="e">
        <f aca="false">IF(AE50=1,AF50,NA())</f>
        <v>#N/A</v>
      </c>
      <c r="AN9" s="45" t="e">
        <f aca="false">IF(AE70=1,AF70,NA())</f>
        <v>#N/A</v>
      </c>
      <c r="AO9" s="45" t="e">
        <f aca="false">IF(AE90=1,AF90,NA())</f>
        <v>#N/A</v>
      </c>
      <c r="AP9" s="45" t="e">
        <f aca="false">IF(AE110=1,AF110,NA())</f>
        <v>#N/A</v>
      </c>
      <c r="AQ9" s="45" t="e">
        <f aca="false">IF(AE130=1,AF130,NA())</f>
        <v>#N/A</v>
      </c>
      <c r="AR9" s="45" t="e">
        <f aca="false">IF(AE150=1,AF150,NA())</f>
        <v>#N/A</v>
      </c>
      <c r="AS9" s="45" t="e">
        <f aca="false">IF(AE170=1,AF170,NA())</f>
        <v>#N/A</v>
      </c>
      <c r="AT9" s="45" t="e">
        <f aca="false">IF(AE190=1,AF190,NA())</f>
        <v>#N/A</v>
      </c>
      <c r="AU9" s="45" t="e">
        <f aca="false">IF(AE210=1,AF210,NA())</f>
        <v>#N/A</v>
      </c>
    </row>
    <row r="10" customFormat="false" ht="15" hidden="false" customHeight="true" outlineLevel="0" collapsed="false">
      <c r="A10" s="3" t="n">
        <v>3</v>
      </c>
      <c r="B10" s="3" t="n">
        <f aca="false">$B$3</f>
        <v>2</v>
      </c>
      <c r="C10" s="3" t="n">
        <v>3</v>
      </c>
      <c r="D10" s="46" t="n">
        <f aca="false">INDEX(Tc_pl,C10)</f>
        <v>0.529411764705882</v>
      </c>
      <c r="E10" s="47" t="n">
        <f aca="false">INDEX(Tc_S,C10)</f>
        <v>41.6349206349206</v>
      </c>
      <c r="F10" s="34" t="n">
        <f aca="false">lam_total*D10*E10/3600</f>
        <v>0.612278244631186</v>
      </c>
      <c r="G10" s="3" t="n">
        <f aca="false">IF(F10&lt;=0.000000000001,0,MAX(ROUNDUP(F10/rho_max-0.000000001,0),IF(redund="Yes",ROUNDUP(F10/rho_fail-0.000000001,0)+1,0)))</f>
        <v>2</v>
      </c>
      <c r="H10" s="3" t="n">
        <f aca="false">MAX(1,ROUNDUP((P_req/(B10*C10)+G10*lpl)/2-0.000000001,0))</f>
        <v>396</v>
      </c>
      <c r="I10" s="47" t="n">
        <f aca="false">H10*u_w</f>
        <v>396</v>
      </c>
      <c r="J10" s="47" t="n">
        <f aca="false">2*B10*u_d+aisle_w</f>
        <v>6.5</v>
      </c>
      <c r="K10" s="47" t="n">
        <f aca="false">C10*u_h</f>
        <v>6.45</v>
      </c>
      <c r="L10" s="47" t="n">
        <f aca="false">IF(G10=0,I10,I10/(2*G10))</f>
        <v>99</v>
      </c>
      <c r="M10" s="34" t="n">
        <f aca="false">((IF((lane_off+(L10))&lt;=(v_sh^2/a_sh),(4/3)*(lane_off+(L10))^1.5/SQRT(a_sh),(4/3)*(v_sh^2/a_sh)^1.5/SQRT(a_sh)+((lane_off+(L10))^2-(v_sh^2/a_sh)^2)/(2*v_sh)+(v_sh/a_sh)*((lane_off+(L10))-(v_sh^2/a_sh))))-(IF((lane_off)&lt;=(v_sh^2/a_sh),(4/3)*(lane_off)^1.5/SQRT(a_sh),(4/3)*(v_sh^2/a_sh)^1.5/SQRT(a_sh)+((lane_off)^2-(v_sh^2/a_sh)^2)/(2*v_sh)+(v_sh/a_sh)*((lane_off)-(v_sh^2/a_sh)))))/(L10)</f>
        <v>39.081869054157</v>
      </c>
      <c r="N10" s="34" t="n">
        <f aca="false">IF(((B10-1)*u_d/2*(1+f_hc)+lane_off)&lt;=0,0,IF(((B10-1)*u_d/2*(1+f_hc)+lane_off)&gt;=v_sh^2/a_sh,((B10-1)*u_d/2*(1+f_hc)+lane_off)/v_sh+v_sh/a_sh,2*SQRT(((B10-1)*u_d/2*(1+f_hc)+lane_off)/a_sh)))</f>
        <v>4.07921561087423</v>
      </c>
      <c r="O10" s="47" t="n">
        <f aca="false">2*t_sh+2*t_turn+2*M10+2*N10</f>
        <v>144.322169330062</v>
      </c>
      <c r="P10" s="47" t="n">
        <f aca="false">SUMPRODUCT((Tc_idx&lt;=C10)*(ROUNDUP(lam_total*INDEX(Tc_P,C10,0)*O10/(3600*rho_max)-0.000000001,0)+(ROUNDUP(lam_total*INDEX(Tc_P,C10,0)*O10/(3600*rho_max)-0.000000001,0)&lt;min_sh)*(min_sh-ROUNDUP(lam_total*INDEX(Tc_P,C10,0)*O10/(3600*rho_max)-0.000000001,0))))</f>
        <v>7</v>
      </c>
      <c r="Q10" s="3" t="n">
        <f aca="false">ROUNDUP(P10-0.000000001,0)+spares</f>
        <v>9</v>
      </c>
      <c r="R10" s="45" t="n">
        <f aca="false">B10*C10*(2*H10-G10*lpl)</f>
        <v>4716</v>
      </c>
      <c r="S10" s="45" t="n">
        <f aca="false">R10*fill</f>
        <v>4008.6</v>
      </c>
      <c r="T10" s="45" t="n">
        <f aca="false">I10*J10</f>
        <v>2574</v>
      </c>
      <c r="U10" s="45" t="n">
        <f aca="false">T10*(K10+headroom)</f>
        <v>20463.3</v>
      </c>
      <c r="V10" s="45" t="n">
        <f aca="false">G10*c_lift</f>
        <v>300000</v>
      </c>
      <c r="W10" s="45" t="n">
        <f aca="false">Q10*c_shut</f>
        <v>450000</v>
      </c>
      <c r="X10" s="45" t="n">
        <f aca="false">R10*c_pos</f>
        <v>471600</v>
      </c>
      <c r="Y10" s="45" t="n">
        <f aca="false">T10*c_m2+U10*c_m3</f>
        <v>1643499</v>
      </c>
      <c r="Z10" s="45" t="n">
        <f aca="false">SUM(V10:Y10)</f>
        <v>2865099</v>
      </c>
      <c r="AA10" s="34" t="n">
        <f aca="false">B10*u_d/(H10*u_w)</f>
        <v>0.00656565656565657</v>
      </c>
      <c r="AB10" s="46" t="n">
        <f aca="false">IF(G10=0,0,F10/G10)</f>
        <v>0.306139122315593</v>
      </c>
      <c r="AC10" s="46" t="n">
        <f aca="false">IF(G10&gt;1,F10/(G10-1),"n/a")</f>
        <v>0.612278244631186</v>
      </c>
      <c r="AD10" s="47" t="n">
        <f aca="false">moves_day*m_pallet*9.81*INDEX(Tc_mh,C10)/3600000</f>
        <v>6.61694117647059</v>
      </c>
      <c r="AE10" s="3" t="n">
        <f aca="false">IF(AND(K10&lt;=H_max,H10&lt;=300,OR(lane_policy="Free (optimize N_C)",B10=sku_pal),OR(env_use="No",AND(I10&lt;=L_bldg,J10&lt;=W_bldg),AND(I10&lt;=W_bldg,J10&lt;=L_bldg))),1,0)</f>
        <v>0</v>
      </c>
      <c r="AF10" s="48" t="n">
        <f aca="false">IF(obj_mode="Total cost",Z10,IF(obj_mode="Shuttle cycle",O10,T10))</f>
        <v>2865099</v>
      </c>
      <c r="AG10" s="3" t="n">
        <f aca="false">IF(AE10=1,AF10*(1+A10*0.0000000001),1E+099)</f>
        <v>1E+099</v>
      </c>
      <c r="AH10" s="3" t="str">
        <f aca="false">IF(AE10=1,"",IF(K10&gt;H_max,"height",IF(AND(lane_policy&lt;&gt;"Free (optimize N_C)",B10&lt;&gt;sku_pal),"lane policy","footprint")))</f>
        <v>footprint</v>
      </c>
      <c r="AJ10" s="3" t="n">
        <v>4</v>
      </c>
      <c r="AK10" s="45" t="e">
        <f aca="false">IF(AE11=1,AF11,NA())</f>
        <v>#N/A</v>
      </c>
      <c r="AL10" s="45" t="e">
        <f aca="false">IF(AE31=1,AF31,NA())</f>
        <v>#N/A</v>
      </c>
      <c r="AM10" s="45" t="e">
        <f aca="false">IF(AE51=1,AF51,NA())</f>
        <v>#N/A</v>
      </c>
      <c r="AN10" s="45" t="e">
        <f aca="false">IF(AE71=1,AF71,NA())</f>
        <v>#N/A</v>
      </c>
      <c r="AO10" s="45" t="e">
        <f aca="false">IF(AE91=1,AF91,NA())</f>
        <v>#N/A</v>
      </c>
      <c r="AP10" s="45" t="e">
        <f aca="false">IF(AE111=1,AF111,NA())</f>
        <v>#N/A</v>
      </c>
      <c r="AQ10" s="45" t="e">
        <f aca="false">IF(AE131=1,AF131,NA())</f>
        <v>#N/A</v>
      </c>
      <c r="AR10" s="45" t="e">
        <f aca="false">IF(AE151=1,AF151,NA())</f>
        <v>#N/A</v>
      </c>
      <c r="AS10" s="45" t="e">
        <f aca="false">IF(AE171=1,AF171,NA())</f>
        <v>#N/A</v>
      </c>
      <c r="AT10" s="45" t="e">
        <f aca="false">IF(AE191=1,AF191,NA())</f>
        <v>#N/A</v>
      </c>
      <c r="AU10" s="45" t="e">
        <f aca="false">IF(AE211=1,AF211,NA())</f>
        <v>#N/A</v>
      </c>
    </row>
    <row r="11" customFormat="false" ht="15" hidden="false" customHeight="true" outlineLevel="0" collapsed="false">
      <c r="A11" s="3" t="n">
        <v>4</v>
      </c>
      <c r="B11" s="3" t="n">
        <f aca="false">$B$3</f>
        <v>2</v>
      </c>
      <c r="C11" s="3" t="n">
        <v>4</v>
      </c>
      <c r="D11" s="46" t="n">
        <f aca="false">INDEX(Tc_pl,C11)</f>
        <v>0.555555555555556</v>
      </c>
      <c r="E11" s="47" t="n">
        <f aca="false">INDEX(Tc_S,C11)</f>
        <v>42.4471428571429</v>
      </c>
      <c r="F11" s="34" t="n">
        <f aca="false">lam_total*D11*E11/3600</f>
        <v>0.655048500881834</v>
      </c>
      <c r="G11" s="3" t="n">
        <f aca="false">IF(F11&lt;=0.000000000001,0,MAX(ROUNDUP(F11/rho_max-0.000000001,0),IF(redund="Yes",ROUNDUP(F11/rho_fail-0.000000001,0)+1,0)))</f>
        <v>2</v>
      </c>
      <c r="H11" s="3" t="n">
        <f aca="false">MAX(1,ROUNDUP((P_req/(B11*C11)+G11*lpl)/2-0.000000001,0))</f>
        <v>298</v>
      </c>
      <c r="I11" s="47" t="n">
        <f aca="false">H11*u_w</f>
        <v>298</v>
      </c>
      <c r="J11" s="47" t="n">
        <f aca="false">2*B11*u_d+aisle_w</f>
        <v>6.5</v>
      </c>
      <c r="K11" s="47" t="n">
        <f aca="false">C11*u_h</f>
        <v>8.6</v>
      </c>
      <c r="L11" s="47" t="n">
        <f aca="false">IF(G11=0,I11,I11/(2*G11))</f>
        <v>74.5</v>
      </c>
      <c r="M11" s="34" t="n">
        <f aca="false">((IF((lane_off+(L11))&lt;=(v_sh^2/a_sh),(4/3)*(lane_off+(L11))^1.5/SQRT(a_sh),(4/3)*(v_sh^2/a_sh)^1.5/SQRT(a_sh)+((lane_off+(L11))^2-(v_sh^2/a_sh)^2)/(2*v_sh)+(v_sh/a_sh)*((lane_off+(L11))-(v_sh^2/a_sh))))-(IF((lane_off)&lt;=(v_sh^2/a_sh),(4/3)*(lane_off)^1.5/SQRT(a_sh),(4/3)*(v_sh^2/a_sh)^1.5/SQRT(a_sh)+((lane_off)^2-(v_sh^2/a_sh)^2)/(2*v_sh)+(v_sh/a_sh)*((lane_off)-(v_sh^2/a_sh)))))/(L11)</f>
        <v>30.33060451492</v>
      </c>
      <c r="N11" s="34" t="n">
        <f aca="false">IF(((B11-1)*u_d/2*(1+f_hc)+lane_off)&lt;=0,0,IF(((B11-1)*u_d/2*(1+f_hc)+lane_off)&gt;=v_sh^2/a_sh,((B11-1)*u_d/2*(1+f_hc)+lane_off)/v_sh+v_sh/a_sh,2*SQRT(((B11-1)*u_d/2*(1+f_hc)+lane_off)/a_sh)))</f>
        <v>4.07921561087423</v>
      </c>
      <c r="O11" s="47" t="n">
        <f aca="false">2*t_sh+2*t_turn+2*M11+2*N11</f>
        <v>126.819640251589</v>
      </c>
      <c r="P11" s="47" t="n">
        <f aca="false">SUMPRODUCT((Tc_idx&lt;=C11)*(ROUNDUP(lam_total*INDEX(Tc_P,C11,0)*O11/(3600*rho_max)-0.000000001,0)+(ROUNDUP(lam_total*INDEX(Tc_P,C11,0)*O11/(3600*rho_max)-0.000000001,0)&lt;min_sh)*(min_sh-ROUNDUP(lam_total*INDEX(Tc_P,C11,0)*O11/(3600*rho_max)-0.000000001,0))))</f>
        <v>8</v>
      </c>
      <c r="Q11" s="3" t="n">
        <f aca="false">ROUNDUP(P11-0.000000001,0)+spares</f>
        <v>10</v>
      </c>
      <c r="R11" s="45" t="n">
        <f aca="false">B11*C11*(2*H11-G11*lpl)</f>
        <v>4720</v>
      </c>
      <c r="S11" s="45" t="n">
        <f aca="false">R11*fill</f>
        <v>4012</v>
      </c>
      <c r="T11" s="45" t="n">
        <f aca="false">I11*J11</f>
        <v>1937</v>
      </c>
      <c r="U11" s="45" t="n">
        <f aca="false">T11*(K11+headroom)</f>
        <v>19563.7</v>
      </c>
      <c r="V11" s="45" t="n">
        <f aca="false">G11*c_lift</f>
        <v>300000</v>
      </c>
      <c r="W11" s="45" t="n">
        <f aca="false">Q11*c_shut</f>
        <v>500000</v>
      </c>
      <c r="X11" s="45" t="n">
        <f aca="false">R11*c_pos</f>
        <v>472000</v>
      </c>
      <c r="Y11" s="45" t="n">
        <f aca="false">T11*c_m2+U11*c_m3</f>
        <v>1361711</v>
      </c>
      <c r="Z11" s="45" t="n">
        <f aca="false">SUM(V11:Y11)</f>
        <v>2633711</v>
      </c>
      <c r="AA11" s="34" t="n">
        <f aca="false">B11*u_d/(H11*u_w)</f>
        <v>0.0087248322147651</v>
      </c>
      <c r="AB11" s="46" t="n">
        <f aca="false">IF(G11=0,0,F11/G11)</f>
        <v>0.327524250440917</v>
      </c>
      <c r="AC11" s="46" t="n">
        <f aca="false">IF(G11&gt;1,F11/(G11-1),"n/a")</f>
        <v>0.655048500881834</v>
      </c>
      <c r="AD11" s="47" t="n">
        <f aca="false">moves_day*m_pallet*9.81*INDEX(Tc_mh,C11)/3600000</f>
        <v>8.12413333333333</v>
      </c>
      <c r="AE11" s="3" t="n">
        <f aca="false">IF(AND(K11&lt;=H_max,H11&lt;=300,OR(lane_policy="Free (optimize N_C)",B11=sku_pal),OR(env_use="No",AND(I11&lt;=L_bldg,J11&lt;=W_bldg),AND(I11&lt;=W_bldg,J11&lt;=L_bldg))),1,0)</f>
        <v>0</v>
      </c>
      <c r="AF11" s="48" t="n">
        <f aca="false">IF(obj_mode="Total cost",Z11,IF(obj_mode="Shuttle cycle",O11,T11))</f>
        <v>2633711</v>
      </c>
      <c r="AG11" s="3" t="n">
        <f aca="false">IF(AE11=1,AF11*(1+A11*0.0000000001),1E+099)</f>
        <v>1E+099</v>
      </c>
      <c r="AH11" s="3" t="str">
        <f aca="false">IF(AE11=1,"",IF(K11&gt;H_max,"height",IF(AND(lane_policy&lt;&gt;"Free (optimize N_C)",B11&lt;&gt;sku_pal),"lane policy","footprint")))</f>
        <v>footprint</v>
      </c>
      <c r="AJ11" s="3" t="n">
        <v>5</v>
      </c>
      <c r="AK11" s="45" t="e">
        <f aca="false">IF(AE12=1,AF12,NA())</f>
        <v>#N/A</v>
      </c>
      <c r="AL11" s="45" t="e">
        <f aca="false">IF(AE32=1,AF32,NA())</f>
        <v>#N/A</v>
      </c>
      <c r="AM11" s="45" t="e">
        <f aca="false">IF(AE52=1,AF52,NA())</f>
        <v>#N/A</v>
      </c>
      <c r="AN11" s="45" t="e">
        <f aca="false">IF(AE72=1,AF72,NA())</f>
        <v>#N/A</v>
      </c>
      <c r="AO11" s="45" t="e">
        <f aca="false">IF(AE92=1,AF92,NA())</f>
        <v>#N/A</v>
      </c>
      <c r="AP11" s="45" t="e">
        <f aca="false">IF(AE112=1,AF112,NA())</f>
        <v>#N/A</v>
      </c>
      <c r="AQ11" s="45" t="e">
        <f aca="false">IF(AE132=1,AF132,NA())</f>
        <v>#N/A</v>
      </c>
      <c r="AR11" s="45" t="e">
        <f aca="false">IF(AE152=1,AF152,NA())</f>
        <v>#N/A</v>
      </c>
      <c r="AS11" s="45" t="e">
        <f aca="false">IF(AE172=1,AF172,NA())</f>
        <v>#N/A</v>
      </c>
      <c r="AT11" s="45" t="e">
        <f aca="false">IF(AE192=1,AF192,NA())</f>
        <v>#N/A</v>
      </c>
      <c r="AU11" s="45" t="e">
        <f aca="false">IF(AE212=1,AF212,NA())</f>
        <v>#N/A</v>
      </c>
    </row>
    <row r="12" customFormat="false" ht="15" hidden="false" customHeight="true" outlineLevel="0" collapsed="false">
      <c r="A12" s="3" t="n">
        <v>5</v>
      </c>
      <c r="B12" s="3" t="n">
        <f aca="false">$B$3</f>
        <v>2</v>
      </c>
      <c r="C12" s="3" t="n">
        <v>5</v>
      </c>
      <c r="D12" s="46" t="n">
        <f aca="false">INDEX(Tc_pl,C12)</f>
        <v>0.578947368421053</v>
      </c>
      <c r="E12" s="47" t="n">
        <f aca="false">INDEX(Tc_S,C12)</f>
        <v>43.5025974025974</v>
      </c>
      <c r="F12" s="34" t="n">
        <f aca="false">lam_total*D12*E12/3600</f>
        <v>0.699603174603175</v>
      </c>
      <c r="G12" s="3" t="n">
        <f aca="false">IF(F12&lt;=0.000000000001,0,MAX(ROUNDUP(F12/rho_max-0.000000001,0),IF(redund="Yes",ROUNDUP(F12/rho_fail-0.000000001,0)+1,0)))</f>
        <v>2</v>
      </c>
      <c r="H12" s="3" t="n">
        <f aca="false">MAX(1,ROUNDUP((P_req/(B12*C12)+G12*lpl)/2-0.000000001,0))</f>
        <v>239</v>
      </c>
      <c r="I12" s="47" t="n">
        <f aca="false">H12*u_w</f>
        <v>239</v>
      </c>
      <c r="J12" s="47" t="n">
        <f aca="false">2*B12*u_d+aisle_w</f>
        <v>6.5</v>
      </c>
      <c r="K12" s="47" t="n">
        <f aca="false">C12*u_h</f>
        <v>10.75</v>
      </c>
      <c r="L12" s="47" t="n">
        <f aca="false">IF(G12=0,I12,I12/(2*G12))</f>
        <v>59.75</v>
      </c>
      <c r="M12" s="34" t="n">
        <f aca="false">((IF((lane_off+(L12))&lt;=(v_sh^2/a_sh),(4/3)*(lane_off+(L12))^1.5/SQRT(a_sh),(4/3)*(v_sh^2/a_sh)^1.5/SQRT(a_sh)+((lane_off+(L12))^2-(v_sh^2/a_sh)^2)/(2*v_sh)+(v_sh/a_sh)*((lane_off+(L12))-(v_sh^2/a_sh))))-(IF((lane_off)&lt;=(v_sh^2/a_sh),(4/3)*(lane_off)^1.5/SQRT(a_sh),(4/3)*(v_sh^2/a_sh)^1.5/SQRT(a_sh)+((lane_off)^2-(v_sh^2/a_sh)^2)/(2*v_sh)+(v_sh/a_sh)*((lane_off)-(v_sh^2/a_sh)))))/(L12)</f>
        <v>25.0614859642099</v>
      </c>
      <c r="N12" s="34" t="n">
        <f aca="false">IF(((B12-1)*u_d/2*(1+f_hc)+lane_off)&lt;=0,0,IF(((B12-1)*u_d/2*(1+f_hc)+lane_off)&gt;=v_sh^2/a_sh,((B12-1)*u_d/2*(1+f_hc)+lane_off)/v_sh+v_sh/a_sh,2*SQRT(((B12-1)*u_d/2*(1+f_hc)+lane_off)/a_sh)))</f>
        <v>4.07921561087423</v>
      </c>
      <c r="O12" s="47" t="n">
        <f aca="false">2*t_sh+2*t_turn+2*M12+2*N12</f>
        <v>116.281403150168</v>
      </c>
      <c r="P12" s="47" t="n">
        <f aca="false">SUMPRODUCT((Tc_idx&lt;=C12)*(ROUNDUP(lam_total*INDEX(Tc_P,C12,0)*O12/(3600*rho_max)-0.000000001,0)+(ROUNDUP(lam_total*INDEX(Tc_P,C12,0)*O12/(3600*rho_max)-0.000000001,0)&lt;min_sh)*(min_sh-ROUNDUP(lam_total*INDEX(Tc_P,C12,0)*O12/(3600*rho_max)-0.000000001,0))))</f>
        <v>7</v>
      </c>
      <c r="Q12" s="3" t="n">
        <f aca="false">ROUNDUP(P12-0.000000001,0)+spares</f>
        <v>9</v>
      </c>
      <c r="R12" s="45" t="n">
        <f aca="false">B12*C12*(2*H12-G12*lpl)</f>
        <v>4720</v>
      </c>
      <c r="S12" s="45" t="n">
        <f aca="false">R12*fill</f>
        <v>4012</v>
      </c>
      <c r="T12" s="45" t="n">
        <f aca="false">I12*J12</f>
        <v>1553.5</v>
      </c>
      <c r="U12" s="45" t="n">
        <f aca="false">T12*(K12+headroom)</f>
        <v>19030.375</v>
      </c>
      <c r="V12" s="45" t="n">
        <f aca="false">G12*c_lift</f>
        <v>300000</v>
      </c>
      <c r="W12" s="45" t="n">
        <f aca="false">Q12*c_shut</f>
        <v>450000</v>
      </c>
      <c r="X12" s="45" t="n">
        <f aca="false">R12*c_pos</f>
        <v>472000</v>
      </c>
      <c r="Y12" s="45" t="n">
        <f aca="false">T12*c_m2+U12*c_m3</f>
        <v>1192311.25</v>
      </c>
      <c r="Z12" s="45" t="n">
        <f aca="false">SUM(V12:Y12)</f>
        <v>2414311.25</v>
      </c>
      <c r="AA12" s="34" t="n">
        <f aca="false">B12*u_d/(H12*u_w)</f>
        <v>0.0108786610878661</v>
      </c>
      <c r="AB12" s="46" t="n">
        <f aca="false">IF(G12=0,0,F12/G12)</f>
        <v>0.349801587301587</v>
      </c>
      <c r="AC12" s="46" t="n">
        <f aca="false">IF(G12&gt;1,F12/(G12-1),"n/a")</f>
        <v>0.699603174603175</v>
      </c>
      <c r="AD12" s="47" t="n">
        <f aca="false">moves_day*m_pallet*9.81*INDEX(Tc_mh,C12)/3600000</f>
        <v>10.0647157894737</v>
      </c>
      <c r="AE12" s="3" t="n">
        <f aca="false">IF(AND(K12&lt;=H_max,H12&lt;=300,OR(lane_policy="Free (optimize N_C)",B12=sku_pal),OR(env_use="No",AND(I12&lt;=L_bldg,J12&lt;=W_bldg),AND(I12&lt;=W_bldg,J12&lt;=L_bldg))),1,0)</f>
        <v>0</v>
      </c>
      <c r="AF12" s="48" t="n">
        <f aca="false">IF(obj_mode="Total cost",Z12,IF(obj_mode="Shuttle cycle",O12,T12))</f>
        <v>2414311.25</v>
      </c>
      <c r="AG12" s="3" t="n">
        <f aca="false">IF(AE12=1,AF12*(1+A12*0.0000000001),1E+099)</f>
        <v>1E+099</v>
      </c>
      <c r="AH12" s="3" t="str">
        <f aca="false">IF(AE12=1,"",IF(K12&gt;H_max,"height",IF(AND(lane_policy&lt;&gt;"Free (optimize N_C)",B12&lt;&gt;sku_pal),"lane policy","footprint")))</f>
        <v>footprint</v>
      </c>
      <c r="AJ12" s="3" t="n">
        <v>6</v>
      </c>
      <c r="AK12" s="45" t="e">
        <f aca="false">IF(AE13=1,AF13,NA())</f>
        <v>#N/A</v>
      </c>
      <c r="AL12" s="45" t="e">
        <f aca="false">IF(AE33=1,AF33,NA())</f>
        <v>#N/A</v>
      </c>
      <c r="AM12" s="45" t="e">
        <f aca="false">IF(AE53=1,AF53,NA())</f>
        <v>#N/A</v>
      </c>
      <c r="AN12" s="45" t="e">
        <f aca="false">IF(AE73=1,AF73,NA())</f>
        <v>#N/A</v>
      </c>
      <c r="AO12" s="45" t="e">
        <f aca="false">IF(AE93=1,AF93,NA())</f>
        <v>#N/A</v>
      </c>
      <c r="AP12" s="45" t="e">
        <f aca="false">IF(AE113=1,AF113,NA())</f>
        <v>#N/A</v>
      </c>
      <c r="AQ12" s="45" t="n">
        <f aca="false">IF(AE133=1,AF133,NA())</f>
        <v>2256684.8</v>
      </c>
      <c r="AR12" s="45" t="e">
        <f aca="false">IF(AE153=1,AF153,NA())</f>
        <v>#N/A</v>
      </c>
      <c r="AS12" s="45" t="n">
        <f aca="false">IF(AE173=1,AF173,NA())</f>
        <v>2279398.4</v>
      </c>
      <c r="AT12" s="45" t="e">
        <f aca="false">IF(AE193=1,AF193,NA())</f>
        <v>#N/A</v>
      </c>
      <c r="AU12" s="45" t="e">
        <f aca="false">IF(AE213=1,AF213,NA())</f>
        <v>#N/A</v>
      </c>
    </row>
    <row r="13" customFormat="false" ht="15" hidden="false" customHeight="true" outlineLevel="0" collapsed="false">
      <c r="A13" s="3" t="n">
        <v>6</v>
      </c>
      <c r="B13" s="3" t="n">
        <f aca="false">$B$3</f>
        <v>2</v>
      </c>
      <c r="C13" s="3" t="n">
        <v>6</v>
      </c>
      <c r="D13" s="46" t="n">
        <f aca="false">INDEX(Tc_pl,C13)</f>
        <v>0.6</v>
      </c>
      <c r="E13" s="47" t="n">
        <f aca="false">INDEX(Tc_S,C13)</f>
        <v>44.7404761904762</v>
      </c>
      <c r="F13" s="34" t="n">
        <f aca="false">lam_total*D13*E13/3600</f>
        <v>0.745674603174603</v>
      </c>
      <c r="G13" s="3" t="n">
        <f aca="false">IF(F13&lt;=0.000000000001,0,MAX(ROUNDUP(F13/rho_max-0.000000001,0),IF(redund="Yes",ROUNDUP(F13/rho_fail-0.000000001,0)+1,0)))</f>
        <v>2</v>
      </c>
      <c r="H13" s="3" t="n">
        <f aca="false">MAX(1,ROUNDUP((P_req/(B13*C13)+G13*lpl)/2-0.000000001,0))</f>
        <v>200</v>
      </c>
      <c r="I13" s="47" t="n">
        <f aca="false">H13*u_w</f>
        <v>200</v>
      </c>
      <c r="J13" s="47" t="n">
        <f aca="false">2*B13*u_d+aisle_w</f>
        <v>6.5</v>
      </c>
      <c r="K13" s="47" t="n">
        <f aca="false">C13*u_h</f>
        <v>12.9</v>
      </c>
      <c r="L13" s="47" t="n">
        <f aca="false">IF(G13=0,I13,I13/(2*G13))</f>
        <v>50</v>
      </c>
      <c r="M13" s="34" t="n">
        <f aca="false">((IF((lane_off+(L13))&lt;=(v_sh^2/a_sh),(4/3)*(lane_off+(L13))^1.5/SQRT(a_sh),(4/3)*(v_sh^2/a_sh)^1.5/SQRT(a_sh)+((lane_off+(L13))^2-(v_sh^2/a_sh)^2)/(2*v_sh)+(v_sh/a_sh)*((lane_off+(L13))-(v_sh^2/a_sh))))-(IF((lane_off)&lt;=(v_sh^2/a_sh),(4/3)*(lane_off)^1.5/SQRT(a_sh),(4/3)*(v_sh^2/a_sh)^1.5/SQRT(a_sh)+((lane_off)^2-(v_sh^2/a_sh)^2)/(2*v_sh)+(v_sh/a_sh)*((lane_off)-(v_sh^2/a_sh)))))/(L13)</f>
        <v>21.5781007272308</v>
      </c>
      <c r="N13" s="34" t="n">
        <f aca="false">IF(((B13-1)*u_d/2*(1+f_hc)+lane_off)&lt;=0,0,IF(((B13-1)*u_d/2*(1+f_hc)+lane_off)&gt;=v_sh^2/a_sh,((B13-1)*u_d/2*(1+f_hc)+lane_off)/v_sh+v_sh/a_sh,2*SQRT(((B13-1)*u_d/2*(1+f_hc)+lane_off)/a_sh)))</f>
        <v>4.07921561087423</v>
      </c>
      <c r="O13" s="47" t="n">
        <f aca="false">2*t_sh+2*t_turn+2*M13+2*N13</f>
        <v>109.31463267621</v>
      </c>
      <c r="P13" s="47" t="n">
        <f aca="false">SUMPRODUCT((Tc_idx&lt;=C13)*(ROUNDUP(lam_total*INDEX(Tc_P,C13,0)*O13/(3600*rho_max)-0.000000001,0)+(ROUNDUP(lam_total*INDEX(Tc_P,C13,0)*O13/(3600*rho_max)-0.000000001,0)&lt;min_sh)*(min_sh-ROUNDUP(lam_total*INDEX(Tc_P,C13,0)*O13/(3600*rho_max)-0.000000001,0))))</f>
        <v>8</v>
      </c>
      <c r="Q13" s="3" t="n">
        <f aca="false">ROUNDUP(P13-0.000000001,0)+spares</f>
        <v>10</v>
      </c>
      <c r="R13" s="45" t="n">
        <f aca="false">B13*C13*(2*H13-G13*lpl)</f>
        <v>4728</v>
      </c>
      <c r="S13" s="45" t="n">
        <f aca="false">R13*fill</f>
        <v>4018.8</v>
      </c>
      <c r="T13" s="45" t="n">
        <f aca="false">I13*J13</f>
        <v>1300</v>
      </c>
      <c r="U13" s="45" t="n">
        <f aca="false">T13*(K13+headroom)</f>
        <v>18720</v>
      </c>
      <c r="V13" s="45" t="n">
        <f aca="false">G13*c_lift</f>
        <v>300000</v>
      </c>
      <c r="W13" s="45" t="n">
        <f aca="false">Q13*c_shut</f>
        <v>500000</v>
      </c>
      <c r="X13" s="45" t="n">
        <f aca="false">R13*c_pos</f>
        <v>472800</v>
      </c>
      <c r="Y13" s="45" t="n">
        <f aca="false">T13*c_m2+U13*c_m3</f>
        <v>1081600</v>
      </c>
      <c r="Z13" s="45" t="n">
        <f aca="false">SUM(V13:Y13)</f>
        <v>2354400</v>
      </c>
      <c r="AA13" s="34" t="n">
        <f aca="false">B13*u_d/(H13*u_w)</f>
        <v>0.013</v>
      </c>
      <c r="AB13" s="46" t="n">
        <f aca="false">IF(G13=0,0,F13/G13)</f>
        <v>0.372837301587302</v>
      </c>
      <c r="AC13" s="46" t="n">
        <f aca="false">IF(G13&gt;1,F13/(G13-1),"n/a")</f>
        <v>0.745674603174603</v>
      </c>
      <c r="AD13" s="47" t="n">
        <f aca="false">moves_day*m_pallet*9.81*INDEX(Tc_mh,C13)/3600000</f>
        <v>12.37368</v>
      </c>
      <c r="AE13" s="3" t="n">
        <f aca="false">IF(AND(K13&lt;=H_max,H13&lt;=300,OR(lane_policy="Free (optimize N_C)",B13=sku_pal),OR(env_use="No",AND(I13&lt;=L_bldg,J13&lt;=W_bldg),AND(I13&lt;=W_bldg,J13&lt;=L_bldg))),1,0)</f>
        <v>0</v>
      </c>
      <c r="AF13" s="48" t="n">
        <f aca="false">IF(obj_mode="Total cost",Z13,IF(obj_mode="Shuttle cycle",O13,T13))</f>
        <v>2354400</v>
      </c>
      <c r="AG13" s="3" t="n">
        <f aca="false">IF(AE13=1,AF13*(1+A13*0.0000000001),1E+099)</f>
        <v>1E+099</v>
      </c>
      <c r="AH13" s="3" t="str">
        <f aca="false">IF(AE13=1,"",IF(K13&gt;H_max,"height",IF(AND(lane_policy&lt;&gt;"Free (optimize N_C)",B13&lt;&gt;sku_pal),"lane policy","footprint")))</f>
        <v>footprint</v>
      </c>
      <c r="AJ13" s="3" t="n">
        <v>7</v>
      </c>
      <c r="AK13" s="45" t="e">
        <f aca="false">IF(AE14=1,AF14,NA())</f>
        <v>#N/A</v>
      </c>
      <c r="AL13" s="45" t="e">
        <f aca="false">IF(AE34=1,AF34,NA())</f>
        <v>#N/A</v>
      </c>
      <c r="AM13" s="45" t="e">
        <f aca="false">IF(AE54=1,AF54,NA())</f>
        <v>#N/A</v>
      </c>
      <c r="AN13" s="45" t="e">
        <f aca="false">IF(AE74=1,AF74,NA())</f>
        <v>#N/A</v>
      </c>
      <c r="AO13" s="45" t="e">
        <f aca="false">IF(AE94=1,AF94,NA())</f>
        <v>#N/A</v>
      </c>
      <c r="AP13" s="45" t="e">
        <f aca="false">IF(AE114=1,AF114,NA())</f>
        <v>#N/A</v>
      </c>
      <c r="AQ13" s="45" t="n">
        <f aca="false">IF(AE134=1,AF134,NA())</f>
        <v>2231554.65</v>
      </c>
      <c r="AR13" s="45" t="e">
        <f aca="false">IF(AE154=1,AF154,NA())</f>
        <v>#N/A</v>
      </c>
      <c r="AS13" s="45" t="n">
        <f aca="false">IF(AE174=1,AF174,NA())</f>
        <v>2304296.25</v>
      </c>
      <c r="AT13" s="45" t="e">
        <f aca="false">IF(AE194=1,AF194,NA())</f>
        <v>#N/A</v>
      </c>
      <c r="AU13" s="45" t="e">
        <f aca="false">IF(AE214=1,AF214,NA())</f>
        <v>#N/A</v>
      </c>
    </row>
    <row r="14" customFormat="false" ht="15" hidden="false" customHeight="true" outlineLevel="0" collapsed="false">
      <c r="A14" s="3" t="n">
        <v>7</v>
      </c>
      <c r="B14" s="3" t="n">
        <f aca="false">$B$3</f>
        <v>2</v>
      </c>
      <c r="C14" s="3" t="n">
        <v>7</v>
      </c>
      <c r="D14" s="46" t="n">
        <f aca="false">INDEX(Tc_pl,C14)</f>
        <v>0.6</v>
      </c>
      <c r="E14" s="47" t="n">
        <f aca="false">INDEX(Tc_S,C14)</f>
        <v>44.9196428571429</v>
      </c>
      <c r="F14" s="34" t="n">
        <f aca="false">lam_total*D14*E14/3600</f>
        <v>0.748660714285714</v>
      </c>
      <c r="G14" s="3" t="n">
        <f aca="false">IF(F14&lt;=0.000000000001,0,MAX(ROUNDUP(F14/rho_max-0.000000001,0),IF(redund="Yes",ROUNDUP(F14/rho_fail-0.000000001,0)+1,0)))</f>
        <v>2</v>
      </c>
      <c r="H14" s="3" t="n">
        <f aca="false">MAX(1,ROUNDUP((P_req/(B14*C14)+G14*lpl)/2-0.000000001,0))</f>
        <v>172</v>
      </c>
      <c r="I14" s="47" t="n">
        <f aca="false">H14*u_w</f>
        <v>172</v>
      </c>
      <c r="J14" s="47" t="n">
        <f aca="false">2*B14*u_d+aisle_w</f>
        <v>6.5</v>
      </c>
      <c r="K14" s="47" t="n">
        <f aca="false">C14*u_h</f>
        <v>15.05</v>
      </c>
      <c r="L14" s="47" t="n">
        <f aca="false">IF(G14=0,I14,I14/(2*G14))</f>
        <v>43</v>
      </c>
      <c r="M14" s="34" t="n">
        <f aca="false">((IF((lane_off+(L14))&lt;=(v_sh^2/a_sh),(4/3)*(lane_off+(L14))^1.5/SQRT(a_sh),(4/3)*(v_sh^2/a_sh)^1.5/SQRT(a_sh)+((lane_off+(L14))^2-(v_sh^2/a_sh)^2)/(2*v_sh)+(v_sh/a_sh)*((lane_off+(L14))-(v_sh^2/a_sh))))-(IF((lane_off)&lt;=(v_sh^2/a_sh),(4/3)*(lane_off)^1.5/SQRT(a_sh),(4/3)*(v_sh^2/a_sh)^1.5/SQRT(a_sh)+((lane_off)^2-(v_sh^2/a_sh)^2)/(2*v_sh)+(v_sh/a_sh)*((lane_off)-(v_sh^2/a_sh)))))/(L14)</f>
        <v>19.0768613107335</v>
      </c>
      <c r="N14" s="34" t="n">
        <f aca="false">IF(((B14-1)*u_d/2*(1+f_hc)+lane_off)&lt;=0,0,IF(((B14-1)*u_d/2*(1+f_hc)+lane_off)&gt;=v_sh^2/a_sh,((B14-1)*u_d/2*(1+f_hc)+lane_off)/v_sh+v_sh/a_sh,2*SQRT(((B14-1)*u_d/2*(1+f_hc)+lane_off)/a_sh)))</f>
        <v>4.07921561087423</v>
      </c>
      <c r="O14" s="47" t="n">
        <f aca="false">2*t_sh+2*t_turn+2*M14+2*N14</f>
        <v>104.312153843216</v>
      </c>
      <c r="P14" s="47" t="n">
        <f aca="false">SUMPRODUCT((Tc_idx&lt;=C14)*(ROUNDUP(lam_total*INDEX(Tc_P,C14,0)*O14/(3600*rho_max)-0.000000001,0)+(ROUNDUP(lam_total*INDEX(Tc_P,C14,0)*O14/(3600*rho_max)-0.000000001,0)&lt;min_sh)*(min_sh-ROUNDUP(lam_total*INDEX(Tc_P,C14,0)*O14/(3600*rho_max)-0.000000001,0))))</f>
        <v>9</v>
      </c>
      <c r="Q14" s="3" t="n">
        <f aca="false">ROUNDUP(P14-0.000000001,0)+spares</f>
        <v>11</v>
      </c>
      <c r="R14" s="45" t="n">
        <f aca="false">B14*C14*(2*H14-G14*lpl)</f>
        <v>4732</v>
      </c>
      <c r="S14" s="45" t="n">
        <f aca="false">R14*fill</f>
        <v>4022.2</v>
      </c>
      <c r="T14" s="45" t="n">
        <f aca="false">I14*J14</f>
        <v>1118</v>
      </c>
      <c r="U14" s="45" t="n">
        <f aca="false">T14*(K14+headroom)</f>
        <v>18502.9</v>
      </c>
      <c r="V14" s="45" t="n">
        <f aca="false">G14*c_lift</f>
        <v>300000</v>
      </c>
      <c r="W14" s="45" t="n">
        <f aca="false">Q14*c_shut</f>
        <v>550000</v>
      </c>
      <c r="X14" s="45" t="n">
        <f aca="false">R14*c_pos</f>
        <v>473200</v>
      </c>
      <c r="Y14" s="45" t="n">
        <f aca="false">T14*c_m2+U14*c_m3</f>
        <v>1002287</v>
      </c>
      <c r="Z14" s="45" t="n">
        <f aca="false">SUM(V14:Y14)</f>
        <v>2325487</v>
      </c>
      <c r="AA14" s="34" t="n">
        <f aca="false">B14*u_d/(H14*u_w)</f>
        <v>0.0151162790697674</v>
      </c>
      <c r="AB14" s="46" t="n">
        <f aca="false">IF(G14=0,0,F14/G14)</f>
        <v>0.374330357142857</v>
      </c>
      <c r="AC14" s="46" t="n">
        <f aca="false">IF(G14&gt;1,F14/(G14-1),"n/a")</f>
        <v>0.748660714285714</v>
      </c>
      <c r="AD14" s="47" t="n">
        <f aca="false">moves_day*m_pallet*9.81*INDEX(Tc_mh,C14)/3600000</f>
        <v>12.6549</v>
      </c>
      <c r="AE14" s="3" t="n">
        <f aca="false">IF(AND(K14&lt;=H_max,H14&lt;=300,OR(lane_policy="Free (optimize N_C)",B14=sku_pal),OR(env_use="No",AND(I14&lt;=L_bldg,J14&lt;=W_bldg),AND(I14&lt;=W_bldg,J14&lt;=L_bldg))),1,0)</f>
        <v>0</v>
      </c>
      <c r="AF14" s="48" t="n">
        <f aca="false">IF(obj_mode="Total cost",Z14,IF(obj_mode="Shuttle cycle",O14,T14))</f>
        <v>2325487</v>
      </c>
      <c r="AG14" s="3" t="n">
        <f aca="false">IF(AE14=1,AF14*(1+A14*0.0000000001),1E+099)</f>
        <v>1E+099</v>
      </c>
      <c r="AH14" s="3" t="str">
        <f aca="false">IF(AE14=1,"",IF(K14&gt;H_max,"height",IF(AND(lane_policy&lt;&gt;"Free (optimize N_C)",B14&lt;&gt;sku_pal),"lane policy","footprint")))</f>
        <v>footprint</v>
      </c>
      <c r="AJ14" s="3" t="n">
        <v>8</v>
      </c>
      <c r="AK14" s="45" t="e">
        <f aca="false">IF(AE15=1,AF15,NA())</f>
        <v>#N/A</v>
      </c>
      <c r="AL14" s="45" t="e">
        <f aca="false">IF(AE35=1,AF35,NA())</f>
        <v>#N/A</v>
      </c>
      <c r="AM14" s="45" t="e">
        <f aca="false">IF(AE55=1,AF55,NA())</f>
        <v>#N/A</v>
      </c>
      <c r="AN14" s="45" t="e">
        <f aca="false">IF(AE75=1,AF75,NA())</f>
        <v>#N/A</v>
      </c>
      <c r="AO14" s="45" t="e">
        <f aca="false">IF(AE95=1,AF95,NA())</f>
        <v>#N/A</v>
      </c>
      <c r="AP14" s="45" t="n">
        <f aca="false">IF(AE115=1,AF115,NA())</f>
        <v>2223124</v>
      </c>
      <c r="AQ14" s="45" t="n">
        <f aca="false">IF(AE135=1,AF135,NA())</f>
        <v>2245764.9</v>
      </c>
      <c r="AR14" s="45" t="n">
        <f aca="false">IF(AE155=1,AF155,NA())</f>
        <v>2254510</v>
      </c>
      <c r="AS14" s="45" t="n">
        <f aca="false">IF(AE175=1,AF175,NA())</f>
        <v>2293391.8</v>
      </c>
      <c r="AT14" s="45" t="e">
        <f aca="false">IF(AE195=1,AF195,NA())</f>
        <v>#N/A</v>
      </c>
      <c r="AU14" s="45" t="e">
        <f aca="false">IF(AE215=1,AF215,NA())</f>
        <v>#N/A</v>
      </c>
    </row>
    <row r="15" customFormat="false" ht="15" hidden="false" customHeight="true" outlineLevel="0" collapsed="false">
      <c r="A15" s="3" t="n">
        <v>8</v>
      </c>
      <c r="B15" s="3" t="n">
        <f aca="false">$B$3</f>
        <v>2</v>
      </c>
      <c r="C15" s="3" t="n">
        <v>8</v>
      </c>
      <c r="D15" s="46" t="n">
        <f aca="false">INDEX(Tc_pl,C15)</f>
        <v>0.6</v>
      </c>
      <c r="E15" s="47" t="n">
        <f aca="false">INDEX(Tc_S,C15)</f>
        <v>45.0988095238095</v>
      </c>
      <c r="F15" s="34" t="n">
        <f aca="false">lam_total*D15*E15/3600</f>
        <v>0.751646825396826</v>
      </c>
      <c r="G15" s="3" t="n">
        <f aca="false">IF(F15&lt;=0.000000000001,0,MAX(ROUNDUP(F15/rho_max-0.000000001,0),IF(redund="Yes",ROUNDUP(F15/rho_fail-0.000000001,0)+1,0)))</f>
        <v>2</v>
      </c>
      <c r="H15" s="3" t="n">
        <f aca="false">MAX(1,ROUNDUP((P_req/(B15*C15)+G15*lpl)/2-0.000000001,0))</f>
        <v>151</v>
      </c>
      <c r="I15" s="47" t="n">
        <f aca="false">H15*u_w</f>
        <v>151</v>
      </c>
      <c r="J15" s="47" t="n">
        <f aca="false">2*B15*u_d+aisle_w</f>
        <v>6.5</v>
      </c>
      <c r="K15" s="47" t="n">
        <f aca="false">C15*u_h</f>
        <v>17.2</v>
      </c>
      <c r="L15" s="47" t="n">
        <f aca="false">IF(G15=0,I15,I15/(2*G15))</f>
        <v>37.75</v>
      </c>
      <c r="M15" s="34" t="n">
        <f aca="false">((IF((lane_off+(L15))&lt;=(v_sh^2/a_sh),(4/3)*(lane_off+(L15))^1.5/SQRT(a_sh),(4/3)*(v_sh^2/a_sh)^1.5/SQRT(a_sh)+((lane_off+(L15))^2-(v_sh^2/a_sh)^2)/(2*v_sh)+(v_sh/a_sh)*((lane_off+(L15))-(v_sh^2/a_sh))))-(IF((lane_off)&lt;=(v_sh^2/a_sh),(4/3)*(lane_off)^1.5/SQRT(a_sh),(4/3)*(v_sh^2/a_sh)^1.5/SQRT(a_sh)+((lane_off)^2-(v_sh^2/a_sh)^2)/(2*v_sh)+(v_sh/a_sh)*((lane_off)-(v_sh^2/a_sh)))))/(L15)</f>
        <v>17.2006301022925</v>
      </c>
      <c r="N15" s="34" t="n">
        <f aca="false">IF(((B15-1)*u_d/2*(1+f_hc)+lane_off)&lt;=0,0,IF(((B15-1)*u_d/2*(1+f_hc)+lane_off)&gt;=v_sh^2/a_sh,((B15-1)*u_d/2*(1+f_hc)+lane_off)/v_sh+v_sh/a_sh,2*SQRT(((B15-1)*u_d/2*(1+f_hc)+lane_off)/a_sh)))</f>
        <v>4.07921561087423</v>
      </c>
      <c r="O15" s="47" t="n">
        <f aca="false">2*t_sh+2*t_turn+2*M15+2*N15</f>
        <v>100.559691426333</v>
      </c>
      <c r="P15" s="47" t="n">
        <f aca="false">SUMPRODUCT((Tc_idx&lt;=C15)*(ROUNDUP(lam_total*INDEX(Tc_P,C15,0)*O15/(3600*rho_max)-0.000000001,0)+(ROUNDUP(lam_total*INDEX(Tc_P,C15,0)*O15/(3600*rho_max)-0.000000001,0)&lt;min_sh)*(min_sh-ROUNDUP(lam_total*INDEX(Tc_P,C15,0)*O15/(3600*rho_max)-0.000000001,0))))</f>
        <v>10</v>
      </c>
      <c r="Q15" s="3" t="n">
        <f aca="false">ROUNDUP(P15-0.000000001,0)+spares</f>
        <v>12</v>
      </c>
      <c r="R15" s="45" t="n">
        <f aca="false">B15*C15*(2*H15-G15*lpl)</f>
        <v>4736</v>
      </c>
      <c r="S15" s="45" t="n">
        <f aca="false">R15*fill</f>
        <v>4025.6</v>
      </c>
      <c r="T15" s="45" t="n">
        <f aca="false">I15*J15</f>
        <v>981.5</v>
      </c>
      <c r="U15" s="45" t="n">
        <f aca="false">T15*(K15+headroom)</f>
        <v>18354.05</v>
      </c>
      <c r="V15" s="45" t="n">
        <f aca="false">G15*c_lift</f>
        <v>300000</v>
      </c>
      <c r="W15" s="45" t="n">
        <f aca="false">Q15*c_shut</f>
        <v>600000</v>
      </c>
      <c r="X15" s="45" t="n">
        <f aca="false">R15*c_pos</f>
        <v>473600</v>
      </c>
      <c r="Y15" s="45" t="n">
        <f aca="false">T15*c_m2+U15*c_m3</f>
        <v>943221.5</v>
      </c>
      <c r="Z15" s="45" t="n">
        <f aca="false">SUM(V15:Y15)</f>
        <v>2316821.5</v>
      </c>
      <c r="AA15" s="34" t="n">
        <f aca="false">B15*u_d/(H15*u_w)</f>
        <v>0.0172185430463576</v>
      </c>
      <c r="AB15" s="46" t="n">
        <f aca="false">IF(G15=0,0,F15/G15)</f>
        <v>0.375823412698413</v>
      </c>
      <c r="AC15" s="46" t="n">
        <f aca="false">IF(G15&gt;1,F15/(G15-1),"n/a")</f>
        <v>0.751646825396826</v>
      </c>
      <c r="AD15" s="47" t="n">
        <f aca="false">moves_day*m_pallet*9.81*INDEX(Tc_mh,C15)/3600000</f>
        <v>12.93612</v>
      </c>
      <c r="AE15" s="3" t="n">
        <f aca="false">IF(AND(K15&lt;=H_max,H15&lt;=300,OR(lane_policy="Free (optimize N_C)",B15=sku_pal),OR(env_use="No",AND(I15&lt;=L_bldg,J15&lt;=W_bldg),AND(I15&lt;=W_bldg,J15&lt;=L_bldg))),1,0)</f>
        <v>0</v>
      </c>
      <c r="AF15" s="48" t="n">
        <f aca="false">IF(obj_mode="Total cost",Z15,IF(obj_mode="Shuttle cycle",O15,T15))</f>
        <v>2316821.5</v>
      </c>
      <c r="AG15" s="3" t="n">
        <f aca="false">IF(AE15=1,AF15*(1+A15*0.0000000001),1E+099)</f>
        <v>1E+099</v>
      </c>
      <c r="AH15" s="3" t="str">
        <f aca="false">IF(AE15=1,"",IF(K15&gt;H_max,"height",IF(AND(lane_policy&lt;&gt;"Free (optimize N_C)",B15&lt;&gt;sku_pal),"lane policy","footprint")))</f>
        <v>footprint</v>
      </c>
      <c r="AJ15" s="3" t="n">
        <v>9</v>
      </c>
      <c r="AK15" s="45" t="e">
        <f aca="false">IF(AE16=1,AF16,NA())</f>
        <v>#N/A</v>
      </c>
      <c r="AL15" s="45" t="e">
        <f aca="false">IF(AE36=1,AF36,NA())</f>
        <v>#N/A</v>
      </c>
      <c r="AM15" s="45" t="e">
        <f aca="false">IF(AE56=1,AF56,NA())</f>
        <v>#N/A</v>
      </c>
      <c r="AN15" s="45" t="e">
        <f aca="false">IF(AE76=1,AF76,NA())</f>
        <v>#N/A</v>
      </c>
      <c r="AO15" s="45" t="e">
        <f aca="false">IF(AE96=1,AF96,NA())</f>
        <v>#N/A</v>
      </c>
      <c r="AP15" s="45" t="n">
        <f aca="false">IF(AE116=1,AF116,NA())</f>
        <v>2241087.8</v>
      </c>
      <c r="AQ15" s="45" t="n">
        <f aca="false">IF(AE136=1,AF136,NA())</f>
        <v>2275884.5</v>
      </c>
      <c r="AR15" s="45" t="n">
        <f aca="false">IF(AE156=1,AF156,NA())</f>
        <v>2258418.75</v>
      </c>
      <c r="AS15" s="45" t="n">
        <f aca="false">IF(AE176=1,AF176,NA())</f>
        <v>2319479</v>
      </c>
      <c r="AT15" s="45" t="e">
        <f aca="false">IF(AE196=1,AF196,NA())</f>
        <v>#N/A</v>
      </c>
      <c r="AU15" s="45" t="e">
        <f aca="false">IF(AE216=1,AF216,NA())</f>
        <v>#N/A</v>
      </c>
    </row>
    <row r="16" customFormat="false" ht="15" hidden="false" customHeight="true" outlineLevel="0" collapsed="false">
      <c r="A16" s="3" t="n">
        <v>9</v>
      </c>
      <c r="B16" s="3" t="n">
        <f aca="false">$B$3</f>
        <v>2</v>
      </c>
      <c r="C16" s="3" t="n">
        <v>9</v>
      </c>
      <c r="D16" s="46" t="n">
        <f aca="false">INDEX(Tc_pl,C16)</f>
        <v>0.6</v>
      </c>
      <c r="E16" s="47" t="n">
        <f aca="false">INDEX(Tc_S,C16)</f>
        <v>45.2779761904762</v>
      </c>
      <c r="F16" s="34" t="n">
        <f aca="false">lam_total*D16*E16/3600</f>
        <v>0.754632936507936</v>
      </c>
      <c r="G16" s="3" t="n">
        <f aca="false">IF(F16&lt;=0.000000000001,0,MAX(ROUNDUP(F16/rho_max-0.000000001,0),IF(redund="Yes",ROUNDUP(F16/rho_fail-0.000000001,0)+1,0)))</f>
        <v>2</v>
      </c>
      <c r="H16" s="3" t="n">
        <f aca="false">MAX(1,ROUNDUP((P_req/(B16*C16)+G16*lpl)/2-0.000000001,0))</f>
        <v>134</v>
      </c>
      <c r="I16" s="47" t="n">
        <f aca="false">H16*u_w</f>
        <v>134</v>
      </c>
      <c r="J16" s="47" t="n">
        <f aca="false">2*B16*u_d+aisle_w</f>
        <v>6.5</v>
      </c>
      <c r="K16" s="47" t="n">
        <f aca="false">C16*u_h</f>
        <v>19.35</v>
      </c>
      <c r="L16" s="47" t="n">
        <f aca="false">IF(G16=0,I16,I16/(2*G16))</f>
        <v>33.5</v>
      </c>
      <c r="M16" s="34" t="n">
        <f aca="false">((IF((lane_off+(L16))&lt;=(v_sh^2/a_sh),(4/3)*(lane_off+(L16))^1.5/SQRT(a_sh),(4/3)*(v_sh^2/a_sh)^1.5/SQRT(a_sh)+((lane_off+(L16))^2-(v_sh^2/a_sh)^2)/(2*v_sh)+(v_sh/a_sh)*((lane_off+(L16))-(v_sh^2/a_sh))))-(IF((lane_off)&lt;=(v_sh^2/a_sh),(4/3)*(lane_off)^1.5/SQRT(a_sh),(4/3)*(v_sh^2/a_sh)^1.5/SQRT(a_sh)+((lane_off)^2-(v_sh^2/a_sh)^2)/(2*v_sh)+(v_sh/a_sh)*((lane_off)-(v_sh^2/a_sh)))))/(L16)</f>
        <v>15.6814936227326</v>
      </c>
      <c r="N16" s="34" t="n">
        <f aca="false">IF(((B16-1)*u_d/2*(1+f_hc)+lane_off)&lt;=0,0,IF(((B16-1)*u_d/2*(1+f_hc)+lane_off)&gt;=v_sh^2/a_sh,((B16-1)*u_d/2*(1+f_hc)+lane_off)/v_sh+v_sh/a_sh,2*SQRT(((B16-1)*u_d/2*(1+f_hc)+lane_off)/a_sh)))</f>
        <v>4.07921561087423</v>
      </c>
      <c r="O16" s="47" t="n">
        <f aca="false">2*t_sh+2*t_turn+2*M16+2*N16</f>
        <v>97.5214184672137</v>
      </c>
      <c r="P16" s="47" t="n">
        <f aca="false">SUMPRODUCT((Tc_idx&lt;=C16)*(ROUNDUP(lam_total*INDEX(Tc_P,C16,0)*O16/(3600*rho_max)-0.000000001,0)+(ROUNDUP(lam_total*INDEX(Tc_P,C16,0)*O16/(3600*rho_max)-0.000000001,0)&lt;min_sh)*(min_sh-ROUNDUP(lam_total*INDEX(Tc_P,C16,0)*O16/(3600*rho_max)-0.000000001,0))))</f>
        <v>11</v>
      </c>
      <c r="Q16" s="3" t="n">
        <f aca="false">ROUNDUP(P16-0.000000001,0)+spares</f>
        <v>13</v>
      </c>
      <c r="R16" s="45" t="n">
        <f aca="false">B16*C16*(2*H16-G16*lpl)</f>
        <v>4716</v>
      </c>
      <c r="S16" s="45" t="n">
        <f aca="false">R16*fill</f>
        <v>4008.6</v>
      </c>
      <c r="T16" s="45" t="n">
        <f aca="false">I16*J16</f>
        <v>871</v>
      </c>
      <c r="U16" s="45" t="n">
        <f aca="false">T16*(K16+headroom)</f>
        <v>18160.35</v>
      </c>
      <c r="V16" s="45" t="n">
        <f aca="false">G16*c_lift</f>
        <v>300000</v>
      </c>
      <c r="W16" s="45" t="n">
        <f aca="false">Q16*c_shut</f>
        <v>650000</v>
      </c>
      <c r="X16" s="45" t="n">
        <f aca="false">R16*c_pos</f>
        <v>471600</v>
      </c>
      <c r="Y16" s="45" t="n">
        <f aca="false">T16*c_m2+U16*c_m3</f>
        <v>893210.5</v>
      </c>
      <c r="Z16" s="45" t="n">
        <f aca="false">SUM(V16:Y16)</f>
        <v>2314810.5</v>
      </c>
      <c r="AA16" s="34" t="n">
        <f aca="false">B16*u_d/(H16*u_w)</f>
        <v>0.0194029850746269</v>
      </c>
      <c r="AB16" s="46" t="n">
        <f aca="false">IF(G16=0,0,F16/G16)</f>
        <v>0.377316468253968</v>
      </c>
      <c r="AC16" s="46" t="n">
        <f aca="false">IF(G16&gt;1,F16/(G16-1),"n/a")</f>
        <v>0.754632936507936</v>
      </c>
      <c r="AD16" s="47" t="n">
        <f aca="false">moves_day*m_pallet*9.81*INDEX(Tc_mh,C16)/3600000</f>
        <v>13.21734</v>
      </c>
      <c r="AE16" s="3" t="n">
        <f aca="false">IF(AND(K16&lt;=H_max,H16&lt;=300,OR(lane_policy="Free (optimize N_C)",B16=sku_pal),OR(env_use="No",AND(I16&lt;=L_bldg,J16&lt;=W_bldg),AND(I16&lt;=W_bldg,J16&lt;=L_bldg))),1,0)</f>
        <v>0</v>
      </c>
      <c r="AF16" s="48" t="n">
        <f aca="false">IF(obj_mode="Total cost",Z16,IF(obj_mode="Shuttle cycle",O16,T16))</f>
        <v>2314810.5</v>
      </c>
      <c r="AG16" s="3" t="n">
        <f aca="false">IF(AE16=1,AF16*(1+A16*0.0000000001),1E+099)</f>
        <v>1E+099</v>
      </c>
      <c r="AH16" s="3" t="str">
        <f aca="false">IF(AE16=1,"",IF(K16&gt;H_max,"height",IF(AND(lane_policy&lt;&gt;"Free (optimize N_C)",B16&lt;&gt;sku_pal),"lane policy","footprint")))</f>
        <v>footprint</v>
      </c>
      <c r="AJ16" s="3" t="n">
        <v>10</v>
      </c>
      <c r="AK16" s="45" t="e">
        <f aca="false">IF(AE17=1,AF17,NA())</f>
        <v>#N/A</v>
      </c>
      <c r="AL16" s="45" t="e">
        <f aca="false">IF(AE37=1,AF37,NA())</f>
        <v>#N/A</v>
      </c>
      <c r="AM16" s="45" t="e">
        <f aca="false">IF(AE57=1,AF57,NA())</f>
        <v>#N/A</v>
      </c>
      <c r="AN16" s="45" t="e">
        <f aca="false">IF(AE77=1,AF77,NA())</f>
        <v>#N/A</v>
      </c>
      <c r="AO16" s="45" t="e">
        <f aca="false">IF(AE97=1,AF97,NA())</f>
        <v>#N/A</v>
      </c>
      <c r="AP16" s="45" t="e">
        <f aca="false">IF(AE117=1,AF117,NA())</f>
        <v>#N/A</v>
      </c>
      <c r="AQ16" s="45" t="e">
        <f aca="false">IF(AE137=1,AF137,NA())</f>
        <v>#N/A</v>
      </c>
      <c r="AR16" s="45" t="e">
        <f aca="false">IF(AE157=1,AF157,NA())</f>
        <v>#N/A</v>
      </c>
      <c r="AS16" s="45" t="e">
        <f aca="false">IF(AE177=1,AF177,NA())</f>
        <v>#N/A</v>
      </c>
      <c r="AT16" s="45" t="e">
        <f aca="false">IF(AE197=1,AF197,NA())</f>
        <v>#N/A</v>
      </c>
      <c r="AU16" s="45" t="e">
        <f aca="false">IF(AE217=1,AF217,NA())</f>
        <v>#N/A</v>
      </c>
    </row>
    <row r="17" customFormat="false" ht="15" hidden="false" customHeight="true" outlineLevel="0" collapsed="false">
      <c r="A17" s="3" t="n">
        <v>10</v>
      </c>
      <c r="B17" s="3" t="n">
        <f aca="false">$B$3</f>
        <v>2</v>
      </c>
      <c r="C17" s="3" t="n">
        <v>10</v>
      </c>
      <c r="D17" s="46" t="n">
        <f aca="false">INDEX(Tc_pl,C17)</f>
        <v>0.6</v>
      </c>
      <c r="E17" s="47" t="n">
        <f aca="false">INDEX(Tc_S,C17)</f>
        <v>45.4571428571429</v>
      </c>
      <c r="F17" s="34" t="n">
        <f aca="false">lam_total*D17*E17/3600</f>
        <v>0.757619047619048</v>
      </c>
      <c r="G17" s="3" t="n">
        <f aca="false">IF(F17&lt;=0.000000000001,0,MAX(ROUNDUP(F17/rho_max-0.000000001,0),IF(redund="Yes",ROUNDUP(F17/rho_fail-0.000000001,0)+1,0)))</f>
        <v>2</v>
      </c>
      <c r="H17" s="3" t="n">
        <f aca="false">MAX(1,ROUNDUP((P_req/(B17*C17)+G17*lpl)/2-0.000000001,0))</f>
        <v>121</v>
      </c>
      <c r="I17" s="47" t="n">
        <f aca="false">H17*u_w</f>
        <v>121</v>
      </c>
      <c r="J17" s="47" t="n">
        <f aca="false">2*B17*u_d+aisle_w</f>
        <v>6.5</v>
      </c>
      <c r="K17" s="47" t="n">
        <f aca="false">C17*u_h</f>
        <v>21.5</v>
      </c>
      <c r="L17" s="47" t="n">
        <f aca="false">IF(G17=0,I17,I17/(2*G17))</f>
        <v>30.25</v>
      </c>
      <c r="M17" s="34" t="n">
        <f aca="false">((IF((lane_off+(L17))&lt;=(v_sh^2/a_sh),(4/3)*(lane_off+(L17))^1.5/SQRT(a_sh),(4/3)*(v_sh^2/a_sh)^1.5/SQRT(a_sh)+((lane_off+(L17))^2-(v_sh^2/a_sh)^2)/(2*v_sh)+(v_sh/a_sh)*((lane_off+(L17))-(v_sh^2/a_sh))))-(IF((lane_off)&lt;=(v_sh^2/a_sh),(4/3)*(lane_off)^1.5/SQRT(a_sh),(4/3)*(v_sh^2/a_sh)^1.5/SQRT(a_sh)+((lane_off)^2-(v_sh^2/a_sh)^2)/(2*v_sh)+(v_sh/a_sh)*((lane_off)-(v_sh^2/a_sh)))))/(L17)</f>
        <v>14.5195584629554</v>
      </c>
      <c r="N17" s="34" t="n">
        <f aca="false">IF(((B17-1)*u_d/2*(1+f_hc)+lane_off)&lt;=0,0,IF(((B17-1)*u_d/2*(1+f_hc)+lane_off)&gt;=v_sh^2/a_sh,((B17-1)*u_d/2*(1+f_hc)+lane_off)/v_sh+v_sh/a_sh,2*SQRT(((B17-1)*u_d/2*(1+f_hc)+lane_off)/a_sh)))</f>
        <v>4.07921561087423</v>
      </c>
      <c r="O17" s="47" t="n">
        <f aca="false">2*t_sh+2*t_turn+2*M17+2*N17</f>
        <v>95.1975481476592</v>
      </c>
      <c r="P17" s="47" t="n">
        <f aca="false">SUMPRODUCT((Tc_idx&lt;=C17)*(ROUNDUP(lam_total*INDEX(Tc_P,C17,0)*O17/(3600*rho_max)-0.000000001,0)+(ROUNDUP(lam_total*INDEX(Tc_P,C17,0)*O17/(3600*rho_max)-0.000000001,0)&lt;min_sh)*(min_sh-ROUNDUP(lam_total*INDEX(Tc_P,C17,0)*O17/(3600*rho_max)-0.000000001,0))))</f>
        <v>12</v>
      </c>
      <c r="Q17" s="3" t="n">
        <f aca="false">ROUNDUP(P17-0.000000001,0)+spares</f>
        <v>14</v>
      </c>
      <c r="R17" s="45" t="n">
        <f aca="false">B17*C17*(2*H17-G17*lpl)</f>
        <v>4720</v>
      </c>
      <c r="S17" s="45" t="n">
        <f aca="false">R17*fill</f>
        <v>4012</v>
      </c>
      <c r="T17" s="45" t="n">
        <f aca="false">I17*J17</f>
        <v>786.5</v>
      </c>
      <c r="U17" s="45" t="n">
        <f aca="false">T17*(K17+headroom)</f>
        <v>18089.5</v>
      </c>
      <c r="V17" s="45" t="n">
        <f aca="false">G17*c_lift</f>
        <v>300000</v>
      </c>
      <c r="W17" s="45" t="n">
        <f aca="false">Q17*c_shut</f>
        <v>700000</v>
      </c>
      <c r="X17" s="45" t="n">
        <f aca="false">R17*c_pos</f>
        <v>472000</v>
      </c>
      <c r="Y17" s="45" t="n">
        <f aca="false">T17*c_m2+U17*c_m3</f>
        <v>857285</v>
      </c>
      <c r="Z17" s="45" t="n">
        <f aca="false">SUM(V17:Y17)</f>
        <v>2329285</v>
      </c>
      <c r="AA17" s="34" t="n">
        <f aca="false">B17*u_d/(H17*u_w)</f>
        <v>0.0214876033057851</v>
      </c>
      <c r="AB17" s="46" t="n">
        <f aca="false">IF(G17=0,0,F17/G17)</f>
        <v>0.378809523809524</v>
      </c>
      <c r="AC17" s="46" t="n">
        <f aca="false">IF(G17&gt;1,F17/(G17-1),"n/a")</f>
        <v>0.757619047619048</v>
      </c>
      <c r="AD17" s="47" t="n">
        <f aca="false">moves_day*m_pallet*9.81*INDEX(Tc_mh,C17)/3600000</f>
        <v>13.49856</v>
      </c>
      <c r="AE17" s="3" t="n">
        <f aca="false">IF(AND(K17&lt;=H_max,H17&lt;=300,OR(lane_policy="Free (optimize N_C)",B17=sku_pal),OR(env_use="No",AND(I17&lt;=L_bldg,J17&lt;=W_bldg),AND(I17&lt;=W_bldg,J17&lt;=L_bldg))),1,0)</f>
        <v>0</v>
      </c>
      <c r="AF17" s="48" t="n">
        <f aca="false">IF(obj_mode="Total cost",Z17,IF(obj_mode="Shuttle cycle",O17,T17))</f>
        <v>2329285</v>
      </c>
      <c r="AG17" s="3" t="n">
        <f aca="false">IF(AE17=1,AF17*(1+A17*0.0000000001),1E+099)</f>
        <v>1E+099</v>
      </c>
      <c r="AH17" s="3" t="str">
        <f aca="false">IF(AE17=1,"",IF(K17&gt;H_max,"height",IF(AND(lane_policy&lt;&gt;"Free (optimize N_C)",B17&lt;&gt;sku_pal),"lane policy","footprint")))</f>
        <v>height</v>
      </c>
      <c r="AJ17" s="3" t="n">
        <v>11</v>
      </c>
      <c r="AK17" s="45" t="e">
        <f aca="false">IF(AE18=1,AF18,NA())</f>
        <v>#N/A</v>
      </c>
      <c r="AL17" s="45" t="e">
        <f aca="false">IF(AE38=1,AF38,NA())</f>
        <v>#N/A</v>
      </c>
      <c r="AM17" s="45" t="e">
        <f aca="false">IF(AE58=1,AF58,NA())</f>
        <v>#N/A</v>
      </c>
      <c r="AN17" s="45" t="e">
        <f aca="false">IF(AE78=1,AF78,NA())</f>
        <v>#N/A</v>
      </c>
      <c r="AO17" s="45" t="e">
        <f aca="false">IF(AE98=1,AF98,NA())</f>
        <v>#N/A</v>
      </c>
      <c r="AP17" s="45" t="e">
        <f aca="false">IF(AE118=1,AF118,NA())</f>
        <v>#N/A</v>
      </c>
      <c r="AQ17" s="45" t="e">
        <f aca="false">IF(AE138=1,AF138,NA())</f>
        <v>#N/A</v>
      </c>
      <c r="AR17" s="45" t="e">
        <f aca="false">IF(AE158=1,AF158,NA())</f>
        <v>#N/A</v>
      </c>
      <c r="AS17" s="45" t="e">
        <f aca="false">IF(AE178=1,AF178,NA())</f>
        <v>#N/A</v>
      </c>
      <c r="AT17" s="45" t="e">
        <f aca="false">IF(AE198=1,AF198,NA())</f>
        <v>#N/A</v>
      </c>
      <c r="AU17" s="45" t="e">
        <f aca="false">IF(AE218=1,AF218,NA())</f>
        <v>#N/A</v>
      </c>
    </row>
    <row r="18" customFormat="false" ht="15" hidden="false" customHeight="true" outlineLevel="0" collapsed="false">
      <c r="A18" s="3" t="n">
        <v>11</v>
      </c>
      <c r="B18" s="3" t="n">
        <f aca="false">$B$3</f>
        <v>2</v>
      </c>
      <c r="C18" s="3" t="n">
        <v>11</v>
      </c>
      <c r="D18" s="46" t="n">
        <f aca="false">INDEX(Tc_pl,C18)</f>
        <v>0.6</v>
      </c>
      <c r="E18" s="47" t="n">
        <f aca="false">INDEX(Tc_S,C18)</f>
        <v>45.6363095238095</v>
      </c>
      <c r="F18" s="34" t="n">
        <f aca="false">lam_total*D18*E18/3600</f>
        <v>0.760605158730159</v>
      </c>
      <c r="G18" s="3" t="n">
        <f aca="false">IF(F18&lt;=0.000000000001,0,MAX(ROUNDUP(F18/rho_max-0.000000001,0),IF(redund="Yes",ROUNDUP(F18/rho_fail-0.000000001,0)+1,0)))</f>
        <v>2</v>
      </c>
      <c r="H18" s="3" t="n">
        <f aca="false">MAX(1,ROUNDUP((P_req/(B18*C18)+G18*lpl)/2-0.000000001,0))</f>
        <v>110</v>
      </c>
      <c r="I18" s="47" t="n">
        <f aca="false">H18*u_w</f>
        <v>110</v>
      </c>
      <c r="J18" s="47" t="n">
        <f aca="false">2*B18*u_d+aisle_w</f>
        <v>6.5</v>
      </c>
      <c r="K18" s="47" t="n">
        <f aca="false">C18*u_h</f>
        <v>23.65</v>
      </c>
      <c r="L18" s="47" t="n">
        <f aca="false">IF(G18=0,I18,I18/(2*G18))</f>
        <v>27.5</v>
      </c>
      <c r="M18" s="34" t="n">
        <f aca="false">((IF((lane_off+(L18))&lt;=(v_sh^2/a_sh),(4/3)*(lane_off+(L18))^1.5/SQRT(a_sh),(4/3)*(v_sh^2/a_sh)^1.5/SQRT(a_sh)+((lane_off+(L18))^2-(v_sh^2/a_sh)^2)/(2*v_sh)+(v_sh/a_sh)*((lane_off+(L18))-(v_sh^2/a_sh))))-(IF((lane_off)&lt;=(v_sh^2/a_sh),(4/3)*(lane_off)^1.5/SQRT(a_sh),(4/3)*(v_sh^2/a_sh)^1.5/SQRT(a_sh)+((lane_off)^2-(v_sh^2/a_sh)^2)/(2*v_sh)+(v_sh/a_sh)*((lane_off)-(v_sh^2/a_sh)))))/(L18)</f>
        <v>13.5361571663937</v>
      </c>
      <c r="N18" s="34" t="n">
        <f aca="false">IF(((B18-1)*u_d/2*(1+f_hc)+lane_off)&lt;=0,0,IF(((B18-1)*u_d/2*(1+f_hc)+lane_off)&gt;=v_sh^2/a_sh,((B18-1)*u_d/2*(1+f_hc)+lane_off)/v_sh+v_sh/a_sh,2*SQRT(((B18-1)*u_d/2*(1+f_hc)+lane_off)/a_sh)))</f>
        <v>4.07921561087423</v>
      </c>
      <c r="O18" s="47" t="n">
        <f aca="false">2*t_sh+2*t_turn+2*M18+2*N18</f>
        <v>93.2307455545359</v>
      </c>
      <c r="P18" s="47" t="n">
        <f aca="false">SUMPRODUCT((Tc_idx&lt;=C18)*(ROUNDUP(lam_total*INDEX(Tc_P,C18,0)*O18/(3600*rho_max)-0.000000001,0)+(ROUNDUP(lam_total*INDEX(Tc_P,C18,0)*O18/(3600*rho_max)-0.000000001,0)&lt;min_sh)*(min_sh-ROUNDUP(lam_total*INDEX(Tc_P,C18,0)*O18/(3600*rho_max)-0.000000001,0))))</f>
        <v>13</v>
      </c>
      <c r="Q18" s="3" t="n">
        <f aca="false">ROUNDUP(P18-0.000000001,0)+spares</f>
        <v>15</v>
      </c>
      <c r="R18" s="45" t="n">
        <f aca="false">B18*C18*(2*H18-G18*lpl)</f>
        <v>4708</v>
      </c>
      <c r="S18" s="45" t="n">
        <f aca="false">R18*fill</f>
        <v>4001.8</v>
      </c>
      <c r="T18" s="45" t="n">
        <f aca="false">I18*J18</f>
        <v>715</v>
      </c>
      <c r="U18" s="45" t="n">
        <f aca="false">T18*(K18+headroom)</f>
        <v>17982.25</v>
      </c>
      <c r="V18" s="45" t="n">
        <f aca="false">G18*c_lift</f>
        <v>300000</v>
      </c>
      <c r="W18" s="45" t="n">
        <f aca="false">Q18*c_shut</f>
        <v>750000</v>
      </c>
      <c r="X18" s="45" t="n">
        <f aca="false">R18*c_pos</f>
        <v>470800</v>
      </c>
      <c r="Y18" s="45" t="n">
        <f aca="false">T18*c_m2+U18*c_m3</f>
        <v>825467.5</v>
      </c>
      <c r="Z18" s="45" t="n">
        <f aca="false">SUM(V18:Y18)</f>
        <v>2346267.5</v>
      </c>
      <c r="AA18" s="34" t="n">
        <f aca="false">B18*u_d/(H18*u_w)</f>
        <v>0.0236363636363636</v>
      </c>
      <c r="AB18" s="46" t="n">
        <f aca="false">IF(G18=0,0,F18/G18)</f>
        <v>0.380302579365079</v>
      </c>
      <c r="AC18" s="46" t="n">
        <f aca="false">IF(G18&gt;1,F18/(G18-1),"n/a")</f>
        <v>0.760605158730159</v>
      </c>
      <c r="AD18" s="47" t="n">
        <f aca="false">moves_day*m_pallet*9.81*INDEX(Tc_mh,C18)/3600000</f>
        <v>13.77978</v>
      </c>
      <c r="AE18" s="3" t="n">
        <f aca="false">IF(AND(K18&lt;=H_max,H18&lt;=300,OR(lane_policy="Free (optimize N_C)",B18=sku_pal),OR(env_use="No",AND(I18&lt;=L_bldg,J18&lt;=W_bldg),AND(I18&lt;=W_bldg,J18&lt;=L_bldg))),1,0)</f>
        <v>0</v>
      </c>
      <c r="AF18" s="48" t="n">
        <f aca="false">IF(obj_mode="Total cost",Z18,IF(obj_mode="Shuttle cycle",O18,T18))</f>
        <v>2346267.5</v>
      </c>
      <c r="AG18" s="3" t="n">
        <f aca="false">IF(AE18=1,AF18*(1+A18*0.0000000001),1E+099)</f>
        <v>1E+099</v>
      </c>
      <c r="AH18" s="3" t="str">
        <f aca="false">IF(AE18=1,"",IF(K18&gt;H_max,"height",IF(AND(lane_policy&lt;&gt;"Free (optimize N_C)",B18&lt;&gt;sku_pal),"lane policy","footprint")))</f>
        <v>height</v>
      </c>
      <c r="AJ18" s="3" t="n">
        <v>12</v>
      </c>
      <c r="AK18" s="45" t="e">
        <f aca="false">IF(AE19=1,AF19,NA())</f>
        <v>#N/A</v>
      </c>
      <c r="AL18" s="45" t="e">
        <f aca="false">IF(AE39=1,AF39,NA())</f>
        <v>#N/A</v>
      </c>
      <c r="AM18" s="45" t="e">
        <f aca="false">IF(AE59=1,AF59,NA())</f>
        <v>#N/A</v>
      </c>
      <c r="AN18" s="45" t="e">
        <f aca="false">IF(AE79=1,AF79,NA())</f>
        <v>#N/A</v>
      </c>
      <c r="AO18" s="45" t="e">
        <f aca="false">IF(AE99=1,AF99,NA())</f>
        <v>#N/A</v>
      </c>
      <c r="AP18" s="45" t="e">
        <f aca="false">IF(AE119=1,AF119,NA())</f>
        <v>#N/A</v>
      </c>
      <c r="AQ18" s="45" t="e">
        <f aca="false">IF(AE139=1,AF139,NA())</f>
        <v>#N/A</v>
      </c>
      <c r="AR18" s="45" t="e">
        <f aca="false">IF(AE159=1,AF159,NA())</f>
        <v>#N/A</v>
      </c>
      <c r="AS18" s="45" t="e">
        <f aca="false">IF(AE179=1,AF179,NA())</f>
        <v>#N/A</v>
      </c>
      <c r="AT18" s="45" t="e">
        <f aca="false">IF(AE199=1,AF199,NA())</f>
        <v>#N/A</v>
      </c>
      <c r="AU18" s="45" t="e">
        <f aca="false">IF(AE219=1,AF219,NA())</f>
        <v>#N/A</v>
      </c>
    </row>
    <row r="19" customFormat="false" ht="15" hidden="false" customHeight="true" outlineLevel="0" collapsed="false">
      <c r="A19" s="3" t="n">
        <v>12</v>
      </c>
      <c r="B19" s="3" t="n">
        <f aca="false">$B$3</f>
        <v>2</v>
      </c>
      <c r="C19" s="3" t="n">
        <v>12</v>
      </c>
      <c r="D19" s="46" t="n">
        <f aca="false">INDEX(Tc_pl,C19)</f>
        <v>0.6</v>
      </c>
      <c r="E19" s="47" t="n">
        <f aca="false">INDEX(Tc_S,C19)</f>
        <v>45.8154761904762</v>
      </c>
      <c r="F19" s="34" t="n">
        <f aca="false">lam_total*D19*E19/3600</f>
        <v>0.76359126984127</v>
      </c>
      <c r="G19" s="3" t="n">
        <f aca="false">IF(F19&lt;=0.000000000001,0,MAX(ROUNDUP(F19/rho_max-0.000000001,0),IF(redund="Yes",ROUNDUP(F19/rho_fail-0.000000001,0)+1,0)))</f>
        <v>2</v>
      </c>
      <c r="H19" s="3" t="n">
        <f aca="false">MAX(1,ROUNDUP((P_req/(B19*C19)+G19*lpl)/2-0.000000001,0))</f>
        <v>102</v>
      </c>
      <c r="I19" s="47" t="n">
        <f aca="false">H19*u_w</f>
        <v>102</v>
      </c>
      <c r="J19" s="47" t="n">
        <f aca="false">2*B19*u_d+aisle_w</f>
        <v>6.5</v>
      </c>
      <c r="K19" s="47" t="n">
        <f aca="false">C19*u_h</f>
        <v>25.8</v>
      </c>
      <c r="L19" s="47" t="n">
        <f aca="false">IF(G19=0,I19,I19/(2*G19))</f>
        <v>25.5</v>
      </c>
      <c r="M19" s="34" t="n">
        <f aca="false">((IF((lane_off+(L19))&lt;=(v_sh^2/a_sh),(4/3)*(lane_off+(L19))^1.5/SQRT(a_sh),(4/3)*(v_sh^2/a_sh)^1.5/SQRT(a_sh)+((lane_off+(L19))^2-(v_sh^2/a_sh)^2)/(2*v_sh)+(v_sh/a_sh)*((lane_off+(L19))-(v_sh^2/a_sh))))-(IF((lane_off)&lt;=(v_sh^2/a_sh),(4/3)*(lane_off)^1.5/SQRT(a_sh),(4/3)*(v_sh^2/a_sh)^1.5/SQRT(a_sh)+((lane_off)^2-(v_sh^2/a_sh)^2)/(2*v_sh)+(v_sh/a_sh)*((lane_off)-(v_sh^2/a_sh)))))/(L19)</f>
        <v>12.8207857396683</v>
      </c>
      <c r="N19" s="34" t="n">
        <f aca="false">IF(((B19-1)*u_d/2*(1+f_hc)+lane_off)&lt;=0,0,IF(((B19-1)*u_d/2*(1+f_hc)+lane_off)&gt;=v_sh^2/a_sh,((B19-1)*u_d/2*(1+f_hc)+lane_off)/v_sh+v_sh/a_sh,2*SQRT(((B19-1)*u_d/2*(1+f_hc)+lane_off)/a_sh)))</f>
        <v>4.07921561087423</v>
      </c>
      <c r="O19" s="47" t="n">
        <f aca="false">2*t_sh+2*t_turn+2*M19+2*N19</f>
        <v>91.8000027010851</v>
      </c>
      <c r="P19" s="47" t="n">
        <f aca="false">SUMPRODUCT((Tc_idx&lt;=C19)*(ROUNDUP(lam_total*INDEX(Tc_P,C19,0)*O19/(3600*rho_max)-0.000000001,0)+(ROUNDUP(lam_total*INDEX(Tc_P,C19,0)*O19/(3600*rho_max)-0.000000001,0)&lt;min_sh)*(min_sh-ROUNDUP(lam_total*INDEX(Tc_P,C19,0)*O19/(3600*rho_max)-0.000000001,0))))</f>
        <v>14</v>
      </c>
      <c r="Q19" s="3" t="n">
        <f aca="false">ROUNDUP(P19-0.000000001,0)+spares</f>
        <v>16</v>
      </c>
      <c r="R19" s="45" t="n">
        <f aca="false">B19*C19*(2*H19-G19*lpl)</f>
        <v>4752</v>
      </c>
      <c r="S19" s="45" t="n">
        <f aca="false">R19*fill</f>
        <v>4039.2</v>
      </c>
      <c r="T19" s="45" t="n">
        <f aca="false">I19*J19</f>
        <v>663</v>
      </c>
      <c r="U19" s="45" t="n">
        <f aca="false">T19*(K19+headroom)</f>
        <v>18099.9</v>
      </c>
      <c r="V19" s="45" t="n">
        <f aca="false">G19*c_lift</f>
        <v>300000</v>
      </c>
      <c r="W19" s="45" t="n">
        <f aca="false">Q19*c_shut</f>
        <v>800000</v>
      </c>
      <c r="X19" s="45" t="n">
        <f aca="false">R19*c_pos</f>
        <v>475200</v>
      </c>
      <c r="Y19" s="45" t="n">
        <f aca="false">T19*c_m2+U19*c_m3</f>
        <v>808197</v>
      </c>
      <c r="Z19" s="45" t="n">
        <f aca="false">SUM(V19:Y19)</f>
        <v>2383397</v>
      </c>
      <c r="AA19" s="34" t="n">
        <f aca="false">B19*u_d/(H19*u_w)</f>
        <v>0.0254901960784314</v>
      </c>
      <c r="AB19" s="46" t="n">
        <f aca="false">IF(G19=0,0,F19/G19)</f>
        <v>0.381795634920635</v>
      </c>
      <c r="AC19" s="46" t="n">
        <f aca="false">IF(G19&gt;1,F19/(G19-1),"n/a")</f>
        <v>0.76359126984127</v>
      </c>
      <c r="AD19" s="47" t="n">
        <f aca="false">moves_day*m_pallet*9.81*INDEX(Tc_mh,C19)/3600000</f>
        <v>14.061</v>
      </c>
      <c r="AE19" s="3" t="n">
        <f aca="false">IF(AND(K19&lt;=H_max,H19&lt;=300,OR(lane_policy="Free (optimize N_C)",B19=sku_pal),OR(env_use="No",AND(I19&lt;=L_bldg,J19&lt;=W_bldg),AND(I19&lt;=W_bldg,J19&lt;=L_bldg))),1,0)</f>
        <v>0</v>
      </c>
      <c r="AF19" s="48" t="n">
        <f aca="false">IF(obj_mode="Total cost",Z19,IF(obj_mode="Shuttle cycle",O19,T19))</f>
        <v>2383397</v>
      </c>
      <c r="AG19" s="3" t="n">
        <f aca="false">IF(AE19=1,AF19*(1+A19*0.0000000001),1E+099)</f>
        <v>1E+099</v>
      </c>
      <c r="AH19" s="3" t="str">
        <f aca="false">IF(AE19=1,"",IF(K19&gt;H_max,"height",IF(AND(lane_policy&lt;&gt;"Free (optimize N_C)",B19&lt;&gt;sku_pal),"lane policy","footprint")))</f>
        <v>height</v>
      </c>
      <c r="AJ19" s="3" t="n">
        <v>13</v>
      </c>
      <c r="AK19" s="45" t="e">
        <f aca="false">IF(AE20=1,AF20,NA())</f>
        <v>#N/A</v>
      </c>
      <c r="AL19" s="45" t="e">
        <f aca="false">IF(AE40=1,AF40,NA())</f>
        <v>#N/A</v>
      </c>
      <c r="AM19" s="45" t="e">
        <f aca="false">IF(AE60=1,AF60,NA())</f>
        <v>#N/A</v>
      </c>
      <c r="AN19" s="45" t="e">
        <f aca="false">IF(AE80=1,AF80,NA())</f>
        <v>#N/A</v>
      </c>
      <c r="AO19" s="45" t="e">
        <f aca="false">IF(AE100=1,AF100,NA())</f>
        <v>#N/A</v>
      </c>
      <c r="AP19" s="45" t="e">
        <f aca="false">IF(AE120=1,AF120,NA())</f>
        <v>#N/A</v>
      </c>
      <c r="AQ19" s="45" t="e">
        <f aca="false">IF(AE140=1,AF140,NA())</f>
        <v>#N/A</v>
      </c>
      <c r="AR19" s="45" t="e">
        <f aca="false">IF(AE160=1,AF160,NA())</f>
        <v>#N/A</v>
      </c>
      <c r="AS19" s="45" t="e">
        <f aca="false">IF(AE180=1,AF180,NA())</f>
        <v>#N/A</v>
      </c>
      <c r="AT19" s="45" t="e">
        <f aca="false">IF(AE200=1,AF200,NA())</f>
        <v>#N/A</v>
      </c>
      <c r="AU19" s="45" t="e">
        <f aca="false">IF(AE220=1,AF220,NA())</f>
        <v>#N/A</v>
      </c>
    </row>
    <row r="20" customFormat="false" ht="15" hidden="false" customHeight="true" outlineLevel="0" collapsed="false">
      <c r="A20" s="3" t="n">
        <v>13</v>
      </c>
      <c r="B20" s="3" t="n">
        <f aca="false">$B$3</f>
        <v>2</v>
      </c>
      <c r="C20" s="3" t="n">
        <v>13</v>
      </c>
      <c r="D20" s="46" t="n">
        <f aca="false">INDEX(Tc_pl,C20)</f>
        <v>0.6</v>
      </c>
      <c r="E20" s="47" t="n">
        <f aca="false">INDEX(Tc_S,C20)</f>
        <v>45.9946428571429</v>
      </c>
      <c r="F20" s="34" t="n">
        <f aca="false">lam_total*D20*E20/3600</f>
        <v>0.766577380952381</v>
      </c>
      <c r="G20" s="3" t="n">
        <f aca="false">IF(F20&lt;=0.000000000001,0,MAX(ROUNDUP(F20/rho_max-0.000000001,0),IF(redund="Yes",ROUNDUP(F20/rho_fail-0.000000001,0)+1,0)))</f>
        <v>2</v>
      </c>
      <c r="H20" s="3" t="n">
        <f aca="false">MAX(1,ROUNDUP((P_req/(B20*C20)+G20*lpl)/2-0.000000001,0))</f>
        <v>94</v>
      </c>
      <c r="I20" s="47" t="n">
        <f aca="false">H20*u_w</f>
        <v>94</v>
      </c>
      <c r="J20" s="47" t="n">
        <f aca="false">2*B20*u_d+aisle_w</f>
        <v>6.5</v>
      </c>
      <c r="K20" s="47" t="n">
        <f aca="false">C20*u_h</f>
        <v>27.95</v>
      </c>
      <c r="L20" s="47" t="n">
        <f aca="false">IF(G20=0,I20,I20/(2*G20))</f>
        <v>23.5</v>
      </c>
      <c r="M20" s="34" t="n">
        <f aca="false">((IF((lane_off+(L20))&lt;=(v_sh^2/a_sh),(4/3)*(lane_off+(L20))^1.5/SQRT(a_sh),(4/3)*(v_sh^2/a_sh)^1.5/SQRT(a_sh)+((lane_off+(L20))^2-(v_sh^2/a_sh)^2)/(2*v_sh)+(v_sh/a_sh)*((lane_off+(L20))-(v_sh^2/a_sh))))-(IF((lane_off)&lt;=(v_sh^2/a_sh),(4/3)*(lane_off)^1.5/SQRT(a_sh),(4/3)*(v_sh^2/a_sh)^1.5/SQRT(a_sh)+((lane_off)^2-(v_sh^2/a_sh)^2)/(2*v_sh)+(v_sh/a_sh)*((lane_off)-(v_sh^2/a_sh)))))/(L20)</f>
        <v>12.1052295108255</v>
      </c>
      <c r="N20" s="34" t="n">
        <f aca="false">IF(((B20-1)*u_d/2*(1+f_hc)+lane_off)&lt;=0,0,IF(((B20-1)*u_d/2*(1+f_hc)+lane_off)&gt;=v_sh^2/a_sh,((B20-1)*u_d/2*(1+f_hc)+lane_off)/v_sh+v_sh/a_sh,2*SQRT(((B20-1)*u_d/2*(1+f_hc)+lane_off)/a_sh)))</f>
        <v>4.07921561087423</v>
      </c>
      <c r="O20" s="47" t="n">
        <f aca="false">2*t_sh+2*t_turn+2*M20+2*N20</f>
        <v>90.3688902433995</v>
      </c>
      <c r="P20" s="47" t="n">
        <f aca="false">SUMPRODUCT((Tc_idx&lt;=C20)*(ROUNDUP(lam_total*INDEX(Tc_P,C20,0)*O20/(3600*rho_max)-0.000000001,0)+(ROUNDUP(lam_total*INDEX(Tc_P,C20,0)*O20/(3600*rho_max)-0.000000001,0)&lt;min_sh)*(min_sh-ROUNDUP(lam_total*INDEX(Tc_P,C20,0)*O20/(3600*rho_max)-0.000000001,0))))</f>
        <v>15</v>
      </c>
      <c r="Q20" s="3" t="n">
        <f aca="false">ROUNDUP(P20-0.000000001,0)+spares</f>
        <v>17</v>
      </c>
      <c r="R20" s="45" t="n">
        <f aca="false">B20*C20*(2*H20-G20*lpl)</f>
        <v>4732</v>
      </c>
      <c r="S20" s="45" t="n">
        <f aca="false">R20*fill</f>
        <v>4022.2</v>
      </c>
      <c r="T20" s="45" t="n">
        <f aca="false">I20*J20</f>
        <v>611</v>
      </c>
      <c r="U20" s="45" t="n">
        <f aca="false">T20*(K20+headroom)</f>
        <v>17993.95</v>
      </c>
      <c r="V20" s="45" t="n">
        <f aca="false">G20*c_lift</f>
        <v>300000</v>
      </c>
      <c r="W20" s="45" t="n">
        <f aca="false">Q20*c_shut</f>
        <v>850000</v>
      </c>
      <c r="X20" s="45" t="n">
        <f aca="false">R20*c_pos</f>
        <v>473200</v>
      </c>
      <c r="Y20" s="45" t="n">
        <f aca="false">T20*c_m2+U20*c_m3</f>
        <v>784218.5</v>
      </c>
      <c r="Z20" s="45" t="n">
        <f aca="false">SUM(V20:Y20)</f>
        <v>2407418.5</v>
      </c>
      <c r="AA20" s="34" t="n">
        <f aca="false">B20*u_d/(H20*u_w)</f>
        <v>0.0276595744680851</v>
      </c>
      <c r="AB20" s="46" t="n">
        <f aca="false">IF(G20=0,0,F20/G20)</f>
        <v>0.383288690476191</v>
      </c>
      <c r="AC20" s="46" t="n">
        <f aca="false">IF(G20&gt;1,F20/(G20-1),"n/a")</f>
        <v>0.766577380952381</v>
      </c>
      <c r="AD20" s="47" t="n">
        <f aca="false">moves_day*m_pallet*9.81*INDEX(Tc_mh,C20)/3600000</f>
        <v>14.34222</v>
      </c>
      <c r="AE20" s="3" t="n">
        <f aca="false">IF(AND(K20&lt;=H_max,H20&lt;=300,OR(lane_policy="Free (optimize N_C)",B20=sku_pal),OR(env_use="No",AND(I20&lt;=L_bldg,J20&lt;=W_bldg),AND(I20&lt;=W_bldg,J20&lt;=L_bldg))),1,0)</f>
        <v>0</v>
      </c>
      <c r="AF20" s="48" t="n">
        <f aca="false">IF(obj_mode="Total cost",Z20,IF(obj_mode="Shuttle cycle",O20,T20))</f>
        <v>2407418.5</v>
      </c>
      <c r="AG20" s="3" t="n">
        <f aca="false">IF(AE20=1,AF20*(1+A20*0.0000000001),1E+099)</f>
        <v>1E+099</v>
      </c>
      <c r="AH20" s="3" t="str">
        <f aca="false">IF(AE20=1,"",IF(K20&gt;H_max,"height",IF(AND(lane_policy&lt;&gt;"Free (optimize N_C)",B20&lt;&gt;sku_pal),"lane policy","footprint")))</f>
        <v>height</v>
      </c>
      <c r="AJ20" s="3" t="n">
        <v>14</v>
      </c>
      <c r="AK20" s="45" t="e">
        <f aca="false">IF(AE21=1,AF21,NA())</f>
        <v>#N/A</v>
      </c>
      <c r="AL20" s="45" t="e">
        <f aca="false">IF(AE41=1,AF41,NA())</f>
        <v>#N/A</v>
      </c>
      <c r="AM20" s="45" t="e">
        <f aca="false">IF(AE61=1,AF61,NA())</f>
        <v>#N/A</v>
      </c>
      <c r="AN20" s="45" t="e">
        <f aca="false">IF(AE81=1,AF81,NA())</f>
        <v>#N/A</v>
      </c>
      <c r="AO20" s="45" t="e">
        <f aca="false">IF(AE101=1,AF101,NA())</f>
        <v>#N/A</v>
      </c>
      <c r="AP20" s="45" t="e">
        <f aca="false">IF(AE121=1,AF121,NA())</f>
        <v>#N/A</v>
      </c>
      <c r="AQ20" s="45" t="e">
        <f aca="false">IF(AE141=1,AF141,NA())</f>
        <v>#N/A</v>
      </c>
      <c r="AR20" s="45" t="e">
        <f aca="false">IF(AE161=1,AF161,NA())</f>
        <v>#N/A</v>
      </c>
      <c r="AS20" s="45" t="e">
        <f aca="false">IF(AE181=1,AF181,NA())</f>
        <v>#N/A</v>
      </c>
      <c r="AT20" s="45" t="e">
        <f aca="false">IF(AE201=1,AF201,NA())</f>
        <v>#N/A</v>
      </c>
      <c r="AU20" s="45" t="e">
        <f aca="false">IF(AE221=1,AF221,NA())</f>
        <v>#N/A</v>
      </c>
    </row>
    <row r="21" customFormat="false" ht="15" hidden="false" customHeight="true" outlineLevel="0" collapsed="false">
      <c r="A21" s="3" t="n">
        <v>14</v>
      </c>
      <c r="B21" s="3" t="n">
        <f aca="false">$B$3</f>
        <v>2</v>
      </c>
      <c r="C21" s="3" t="n">
        <v>14</v>
      </c>
      <c r="D21" s="46" t="n">
        <f aca="false">INDEX(Tc_pl,C21)</f>
        <v>0.6</v>
      </c>
      <c r="E21" s="47" t="n">
        <f aca="false">INDEX(Tc_S,C21)</f>
        <v>46.1738095238095</v>
      </c>
      <c r="F21" s="34" t="n">
        <f aca="false">lam_total*D21*E21/3600</f>
        <v>0.769563492063492</v>
      </c>
      <c r="G21" s="3" t="n">
        <f aca="false">IF(F21&lt;=0.000000000001,0,MAX(ROUNDUP(F21/rho_max-0.000000001,0),IF(redund="Yes",ROUNDUP(F21/rho_fail-0.000000001,0)+1,0)))</f>
        <v>2</v>
      </c>
      <c r="H21" s="3" t="n">
        <f aca="false">MAX(1,ROUNDUP((P_req/(B21*C21)+G21*lpl)/2-0.000000001,0))</f>
        <v>88</v>
      </c>
      <c r="I21" s="47" t="n">
        <f aca="false">H21*u_w</f>
        <v>88</v>
      </c>
      <c r="J21" s="47" t="n">
        <f aca="false">2*B21*u_d+aisle_w</f>
        <v>6.5</v>
      </c>
      <c r="K21" s="47" t="n">
        <f aca="false">C21*u_h</f>
        <v>30.1</v>
      </c>
      <c r="L21" s="47" t="n">
        <f aca="false">IF(G21=0,I21,I21/(2*G21))</f>
        <v>22</v>
      </c>
      <c r="M21" s="34" t="n">
        <f aca="false">((IF((lane_off+(L21))&lt;=(v_sh^2/a_sh),(4/3)*(lane_off+(L21))^1.5/SQRT(a_sh),(4/3)*(v_sh^2/a_sh)^1.5/SQRT(a_sh)+((lane_off+(L21))^2-(v_sh^2/a_sh)^2)/(2*v_sh)+(v_sh/a_sh)*((lane_off+(L21))-(v_sh^2/a_sh))))-(IF((lane_off)&lt;=(v_sh^2/a_sh),(4/3)*(lane_off)^1.5/SQRT(a_sh),(4/3)*(v_sh^2/a_sh)^1.5/SQRT(a_sh)+((lane_off)^2-(v_sh^2/a_sh)^2)/(2*v_sh)+(v_sh/a_sh)*((lane_off)-(v_sh^2/a_sh)))))/(L21)</f>
        <v>11.5684107437065</v>
      </c>
      <c r="N21" s="34" t="n">
        <f aca="false">IF(((B21-1)*u_d/2*(1+f_hc)+lane_off)&lt;=0,0,IF(((B21-1)*u_d/2*(1+f_hc)+lane_off)&gt;=v_sh^2/a_sh,((B21-1)*u_d/2*(1+f_hc)+lane_off)/v_sh+v_sh/a_sh,2*SQRT(((B21-1)*u_d/2*(1+f_hc)+lane_off)/a_sh)))</f>
        <v>4.07921561087423</v>
      </c>
      <c r="O21" s="47" t="n">
        <f aca="false">2*t_sh+2*t_turn+2*M21+2*N21</f>
        <v>89.2952527091614</v>
      </c>
      <c r="P21" s="47" t="n">
        <f aca="false">SUMPRODUCT((Tc_idx&lt;=C21)*(ROUNDUP(lam_total*INDEX(Tc_P,C21,0)*O21/(3600*rho_max)-0.000000001,0)+(ROUNDUP(lam_total*INDEX(Tc_P,C21,0)*O21/(3600*rho_max)-0.000000001,0)&lt;min_sh)*(min_sh-ROUNDUP(lam_total*INDEX(Tc_P,C21,0)*O21/(3600*rho_max)-0.000000001,0))))</f>
        <v>16</v>
      </c>
      <c r="Q21" s="3" t="n">
        <f aca="false">ROUNDUP(P21-0.000000001,0)+spares</f>
        <v>18</v>
      </c>
      <c r="R21" s="45" t="n">
        <f aca="false">B21*C21*(2*H21-G21*lpl)</f>
        <v>4760</v>
      </c>
      <c r="S21" s="45" t="n">
        <f aca="false">R21*fill</f>
        <v>4046</v>
      </c>
      <c r="T21" s="45" t="n">
        <f aca="false">I21*J21</f>
        <v>572</v>
      </c>
      <c r="U21" s="45" t="n">
        <f aca="false">T21*(K21+headroom)</f>
        <v>18075.2</v>
      </c>
      <c r="V21" s="45" t="n">
        <f aca="false">G21*c_lift</f>
        <v>300000</v>
      </c>
      <c r="W21" s="45" t="n">
        <f aca="false">Q21*c_shut</f>
        <v>900000</v>
      </c>
      <c r="X21" s="45" t="n">
        <f aca="false">R21*c_pos</f>
        <v>476000</v>
      </c>
      <c r="Y21" s="45" t="n">
        <f aca="false">T21*c_m2+U21*c_m3</f>
        <v>771056</v>
      </c>
      <c r="Z21" s="45" t="n">
        <f aca="false">SUM(V21:Y21)</f>
        <v>2447056</v>
      </c>
      <c r="AA21" s="34" t="n">
        <f aca="false">B21*u_d/(H21*u_w)</f>
        <v>0.0295454545454545</v>
      </c>
      <c r="AB21" s="46" t="n">
        <f aca="false">IF(G21=0,0,F21/G21)</f>
        <v>0.384781746031746</v>
      </c>
      <c r="AC21" s="46" t="n">
        <f aca="false">IF(G21&gt;1,F21/(G21-1),"n/a")</f>
        <v>0.769563492063492</v>
      </c>
      <c r="AD21" s="47" t="n">
        <f aca="false">moves_day*m_pallet*9.81*INDEX(Tc_mh,C21)/3600000</f>
        <v>14.62344</v>
      </c>
      <c r="AE21" s="3" t="n">
        <f aca="false">IF(AND(K21&lt;=H_max,H21&lt;=300,OR(lane_policy="Free (optimize N_C)",B21=sku_pal),OR(env_use="No",AND(I21&lt;=L_bldg,J21&lt;=W_bldg),AND(I21&lt;=W_bldg,J21&lt;=L_bldg))),1,0)</f>
        <v>0</v>
      </c>
      <c r="AF21" s="48" t="n">
        <f aca="false">IF(obj_mode="Total cost",Z21,IF(obj_mode="Shuttle cycle",O21,T21))</f>
        <v>2447056</v>
      </c>
      <c r="AG21" s="3" t="n">
        <f aca="false">IF(AE21=1,AF21*(1+A21*0.0000000001),1E+099)</f>
        <v>1E+099</v>
      </c>
      <c r="AH21" s="3" t="str">
        <f aca="false">IF(AE21=1,"",IF(K21&gt;H_max,"height",IF(AND(lane_policy&lt;&gt;"Free (optimize N_C)",B21&lt;&gt;sku_pal),"lane policy","footprint")))</f>
        <v>height</v>
      </c>
      <c r="AJ21" s="3" t="n">
        <v>15</v>
      </c>
      <c r="AK21" s="45" t="e">
        <f aca="false">IF(AE22=1,AF22,NA())</f>
        <v>#N/A</v>
      </c>
      <c r="AL21" s="45" t="e">
        <f aca="false">IF(AE42=1,AF42,NA())</f>
        <v>#N/A</v>
      </c>
      <c r="AM21" s="45" t="e">
        <f aca="false">IF(AE62=1,AF62,NA())</f>
        <v>#N/A</v>
      </c>
      <c r="AN21" s="45" t="e">
        <f aca="false">IF(AE82=1,AF82,NA())</f>
        <v>#N/A</v>
      </c>
      <c r="AO21" s="45" t="e">
        <f aca="false">IF(AE102=1,AF102,NA())</f>
        <v>#N/A</v>
      </c>
      <c r="AP21" s="45" t="e">
        <f aca="false">IF(AE122=1,AF122,NA())</f>
        <v>#N/A</v>
      </c>
      <c r="AQ21" s="45" t="e">
        <f aca="false">IF(AE142=1,AF142,NA())</f>
        <v>#N/A</v>
      </c>
      <c r="AR21" s="45" t="e">
        <f aca="false">IF(AE162=1,AF162,NA())</f>
        <v>#N/A</v>
      </c>
      <c r="AS21" s="45" t="e">
        <f aca="false">IF(AE182=1,AF182,NA())</f>
        <v>#N/A</v>
      </c>
      <c r="AT21" s="45" t="e">
        <f aca="false">IF(AE202=1,AF202,NA())</f>
        <v>#N/A</v>
      </c>
      <c r="AU21" s="45" t="e">
        <f aca="false">IF(AE222=1,AF222,NA())</f>
        <v>#N/A</v>
      </c>
    </row>
    <row r="22" customFormat="false" ht="15" hidden="false" customHeight="true" outlineLevel="0" collapsed="false">
      <c r="A22" s="3" t="n">
        <v>15</v>
      </c>
      <c r="B22" s="3" t="n">
        <f aca="false">$B$3</f>
        <v>2</v>
      </c>
      <c r="C22" s="3" t="n">
        <v>15</v>
      </c>
      <c r="D22" s="46" t="n">
        <f aca="false">INDEX(Tc_pl,C22)</f>
        <v>0.6</v>
      </c>
      <c r="E22" s="47" t="n">
        <f aca="false">INDEX(Tc_S,C22)</f>
        <v>46.3529761904762</v>
      </c>
      <c r="F22" s="34" t="n">
        <f aca="false">lam_total*D22*E22/3600</f>
        <v>0.772549603174603</v>
      </c>
      <c r="G22" s="3" t="n">
        <f aca="false">IF(F22&lt;=0.000000000001,0,MAX(ROUNDUP(F22/rho_max-0.000000001,0),IF(redund="Yes",ROUNDUP(F22/rho_fail-0.000000001,0)+1,0)))</f>
        <v>2</v>
      </c>
      <c r="H22" s="3" t="n">
        <f aca="false">MAX(1,ROUNDUP((P_req/(B22*C22)+G22*lpl)/2-0.000000001,0))</f>
        <v>82</v>
      </c>
      <c r="I22" s="47" t="n">
        <f aca="false">H22*u_w</f>
        <v>82</v>
      </c>
      <c r="J22" s="47" t="n">
        <f aca="false">2*B22*u_d+aisle_w</f>
        <v>6.5</v>
      </c>
      <c r="K22" s="47" t="n">
        <f aca="false">C22*u_h</f>
        <v>32.25</v>
      </c>
      <c r="L22" s="47" t="n">
        <f aca="false">IF(G22=0,I22,I22/(2*G22))</f>
        <v>20.5</v>
      </c>
      <c r="M22" s="34" t="n">
        <f aca="false">((IF((lane_off+(L22))&lt;=(v_sh^2/a_sh),(4/3)*(lane_off+(L22))^1.5/SQRT(a_sh),(4/3)*(v_sh^2/a_sh)^1.5/SQRT(a_sh)+((lane_off+(L22))^2-(v_sh^2/a_sh)^2)/(2*v_sh)+(v_sh/a_sh)*((lane_off+(L22))-(v_sh^2/a_sh))))-(IF((lane_off)&lt;=(v_sh^2/a_sh),(4/3)*(lane_off)^1.5/SQRT(a_sh),(4/3)*(v_sh^2/a_sh)^1.5/SQRT(a_sh)+((lane_off)^2-(v_sh^2/a_sh)^2)/(2*v_sh)+(v_sh/a_sh)*((lane_off)-(v_sh^2/a_sh)))))/(L22)</f>
        <v>11.0314303451623</v>
      </c>
      <c r="N22" s="34" t="n">
        <f aca="false">IF(((B22-1)*u_d/2*(1+f_hc)+lane_off)&lt;=0,0,IF(((B22-1)*u_d/2*(1+f_hc)+lane_off)&gt;=v_sh^2/a_sh,((B22-1)*u_d/2*(1+f_hc)+lane_off)/v_sh+v_sh/a_sh,2*SQRT(((B22-1)*u_d/2*(1+f_hc)+lane_off)/a_sh)))</f>
        <v>4.07921561087423</v>
      </c>
      <c r="O22" s="47" t="n">
        <f aca="false">2*t_sh+2*t_turn+2*M22+2*N22</f>
        <v>88.2212919120731</v>
      </c>
      <c r="P22" s="47" t="n">
        <f aca="false">SUMPRODUCT((Tc_idx&lt;=C22)*(ROUNDUP(lam_total*INDEX(Tc_P,C22,0)*O22/(3600*rho_max)-0.000000001,0)+(ROUNDUP(lam_total*INDEX(Tc_P,C22,0)*O22/(3600*rho_max)-0.000000001,0)&lt;min_sh)*(min_sh-ROUNDUP(lam_total*INDEX(Tc_P,C22,0)*O22/(3600*rho_max)-0.000000001,0))))</f>
        <v>17</v>
      </c>
      <c r="Q22" s="3" t="n">
        <f aca="false">ROUNDUP(P22-0.000000001,0)+spares</f>
        <v>19</v>
      </c>
      <c r="R22" s="45" t="n">
        <f aca="false">B22*C22*(2*H22-G22*lpl)</f>
        <v>4740</v>
      </c>
      <c r="S22" s="45" t="n">
        <f aca="false">R22*fill</f>
        <v>4029</v>
      </c>
      <c r="T22" s="45" t="n">
        <f aca="false">I22*J22</f>
        <v>533</v>
      </c>
      <c r="U22" s="45" t="n">
        <f aca="false">T22*(K22+headroom)</f>
        <v>17988.75</v>
      </c>
      <c r="V22" s="45" t="n">
        <f aca="false">G22*c_lift</f>
        <v>300000</v>
      </c>
      <c r="W22" s="45" t="n">
        <f aca="false">Q22*c_shut</f>
        <v>950000</v>
      </c>
      <c r="X22" s="45" t="n">
        <f aca="false">R22*c_pos</f>
        <v>474000</v>
      </c>
      <c r="Y22" s="45" t="n">
        <f aca="false">T22*c_m2+U22*c_m3</f>
        <v>752862.5</v>
      </c>
      <c r="Z22" s="45" t="n">
        <f aca="false">SUM(V22:Y22)</f>
        <v>2476862.5</v>
      </c>
      <c r="AA22" s="34" t="n">
        <f aca="false">B22*u_d/(H22*u_w)</f>
        <v>0.0317073170731707</v>
      </c>
      <c r="AB22" s="46" t="n">
        <f aca="false">IF(G22=0,0,F22/G22)</f>
        <v>0.386274801587302</v>
      </c>
      <c r="AC22" s="46" t="n">
        <f aca="false">IF(G22&gt;1,F22/(G22-1),"n/a")</f>
        <v>0.772549603174603</v>
      </c>
      <c r="AD22" s="47" t="n">
        <f aca="false">moves_day*m_pallet*9.81*INDEX(Tc_mh,C22)/3600000</f>
        <v>14.90466</v>
      </c>
      <c r="AE22" s="3" t="n">
        <f aca="false">IF(AND(K22&lt;=H_max,H22&lt;=300,OR(lane_policy="Free (optimize N_C)",B22=sku_pal),OR(env_use="No",AND(I22&lt;=L_bldg,J22&lt;=W_bldg),AND(I22&lt;=W_bldg,J22&lt;=L_bldg))),1,0)</f>
        <v>0</v>
      </c>
      <c r="AF22" s="48" t="n">
        <f aca="false">IF(obj_mode="Total cost",Z22,IF(obj_mode="Shuttle cycle",O22,T22))</f>
        <v>2476862.5</v>
      </c>
      <c r="AG22" s="3" t="n">
        <f aca="false">IF(AE22=1,AF22*(1+A22*0.0000000001),1E+099)</f>
        <v>1E+099</v>
      </c>
      <c r="AH22" s="3" t="str">
        <f aca="false">IF(AE22=1,"",IF(K22&gt;H_max,"height",IF(AND(lane_policy&lt;&gt;"Free (optimize N_C)",B22&lt;&gt;sku_pal),"lane policy","footprint")))</f>
        <v>height</v>
      </c>
      <c r="AJ22" s="3" t="n">
        <v>16</v>
      </c>
      <c r="AK22" s="45" t="e">
        <f aca="false">IF(AE23=1,AF23,NA())</f>
        <v>#N/A</v>
      </c>
      <c r="AL22" s="45" t="e">
        <f aca="false">IF(AE43=1,AF43,NA())</f>
        <v>#N/A</v>
      </c>
      <c r="AM22" s="45" t="e">
        <f aca="false">IF(AE63=1,AF63,NA())</f>
        <v>#N/A</v>
      </c>
      <c r="AN22" s="45" t="e">
        <f aca="false">IF(AE83=1,AF83,NA())</f>
        <v>#N/A</v>
      </c>
      <c r="AO22" s="45" t="e">
        <f aca="false">IF(AE103=1,AF103,NA())</f>
        <v>#N/A</v>
      </c>
      <c r="AP22" s="45" t="e">
        <f aca="false">IF(AE123=1,AF123,NA())</f>
        <v>#N/A</v>
      </c>
      <c r="AQ22" s="45" t="e">
        <f aca="false">IF(AE143=1,AF143,NA())</f>
        <v>#N/A</v>
      </c>
      <c r="AR22" s="45" t="e">
        <f aca="false">IF(AE163=1,AF163,NA())</f>
        <v>#N/A</v>
      </c>
      <c r="AS22" s="45" t="e">
        <f aca="false">IF(AE183=1,AF183,NA())</f>
        <v>#N/A</v>
      </c>
      <c r="AT22" s="45" t="e">
        <f aca="false">IF(AE203=1,AF203,NA())</f>
        <v>#N/A</v>
      </c>
      <c r="AU22" s="45" t="e">
        <f aca="false">IF(AE223=1,AF223,NA())</f>
        <v>#N/A</v>
      </c>
    </row>
    <row r="23" customFormat="false" ht="15" hidden="false" customHeight="true" outlineLevel="0" collapsed="false">
      <c r="A23" s="3" t="n">
        <v>16</v>
      </c>
      <c r="B23" s="3" t="n">
        <f aca="false">$B$3</f>
        <v>2</v>
      </c>
      <c r="C23" s="3" t="n">
        <v>16</v>
      </c>
      <c r="D23" s="46" t="n">
        <f aca="false">INDEX(Tc_pl,C23)</f>
        <v>0.6</v>
      </c>
      <c r="E23" s="47" t="n">
        <f aca="false">INDEX(Tc_S,C23)</f>
        <v>46.5321428571429</v>
      </c>
      <c r="F23" s="34" t="n">
        <f aca="false">lam_total*D23*E23/3600</f>
        <v>0.775535714285714</v>
      </c>
      <c r="G23" s="3" t="n">
        <f aca="false">IF(F23&lt;=0.000000000001,0,MAX(ROUNDUP(F23/rho_max-0.000000001,0),IF(redund="Yes",ROUNDUP(F23/rho_fail-0.000000001,0)+1,0)))</f>
        <v>2</v>
      </c>
      <c r="H23" s="3" t="n">
        <f aca="false">MAX(1,ROUNDUP((P_req/(B23*C23)+G23*lpl)/2-0.000000001,0))</f>
        <v>77</v>
      </c>
      <c r="I23" s="47" t="n">
        <f aca="false">H23*u_w</f>
        <v>77</v>
      </c>
      <c r="J23" s="47" t="n">
        <f aca="false">2*B23*u_d+aisle_w</f>
        <v>6.5</v>
      </c>
      <c r="K23" s="47" t="n">
        <f aca="false">C23*u_h</f>
        <v>34.4</v>
      </c>
      <c r="L23" s="47" t="n">
        <f aca="false">IF(G23=0,I23,I23/(2*G23))</f>
        <v>19.25</v>
      </c>
      <c r="M23" s="34" t="n">
        <f aca="false">((IF((lane_off+(L23))&lt;=(v_sh^2/a_sh),(4/3)*(lane_off+(L23))^1.5/SQRT(a_sh),(4/3)*(v_sh^2/a_sh)^1.5/SQRT(a_sh)+((lane_off+(L23))^2-(v_sh^2/a_sh)^2)/(2*v_sh)+(v_sh/a_sh)*((lane_off+(L23))-(v_sh^2/a_sh))))-(IF((lane_off)&lt;=(v_sh^2/a_sh),(4/3)*(lane_off)^1.5/SQRT(a_sh),(4/3)*(v_sh^2/a_sh)^1.5/SQRT(a_sh)+((lane_off)^2-(v_sh^2/a_sh)^2)/(2*v_sh)+(v_sh/a_sh)*((lane_off)-(v_sh^2/a_sh)))))/(L23)</f>
        <v>10.5837959519911</v>
      </c>
      <c r="N23" s="34" t="n">
        <f aca="false">IF(((B23-1)*u_d/2*(1+f_hc)+lane_off)&lt;=0,0,IF(((B23-1)*u_d/2*(1+f_hc)+lane_off)&gt;=v_sh^2/a_sh,((B23-1)*u_d/2*(1+f_hc)+lane_off)/v_sh+v_sh/a_sh,2*SQRT(((B23-1)*u_d/2*(1+f_hc)+lane_off)/a_sh)))</f>
        <v>4.07921561087423</v>
      </c>
      <c r="O23" s="47" t="n">
        <f aca="false">2*t_sh+2*t_turn+2*M23+2*N23</f>
        <v>87.3260231257306</v>
      </c>
      <c r="P23" s="47" t="n">
        <f aca="false">SUMPRODUCT((Tc_idx&lt;=C23)*(ROUNDUP(lam_total*INDEX(Tc_P,C23,0)*O23/(3600*rho_max)-0.000000001,0)+(ROUNDUP(lam_total*INDEX(Tc_P,C23,0)*O23/(3600*rho_max)-0.000000001,0)&lt;min_sh)*(min_sh-ROUNDUP(lam_total*INDEX(Tc_P,C23,0)*O23/(3600*rho_max)-0.000000001,0))))</f>
        <v>18</v>
      </c>
      <c r="Q23" s="3" t="n">
        <f aca="false">ROUNDUP(P23-0.000000001,0)+spares</f>
        <v>20</v>
      </c>
      <c r="R23" s="45" t="n">
        <f aca="false">B23*C23*(2*H23-G23*lpl)</f>
        <v>4736</v>
      </c>
      <c r="S23" s="45" t="n">
        <f aca="false">R23*fill</f>
        <v>4025.6</v>
      </c>
      <c r="T23" s="45" t="n">
        <f aca="false">I23*J23</f>
        <v>500.5</v>
      </c>
      <c r="U23" s="45" t="n">
        <f aca="false">T23*(K23+headroom)</f>
        <v>17967.95</v>
      </c>
      <c r="V23" s="45" t="n">
        <f aca="false">G23*c_lift</f>
        <v>300000</v>
      </c>
      <c r="W23" s="45" t="n">
        <f aca="false">Q23*c_shut</f>
        <v>1000000</v>
      </c>
      <c r="X23" s="45" t="n">
        <f aca="false">R23*c_pos</f>
        <v>473600</v>
      </c>
      <c r="Y23" s="45" t="n">
        <f aca="false">T23*c_m2+U23*c_m3</f>
        <v>739238.5</v>
      </c>
      <c r="Z23" s="45" t="n">
        <f aca="false">SUM(V23:Y23)</f>
        <v>2512838.5</v>
      </c>
      <c r="AA23" s="34" t="n">
        <f aca="false">B23*u_d/(H23*u_w)</f>
        <v>0.0337662337662338</v>
      </c>
      <c r="AB23" s="46" t="n">
        <f aca="false">IF(G23=0,0,F23/G23)</f>
        <v>0.387767857142857</v>
      </c>
      <c r="AC23" s="46" t="n">
        <f aca="false">IF(G23&gt;1,F23/(G23-1),"n/a")</f>
        <v>0.775535714285714</v>
      </c>
      <c r="AD23" s="47" t="n">
        <f aca="false">moves_day*m_pallet*9.81*INDEX(Tc_mh,C23)/3600000</f>
        <v>15.18588</v>
      </c>
      <c r="AE23" s="3" t="n">
        <f aca="false">IF(AND(K23&lt;=H_max,H23&lt;=300,OR(lane_policy="Free (optimize N_C)",B23=sku_pal),OR(env_use="No",AND(I23&lt;=L_bldg,J23&lt;=W_bldg),AND(I23&lt;=W_bldg,J23&lt;=L_bldg))),1,0)</f>
        <v>0</v>
      </c>
      <c r="AF23" s="48" t="n">
        <f aca="false">IF(obj_mode="Total cost",Z23,IF(obj_mode="Shuttle cycle",O23,T23))</f>
        <v>2512838.5</v>
      </c>
      <c r="AG23" s="3" t="n">
        <f aca="false">IF(AE23=1,AF23*(1+A23*0.0000000001),1E+099)</f>
        <v>1E+099</v>
      </c>
      <c r="AH23" s="3" t="str">
        <f aca="false">IF(AE23=1,"",IF(K23&gt;H_max,"height",IF(AND(lane_policy&lt;&gt;"Free (optimize N_C)",B23&lt;&gt;sku_pal),"lane policy","footprint")))</f>
        <v>height</v>
      </c>
      <c r="AJ23" s="3" t="n">
        <v>17</v>
      </c>
      <c r="AK23" s="45" t="e">
        <f aca="false">IF(AE24=1,AF24,NA())</f>
        <v>#N/A</v>
      </c>
      <c r="AL23" s="45" t="e">
        <f aca="false">IF(AE44=1,AF44,NA())</f>
        <v>#N/A</v>
      </c>
      <c r="AM23" s="45" t="e">
        <f aca="false">IF(AE64=1,AF64,NA())</f>
        <v>#N/A</v>
      </c>
      <c r="AN23" s="45" t="e">
        <f aca="false">IF(AE84=1,AF84,NA())</f>
        <v>#N/A</v>
      </c>
      <c r="AO23" s="45" t="e">
        <f aca="false">IF(AE104=1,AF104,NA())</f>
        <v>#N/A</v>
      </c>
      <c r="AP23" s="45" t="e">
        <f aca="false">IF(AE124=1,AF124,NA())</f>
        <v>#N/A</v>
      </c>
      <c r="AQ23" s="45" t="e">
        <f aca="false">IF(AE144=1,AF144,NA())</f>
        <v>#N/A</v>
      </c>
      <c r="AR23" s="45" t="e">
        <f aca="false">IF(AE164=1,AF164,NA())</f>
        <v>#N/A</v>
      </c>
      <c r="AS23" s="45" t="e">
        <f aca="false">IF(AE184=1,AF184,NA())</f>
        <v>#N/A</v>
      </c>
      <c r="AT23" s="45" t="e">
        <f aca="false">IF(AE204=1,AF204,NA())</f>
        <v>#N/A</v>
      </c>
      <c r="AU23" s="45" t="e">
        <f aca="false">IF(AE224=1,AF224,NA())</f>
        <v>#N/A</v>
      </c>
    </row>
    <row r="24" customFormat="false" ht="15" hidden="false" customHeight="true" outlineLevel="0" collapsed="false">
      <c r="A24" s="3" t="n">
        <v>17</v>
      </c>
      <c r="B24" s="3" t="n">
        <f aca="false">$B$3</f>
        <v>2</v>
      </c>
      <c r="C24" s="3" t="n">
        <v>17</v>
      </c>
      <c r="D24" s="46" t="n">
        <f aca="false">INDEX(Tc_pl,C24)</f>
        <v>0.6</v>
      </c>
      <c r="E24" s="47" t="n">
        <f aca="false">INDEX(Tc_S,C24)</f>
        <v>46.7113095238095</v>
      </c>
      <c r="F24" s="34" t="n">
        <f aca="false">lam_total*D24*E24/3600</f>
        <v>0.778521825396825</v>
      </c>
      <c r="G24" s="3" t="n">
        <f aca="false">IF(F24&lt;=0.000000000001,0,MAX(ROUNDUP(F24/rho_max-0.000000001,0),IF(redund="Yes",ROUNDUP(F24/rho_fail-0.000000001,0)+1,0)))</f>
        <v>2</v>
      </c>
      <c r="H24" s="3" t="n">
        <f aca="false">MAX(1,ROUNDUP((P_req/(B24*C24)+G24*lpl)/2-0.000000001,0))</f>
        <v>73</v>
      </c>
      <c r="I24" s="47" t="n">
        <f aca="false">H24*u_w</f>
        <v>73</v>
      </c>
      <c r="J24" s="47" t="n">
        <f aca="false">2*B24*u_d+aisle_w</f>
        <v>6.5</v>
      </c>
      <c r="K24" s="47" t="n">
        <f aca="false">C24*u_h</f>
        <v>36.55</v>
      </c>
      <c r="L24" s="47" t="n">
        <f aca="false">IF(G24=0,I24,I24/(2*G24))</f>
        <v>18.25</v>
      </c>
      <c r="M24" s="34" t="n">
        <f aca="false">((IF((lane_off+(L24))&lt;=(v_sh^2/a_sh),(4/3)*(lane_off+(L24))^1.5/SQRT(a_sh),(4/3)*(v_sh^2/a_sh)^1.5/SQRT(a_sh)+((lane_off+(L24))^2-(v_sh^2/a_sh)^2)/(2*v_sh)+(v_sh/a_sh)*((lane_off+(L24))-(v_sh^2/a_sh))))-(IF((lane_off)&lt;=(v_sh^2/a_sh),(4/3)*(lane_off)^1.5/SQRT(a_sh),(4/3)*(v_sh^2/a_sh)^1.5/SQRT(a_sh)+((lane_off)^2-(v_sh^2/a_sh)^2)/(2*v_sh)+(v_sh/a_sh)*((lane_off)-(v_sh^2/a_sh)))))/(L24)</f>
        <v>10.2255695070904</v>
      </c>
      <c r="N24" s="34" t="n">
        <f aca="false">IF(((B24-1)*u_d/2*(1+f_hc)+lane_off)&lt;=0,0,IF(((B24-1)*u_d/2*(1+f_hc)+lane_off)&gt;=v_sh^2/a_sh,((B24-1)*u_d/2*(1+f_hc)+lane_off)/v_sh+v_sh/a_sh,2*SQRT(((B24-1)*u_d/2*(1+f_hc)+lane_off)/a_sh)))</f>
        <v>4.07921561087423</v>
      </c>
      <c r="O24" s="47" t="n">
        <f aca="false">2*t_sh+2*t_turn+2*M24+2*N24</f>
        <v>86.6095702359292</v>
      </c>
      <c r="P24" s="47" t="n">
        <f aca="false">SUMPRODUCT((Tc_idx&lt;=C24)*(ROUNDUP(lam_total*INDEX(Tc_P,C24,0)*O24/(3600*rho_max)-0.000000001,0)+(ROUNDUP(lam_total*INDEX(Tc_P,C24,0)*O24/(3600*rho_max)-0.000000001,0)&lt;min_sh)*(min_sh-ROUNDUP(lam_total*INDEX(Tc_P,C24,0)*O24/(3600*rho_max)-0.000000001,0))))</f>
        <v>19</v>
      </c>
      <c r="Q24" s="3" t="n">
        <f aca="false">ROUNDUP(P24-0.000000001,0)+spares</f>
        <v>21</v>
      </c>
      <c r="R24" s="45" t="n">
        <f aca="false">B24*C24*(2*H24-G24*lpl)</f>
        <v>4760</v>
      </c>
      <c r="S24" s="45" t="n">
        <f aca="false">R24*fill</f>
        <v>4046</v>
      </c>
      <c r="T24" s="45" t="n">
        <f aca="false">I24*J24</f>
        <v>474.5</v>
      </c>
      <c r="U24" s="45" t="n">
        <f aca="false">T24*(K24+headroom)</f>
        <v>18054.725</v>
      </c>
      <c r="V24" s="45" t="n">
        <f aca="false">G24*c_lift</f>
        <v>300000</v>
      </c>
      <c r="W24" s="45" t="n">
        <f aca="false">Q24*c_shut</f>
        <v>1050000</v>
      </c>
      <c r="X24" s="45" t="n">
        <f aca="false">R24*c_pos</f>
        <v>476000</v>
      </c>
      <c r="Y24" s="45" t="n">
        <f aca="false">T24*c_m2+U24*c_m3</f>
        <v>731441.75</v>
      </c>
      <c r="Z24" s="45" t="n">
        <f aca="false">SUM(V24:Y24)</f>
        <v>2557441.75</v>
      </c>
      <c r="AA24" s="34" t="n">
        <f aca="false">B24*u_d/(H24*u_w)</f>
        <v>0.0356164383561644</v>
      </c>
      <c r="AB24" s="46" t="n">
        <f aca="false">IF(G24=0,0,F24/G24)</f>
        <v>0.389260912698413</v>
      </c>
      <c r="AC24" s="46" t="n">
        <f aca="false">IF(G24&gt;1,F24/(G24-1),"n/a")</f>
        <v>0.778521825396825</v>
      </c>
      <c r="AD24" s="47" t="n">
        <f aca="false">moves_day*m_pallet*9.81*INDEX(Tc_mh,C24)/3600000</f>
        <v>15.4671</v>
      </c>
      <c r="AE24" s="3" t="n">
        <f aca="false">IF(AND(K24&lt;=H_max,H24&lt;=300,OR(lane_policy="Free (optimize N_C)",B24=sku_pal),OR(env_use="No",AND(I24&lt;=L_bldg,J24&lt;=W_bldg),AND(I24&lt;=W_bldg,J24&lt;=L_bldg))),1,0)</f>
        <v>0</v>
      </c>
      <c r="AF24" s="48" t="n">
        <f aca="false">IF(obj_mode="Total cost",Z24,IF(obj_mode="Shuttle cycle",O24,T24))</f>
        <v>2557441.75</v>
      </c>
      <c r="AG24" s="3" t="n">
        <f aca="false">IF(AE24=1,AF24*(1+A24*0.0000000001),1E+099)</f>
        <v>1E+099</v>
      </c>
      <c r="AH24" s="3" t="str">
        <f aca="false">IF(AE24=1,"",IF(K24&gt;H_max,"height",IF(AND(lane_policy&lt;&gt;"Free (optimize N_C)",B24&lt;&gt;sku_pal),"lane policy","footprint")))</f>
        <v>height</v>
      </c>
      <c r="AJ24" s="3" t="n">
        <v>18</v>
      </c>
      <c r="AK24" s="45" t="e">
        <f aca="false">IF(AE25=1,AF25,NA())</f>
        <v>#N/A</v>
      </c>
      <c r="AL24" s="45" t="e">
        <f aca="false">IF(AE45=1,AF45,NA())</f>
        <v>#N/A</v>
      </c>
      <c r="AM24" s="45" t="e">
        <f aca="false">IF(AE65=1,AF65,NA())</f>
        <v>#N/A</v>
      </c>
      <c r="AN24" s="45" t="e">
        <f aca="false">IF(AE85=1,AF85,NA())</f>
        <v>#N/A</v>
      </c>
      <c r="AO24" s="45" t="e">
        <f aca="false">IF(AE105=1,AF105,NA())</f>
        <v>#N/A</v>
      </c>
      <c r="AP24" s="45" t="e">
        <f aca="false">IF(AE125=1,AF125,NA())</f>
        <v>#N/A</v>
      </c>
      <c r="AQ24" s="45" t="e">
        <f aca="false">IF(AE145=1,AF145,NA())</f>
        <v>#N/A</v>
      </c>
      <c r="AR24" s="45" t="e">
        <f aca="false">IF(AE165=1,AF165,NA())</f>
        <v>#N/A</v>
      </c>
      <c r="AS24" s="45" t="e">
        <f aca="false">IF(AE185=1,AF185,NA())</f>
        <v>#N/A</v>
      </c>
      <c r="AT24" s="45" t="e">
        <f aca="false">IF(AE205=1,AF205,NA())</f>
        <v>#N/A</v>
      </c>
      <c r="AU24" s="45" t="e">
        <f aca="false">IF(AE225=1,AF225,NA())</f>
        <v>#N/A</v>
      </c>
    </row>
    <row r="25" customFormat="false" ht="15" hidden="false" customHeight="true" outlineLevel="0" collapsed="false">
      <c r="A25" s="3" t="n">
        <v>18</v>
      </c>
      <c r="B25" s="3" t="n">
        <f aca="false">$B$3</f>
        <v>2</v>
      </c>
      <c r="C25" s="3" t="n">
        <v>18</v>
      </c>
      <c r="D25" s="46" t="n">
        <f aca="false">INDEX(Tc_pl,C25)</f>
        <v>0.6</v>
      </c>
      <c r="E25" s="47" t="n">
        <f aca="false">INDEX(Tc_S,C25)</f>
        <v>46.8904761904762</v>
      </c>
      <c r="F25" s="34" t="n">
        <f aca="false">lam_total*D25*E25/3600</f>
        <v>0.781507936507937</v>
      </c>
      <c r="G25" s="3" t="n">
        <f aca="false">IF(F25&lt;=0.000000000001,0,MAX(ROUNDUP(F25/rho_max-0.000000001,0),IF(redund="Yes",ROUNDUP(F25/rho_fail-0.000000001,0)+1,0)))</f>
        <v>2</v>
      </c>
      <c r="H25" s="3" t="n">
        <f aca="false">MAX(1,ROUNDUP((P_req/(B25*C25)+G25*lpl)/2-0.000000001,0))</f>
        <v>69</v>
      </c>
      <c r="I25" s="47" t="n">
        <f aca="false">H25*u_w</f>
        <v>69</v>
      </c>
      <c r="J25" s="47" t="n">
        <f aca="false">2*B25*u_d+aisle_w</f>
        <v>6.5</v>
      </c>
      <c r="K25" s="47" t="n">
        <f aca="false">C25*u_h</f>
        <v>38.7</v>
      </c>
      <c r="L25" s="47" t="n">
        <f aca="false">IF(G25=0,I25,I25/(2*G25))</f>
        <v>17.25</v>
      </c>
      <c r="M25" s="34" t="n">
        <f aca="false">((IF((lane_off+(L25))&lt;=(v_sh^2/a_sh),(4/3)*(lane_off+(L25))^1.5/SQRT(a_sh),(4/3)*(v_sh^2/a_sh)^1.5/SQRT(a_sh)+((lane_off+(L25))^2-(v_sh^2/a_sh)^2)/(2*v_sh)+(v_sh/a_sh)*((lane_off+(L25))-(v_sh^2/a_sh))))-(IF((lane_off)&lt;=(v_sh^2/a_sh),(4/3)*(lane_off)^1.5/SQRT(a_sh),(4/3)*(v_sh^2/a_sh)^1.5/SQRT(a_sh)+((lane_off)^2-(v_sh^2/a_sh)^2)/(2*v_sh)+(v_sh/a_sh)*((lane_off)-(v_sh^2/a_sh)))))/(L25)</f>
        <v>9.86721742882646</v>
      </c>
      <c r="N25" s="34" t="n">
        <f aca="false">IF(((B25-1)*u_d/2*(1+f_hc)+lane_off)&lt;=0,0,IF(((B25-1)*u_d/2*(1+f_hc)+lane_off)&gt;=v_sh^2/a_sh,((B25-1)*u_d/2*(1+f_hc)+lane_off)/v_sh+v_sh/a_sh,2*SQRT(((B25-1)*u_d/2*(1+f_hc)+lane_off)/a_sh)))</f>
        <v>4.07921561087423</v>
      </c>
      <c r="O25" s="47" t="n">
        <f aca="false">2*t_sh+2*t_turn+2*M25+2*N25</f>
        <v>85.8928660794014</v>
      </c>
      <c r="P25" s="47" t="n">
        <f aca="false">SUMPRODUCT((Tc_idx&lt;=C25)*(ROUNDUP(lam_total*INDEX(Tc_P,C25,0)*O25/(3600*rho_max)-0.000000001,0)+(ROUNDUP(lam_total*INDEX(Tc_P,C25,0)*O25/(3600*rho_max)-0.000000001,0)&lt;min_sh)*(min_sh-ROUNDUP(lam_total*INDEX(Tc_P,C25,0)*O25/(3600*rho_max)-0.000000001,0))))</f>
        <v>20</v>
      </c>
      <c r="Q25" s="3" t="n">
        <f aca="false">ROUNDUP(P25-0.000000001,0)+spares</f>
        <v>22</v>
      </c>
      <c r="R25" s="45" t="n">
        <f aca="false">B25*C25*(2*H25-G25*lpl)</f>
        <v>4752</v>
      </c>
      <c r="S25" s="45" t="n">
        <f aca="false">R25*fill</f>
        <v>4039.2</v>
      </c>
      <c r="T25" s="45" t="n">
        <f aca="false">I25*J25</f>
        <v>448.5</v>
      </c>
      <c r="U25" s="45" t="n">
        <f aca="false">T25*(K25+headroom)</f>
        <v>18029.7</v>
      </c>
      <c r="V25" s="45" t="n">
        <f aca="false">G25*c_lift</f>
        <v>300000</v>
      </c>
      <c r="W25" s="45" t="n">
        <f aca="false">Q25*c_shut</f>
        <v>1100000</v>
      </c>
      <c r="X25" s="45" t="n">
        <f aca="false">R25*c_pos</f>
        <v>475200</v>
      </c>
      <c r="Y25" s="45" t="n">
        <f aca="false">T25*c_m2+U25*c_m3</f>
        <v>720291</v>
      </c>
      <c r="Z25" s="45" t="n">
        <f aca="false">SUM(V25:Y25)</f>
        <v>2595491</v>
      </c>
      <c r="AA25" s="34" t="n">
        <f aca="false">B25*u_d/(H25*u_w)</f>
        <v>0.0376811594202899</v>
      </c>
      <c r="AB25" s="46" t="n">
        <f aca="false">IF(G25=0,0,F25/G25)</f>
        <v>0.390753968253968</v>
      </c>
      <c r="AC25" s="46" t="n">
        <f aca="false">IF(G25&gt;1,F25/(G25-1),"n/a")</f>
        <v>0.781507936507937</v>
      </c>
      <c r="AD25" s="47" t="n">
        <f aca="false">moves_day*m_pallet*9.81*INDEX(Tc_mh,C25)/3600000</f>
        <v>15.74832</v>
      </c>
      <c r="AE25" s="3" t="n">
        <f aca="false">IF(AND(K25&lt;=H_max,H25&lt;=300,OR(lane_policy="Free (optimize N_C)",B25=sku_pal),OR(env_use="No",AND(I25&lt;=L_bldg,J25&lt;=W_bldg),AND(I25&lt;=W_bldg,J25&lt;=L_bldg))),1,0)</f>
        <v>0</v>
      </c>
      <c r="AF25" s="48" t="n">
        <f aca="false">IF(obj_mode="Total cost",Z25,IF(obj_mode="Shuttle cycle",O25,T25))</f>
        <v>2595491</v>
      </c>
      <c r="AG25" s="3" t="n">
        <f aca="false">IF(AE25=1,AF25*(1+A25*0.0000000001),1E+099)</f>
        <v>1E+099</v>
      </c>
      <c r="AH25" s="3" t="str">
        <f aca="false">IF(AE25=1,"",IF(K25&gt;H_max,"height",IF(AND(lane_policy&lt;&gt;"Free (optimize N_C)",B25&lt;&gt;sku_pal),"lane policy","footprint")))</f>
        <v>height</v>
      </c>
      <c r="AJ25" s="3" t="n">
        <v>19</v>
      </c>
      <c r="AK25" s="45" t="e">
        <f aca="false">IF(AE26=1,AF26,NA())</f>
        <v>#N/A</v>
      </c>
      <c r="AL25" s="45" t="e">
        <f aca="false">IF(AE46=1,AF46,NA())</f>
        <v>#N/A</v>
      </c>
      <c r="AM25" s="45" t="e">
        <f aca="false">IF(AE66=1,AF66,NA())</f>
        <v>#N/A</v>
      </c>
      <c r="AN25" s="45" t="e">
        <f aca="false">IF(AE86=1,AF86,NA())</f>
        <v>#N/A</v>
      </c>
      <c r="AO25" s="45" t="e">
        <f aca="false">IF(AE106=1,AF106,NA())</f>
        <v>#N/A</v>
      </c>
      <c r="AP25" s="45" t="e">
        <f aca="false">IF(AE126=1,AF126,NA())</f>
        <v>#N/A</v>
      </c>
      <c r="AQ25" s="45" t="e">
        <f aca="false">IF(AE146=1,AF146,NA())</f>
        <v>#N/A</v>
      </c>
      <c r="AR25" s="45" t="e">
        <f aca="false">IF(AE166=1,AF166,NA())</f>
        <v>#N/A</v>
      </c>
      <c r="AS25" s="45" t="e">
        <f aca="false">IF(AE186=1,AF186,NA())</f>
        <v>#N/A</v>
      </c>
      <c r="AT25" s="45" t="e">
        <f aca="false">IF(AE206=1,AF206,NA())</f>
        <v>#N/A</v>
      </c>
      <c r="AU25" s="45" t="e">
        <f aca="false">IF(AE226=1,AF226,NA())</f>
        <v>#N/A</v>
      </c>
    </row>
    <row r="26" customFormat="false" ht="15" hidden="false" customHeight="true" outlineLevel="0" collapsed="false">
      <c r="A26" s="3" t="n">
        <v>19</v>
      </c>
      <c r="B26" s="3" t="n">
        <f aca="false">$B$3</f>
        <v>2</v>
      </c>
      <c r="C26" s="3" t="n">
        <v>19</v>
      </c>
      <c r="D26" s="46" t="n">
        <f aca="false">INDEX(Tc_pl,C26)</f>
        <v>0.6</v>
      </c>
      <c r="E26" s="47" t="n">
        <f aca="false">INDEX(Tc_S,C26)</f>
        <v>47.0696428571429</v>
      </c>
      <c r="F26" s="34" t="n">
        <f aca="false">lam_total*D26*E26/3600</f>
        <v>0.784494047619048</v>
      </c>
      <c r="G26" s="3" t="n">
        <f aca="false">IF(F26&lt;=0.000000000001,0,MAX(ROUNDUP(F26/rho_max-0.000000001,0),IF(redund="Yes",ROUNDUP(F26/rho_fail-0.000000001,0)+1,0)))</f>
        <v>2</v>
      </c>
      <c r="H26" s="3" t="n">
        <f aca="false">MAX(1,ROUNDUP((P_req/(B26*C26)+G26*lpl)/2-0.000000001,0))</f>
        <v>65</v>
      </c>
      <c r="I26" s="47" t="n">
        <f aca="false">H26*u_w</f>
        <v>65</v>
      </c>
      <c r="J26" s="47" t="n">
        <f aca="false">2*B26*u_d+aisle_w</f>
        <v>6.5</v>
      </c>
      <c r="K26" s="47" t="n">
        <f aca="false">C26*u_h</f>
        <v>40.85</v>
      </c>
      <c r="L26" s="47" t="n">
        <f aca="false">IF(G26=0,I26,I26/(2*G26))</f>
        <v>16.25</v>
      </c>
      <c r="M26" s="34" t="n">
        <f aca="false">((IF((lane_off+(L26))&lt;=(v_sh^2/a_sh),(4/3)*(lane_off+(L26))^1.5/SQRT(a_sh),(4/3)*(v_sh^2/a_sh)^1.5/SQRT(a_sh)+((lane_off+(L26))^2-(v_sh^2/a_sh)^2)/(2*v_sh)+(v_sh/a_sh)*((lane_off+(L26))-(v_sh^2/a_sh))))-(IF((lane_off)&lt;=(v_sh^2/a_sh),(4/3)*(lane_off)^1.5/SQRT(a_sh),(4/3)*(v_sh^2/a_sh)^1.5/SQRT(a_sh)+((lane_off)^2-(v_sh^2/a_sh)^2)/(2*v_sh)+(v_sh/a_sh)*((lane_off)-(v_sh^2/a_sh)))))/(L26)</f>
        <v>9.50871652334766</v>
      </c>
      <c r="N26" s="34" t="n">
        <f aca="false">IF(((B26-1)*u_d/2*(1+f_hc)+lane_off)&lt;=0,0,IF(((B26-1)*u_d/2*(1+f_hc)+lane_off)&gt;=v_sh^2/a_sh,((B26-1)*u_d/2*(1+f_hc)+lane_off)/v_sh+v_sh/a_sh,2*SQRT(((B26-1)*u_d/2*(1+f_hc)+lane_off)/a_sh)))</f>
        <v>4.07921561087423</v>
      </c>
      <c r="O26" s="47" t="n">
        <f aca="false">2*t_sh+2*t_turn+2*M26+2*N26</f>
        <v>85.1758642684438</v>
      </c>
      <c r="P26" s="47" t="n">
        <f aca="false">SUMPRODUCT((Tc_idx&lt;=C26)*(ROUNDUP(lam_total*INDEX(Tc_P,C26,0)*O26/(3600*rho_max)-0.000000001,0)+(ROUNDUP(lam_total*INDEX(Tc_P,C26,0)*O26/(3600*rho_max)-0.000000001,0)&lt;min_sh)*(min_sh-ROUNDUP(lam_total*INDEX(Tc_P,C26,0)*O26/(3600*rho_max)-0.000000001,0))))</f>
        <v>21</v>
      </c>
      <c r="Q26" s="3" t="n">
        <f aca="false">ROUNDUP(P26-0.000000001,0)+spares</f>
        <v>23</v>
      </c>
      <c r="R26" s="45" t="n">
        <f aca="false">B26*C26*(2*H26-G26*lpl)</f>
        <v>4712</v>
      </c>
      <c r="S26" s="45" t="n">
        <f aca="false">R26*fill</f>
        <v>4005.2</v>
      </c>
      <c r="T26" s="45" t="n">
        <f aca="false">I26*J26</f>
        <v>422.5</v>
      </c>
      <c r="U26" s="45" t="n">
        <f aca="false">T26*(K26+headroom)</f>
        <v>17892.875</v>
      </c>
      <c r="V26" s="45" t="n">
        <f aca="false">G26*c_lift</f>
        <v>300000</v>
      </c>
      <c r="W26" s="45" t="n">
        <f aca="false">Q26*c_shut</f>
        <v>1150000</v>
      </c>
      <c r="X26" s="45" t="n">
        <f aca="false">R26*c_pos</f>
        <v>471200</v>
      </c>
      <c r="Y26" s="45" t="n">
        <f aca="false">T26*c_m2+U26*c_m3</f>
        <v>705786.25</v>
      </c>
      <c r="Z26" s="45" t="n">
        <f aca="false">SUM(V26:Y26)</f>
        <v>2626986.25</v>
      </c>
      <c r="AA26" s="34" t="n">
        <f aca="false">B26*u_d/(H26*u_w)</f>
        <v>0.04</v>
      </c>
      <c r="AB26" s="46" t="n">
        <f aca="false">IF(G26=0,0,F26/G26)</f>
        <v>0.392247023809524</v>
      </c>
      <c r="AC26" s="46" t="n">
        <f aca="false">IF(G26&gt;1,F26/(G26-1),"n/a")</f>
        <v>0.784494047619048</v>
      </c>
      <c r="AD26" s="47" t="n">
        <f aca="false">moves_day*m_pallet*9.81*INDEX(Tc_mh,C26)/3600000</f>
        <v>16.02954</v>
      </c>
      <c r="AE26" s="3" t="n">
        <f aca="false">IF(AND(K26&lt;=H_max,H26&lt;=300,OR(lane_policy="Free (optimize N_C)",B26=sku_pal),OR(env_use="No",AND(I26&lt;=L_bldg,J26&lt;=W_bldg),AND(I26&lt;=W_bldg,J26&lt;=L_bldg))),1,0)</f>
        <v>0</v>
      </c>
      <c r="AF26" s="48" t="n">
        <f aca="false">IF(obj_mode="Total cost",Z26,IF(obj_mode="Shuttle cycle",O26,T26))</f>
        <v>2626986.25</v>
      </c>
      <c r="AG26" s="3" t="n">
        <f aca="false">IF(AE26=1,AF26*(1+A26*0.0000000001),1E+099)</f>
        <v>1E+099</v>
      </c>
      <c r="AH26" s="3" t="str">
        <f aca="false">IF(AE26=1,"",IF(K26&gt;H_max,"height",IF(AND(lane_policy&lt;&gt;"Free (optimize N_C)",B26&lt;&gt;sku_pal),"lane policy","footprint")))</f>
        <v>height</v>
      </c>
      <c r="AJ26" s="3" t="n">
        <v>20</v>
      </c>
      <c r="AK26" s="45" t="e">
        <f aca="false">IF(AE27=1,AF27,NA())</f>
        <v>#N/A</v>
      </c>
      <c r="AL26" s="45" t="e">
        <f aca="false">IF(AE47=1,AF47,NA())</f>
        <v>#N/A</v>
      </c>
      <c r="AM26" s="45" t="e">
        <f aca="false">IF(AE67=1,AF67,NA())</f>
        <v>#N/A</v>
      </c>
      <c r="AN26" s="45" t="e">
        <f aca="false">IF(AE87=1,AF87,NA())</f>
        <v>#N/A</v>
      </c>
      <c r="AO26" s="45" t="e">
        <f aca="false">IF(AE107=1,AF107,NA())</f>
        <v>#N/A</v>
      </c>
      <c r="AP26" s="45" t="e">
        <f aca="false">IF(AE127=1,AF127,NA())</f>
        <v>#N/A</v>
      </c>
      <c r="AQ26" s="45" t="e">
        <f aca="false">IF(AE147=1,AF147,NA())</f>
        <v>#N/A</v>
      </c>
      <c r="AR26" s="45" t="e">
        <f aca="false">IF(AE167=1,AF167,NA())</f>
        <v>#N/A</v>
      </c>
      <c r="AS26" s="45" t="e">
        <f aca="false">IF(AE187=1,AF187,NA())</f>
        <v>#N/A</v>
      </c>
      <c r="AT26" s="45" t="e">
        <f aca="false">IF(AE207=1,AF207,NA())</f>
        <v>#N/A</v>
      </c>
      <c r="AU26" s="45" t="e">
        <f aca="false">IF(AE227=1,AF227,NA())</f>
        <v>#N/A</v>
      </c>
    </row>
    <row r="27" customFormat="false" ht="15" hidden="false" customHeight="true" outlineLevel="0" collapsed="false">
      <c r="A27" s="3" t="n">
        <v>20</v>
      </c>
      <c r="B27" s="3" t="n">
        <f aca="false">$B$3</f>
        <v>2</v>
      </c>
      <c r="C27" s="3" t="n">
        <v>20</v>
      </c>
      <c r="D27" s="46" t="n">
        <f aca="false">INDEX(Tc_pl,C27)</f>
        <v>0.6</v>
      </c>
      <c r="E27" s="47" t="n">
        <f aca="false">INDEX(Tc_S,C27)</f>
        <v>47.2488095238095</v>
      </c>
      <c r="F27" s="34" t="n">
        <f aca="false">lam_total*D27*E27/3600</f>
        <v>0.787480158730159</v>
      </c>
      <c r="G27" s="3" t="n">
        <f aca="false">IF(F27&lt;=0.000000000001,0,MAX(ROUNDUP(F27/rho_max-0.000000001,0),IF(redund="Yes",ROUNDUP(F27/rho_fail-0.000000001,0)+1,0)))</f>
        <v>2</v>
      </c>
      <c r="H27" s="3" t="n">
        <f aca="false">MAX(1,ROUNDUP((P_req/(B27*C27)+G27*lpl)/2-0.000000001,0))</f>
        <v>62</v>
      </c>
      <c r="I27" s="47" t="n">
        <f aca="false">H27*u_w</f>
        <v>62</v>
      </c>
      <c r="J27" s="47" t="n">
        <f aca="false">2*B27*u_d+aisle_w</f>
        <v>6.5</v>
      </c>
      <c r="K27" s="47" t="n">
        <f aca="false">C27*u_h</f>
        <v>43</v>
      </c>
      <c r="L27" s="47" t="n">
        <f aca="false">IF(G27=0,I27,I27/(2*G27))</f>
        <v>15.5</v>
      </c>
      <c r="M27" s="34" t="n">
        <f aca="false">((IF((lane_off+(L27))&lt;=(v_sh^2/a_sh),(4/3)*(lane_off+(L27))^1.5/SQRT(a_sh),(4/3)*(v_sh^2/a_sh)^1.5/SQRT(a_sh)+((lane_off+(L27))^2-(v_sh^2/a_sh)^2)/(2*v_sh)+(v_sh/a_sh)*((lane_off+(L27))-(v_sh^2/a_sh))))-(IF((lane_off)&lt;=(v_sh^2/a_sh),(4/3)*(lane_off)^1.5/SQRT(a_sh),(4/3)*(v_sh^2/a_sh)^1.5/SQRT(a_sh)+((lane_off)^2-(v_sh^2/a_sh)^2)/(2*v_sh)+(v_sh/a_sh)*((lane_off)-(v_sh^2/a_sh)))))/(L27)</f>
        <v>9.2397258482101</v>
      </c>
      <c r="N27" s="34" t="n">
        <f aca="false">IF(((B27-1)*u_d/2*(1+f_hc)+lane_off)&lt;=0,0,IF(((B27-1)*u_d/2*(1+f_hc)+lane_off)&gt;=v_sh^2/a_sh,((B27-1)*u_d/2*(1+f_hc)+lane_off)/v_sh+v_sh/a_sh,2*SQRT(((B27-1)*u_d/2*(1+f_hc)+lane_off)/a_sh)))</f>
        <v>4.07921561087423</v>
      </c>
      <c r="O27" s="47" t="n">
        <f aca="false">2*t_sh+2*t_turn+2*M27+2*N27</f>
        <v>84.6378829181687</v>
      </c>
      <c r="P27" s="47" t="n">
        <f aca="false">SUMPRODUCT((Tc_idx&lt;=C27)*(ROUNDUP(lam_total*INDEX(Tc_P,C27,0)*O27/(3600*rho_max)-0.000000001,0)+(ROUNDUP(lam_total*INDEX(Tc_P,C27,0)*O27/(3600*rho_max)-0.000000001,0)&lt;min_sh)*(min_sh-ROUNDUP(lam_total*INDEX(Tc_P,C27,0)*O27/(3600*rho_max)-0.000000001,0))))</f>
        <v>22</v>
      </c>
      <c r="Q27" s="3" t="n">
        <f aca="false">ROUNDUP(P27-0.000000001,0)+spares</f>
        <v>24</v>
      </c>
      <c r="R27" s="45" t="n">
        <f aca="false">B27*C27*(2*H27-G27*lpl)</f>
        <v>4720</v>
      </c>
      <c r="S27" s="45" t="n">
        <f aca="false">R27*fill</f>
        <v>4012</v>
      </c>
      <c r="T27" s="45" t="n">
        <f aca="false">I27*J27</f>
        <v>403</v>
      </c>
      <c r="U27" s="45" t="n">
        <f aca="false">T27*(K27+headroom)</f>
        <v>17933.5</v>
      </c>
      <c r="V27" s="45" t="n">
        <f aca="false">G27*c_lift</f>
        <v>300000</v>
      </c>
      <c r="W27" s="45" t="n">
        <f aca="false">Q27*c_shut</f>
        <v>1200000</v>
      </c>
      <c r="X27" s="45" t="n">
        <f aca="false">R27*c_pos</f>
        <v>472000</v>
      </c>
      <c r="Y27" s="45" t="n">
        <f aca="false">T27*c_m2+U27*c_m3</f>
        <v>699205</v>
      </c>
      <c r="Z27" s="45" t="n">
        <f aca="false">SUM(V27:Y27)</f>
        <v>2671205</v>
      </c>
      <c r="AA27" s="34" t="n">
        <f aca="false">B27*u_d/(H27*u_w)</f>
        <v>0.0419354838709677</v>
      </c>
      <c r="AB27" s="46" t="n">
        <f aca="false">IF(G27=0,0,F27/G27)</f>
        <v>0.393740079365079</v>
      </c>
      <c r="AC27" s="46" t="n">
        <f aca="false">IF(G27&gt;1,F27/(G27-1),"n/a")</f>
        <v>0.787480158730159</v>
      </c>
      <c r="AD27" s="47" t="n">
        <f aca="false">moves_day*m_pallet*9.81*INDEX(Tc_mh,C27)/3600000</f>
        <v>16.31076</v>
      </c>
      <c r="AE27" s="3" t="n">
        <f aca="false">IF(AND(K27&lt;=H_max,H27&lt;=300,OR(lane_policy="Free (optimize N_C)",B27=sku_pal),OR(env_use="No",AND(I27&lt;=L_bldg,J27&lt;=W_bldg),AND(I27&lt;=W_bldg,J27&lt;=L_bldg))),1,0)</f>
        <v>0</v>
      </c>
      <c r="AF27" s="48" t="n">
        <f aca="false">IF(obj_mode="Total cost",Z27,IF(obj_mode="Shuttle cycle",O27,T27))</f>
        <v>2671205</v>
      </c>
      <c r="AG27" s="3" t="n">
        <f aca="false">IF(AE27=1,AF27*(1+A27*0.0000000001),1E+099)</f>
        <v>1E+099</v>
      </c>
      <c r="AH27" s="3" t="str">
        <f aca="false">IF(AE27=1,"",IF(K27&gt;H_max,"height",IF(AND(lane_policy&lt;&gt;"Free (optimize N_C)",B27&lt;&gt;sku_pal),"lane policy","footprint")))</f>
        <v>height</v>
      </c>
    </row>
    <row r="28" customFormat="false" ht="15" hidden="false" customHeight="true" outlineLevel="0" collapsed="false">
      <c r="A28" s="3" t="n">
        <v>21</v>
      </c>
      <c r="B28" s="3" t="n">
        <f aca="false">$C$3</f>
        <v>3</v>
      </c>
      <c r="C28" s="3" t="n">
        <v>1</v>
      </c>
      <c r="D28" s="46" t="n">
        <f aca="false">INDEX(Tc_pl,C28)</f>
        <v>0</v>
      </c>
      <c r="E28" s="47" t="n">
        <f aca="false">INDEX(Tc_S,C28)</f>
        <v>0</v>
      </c>
      <c r="F28" s="34" t="n">
        <f aca="false">lam_total*D28*E28/3600</f>
        <v>0</v>
      </c>
      <c r="G28" s="3" t="n">
        <f aca="false">IF(F28&lt;=0.000000000001,0,MAX(ROUNDUP(F28/rho_max-0.000000001,0),IF(redund="Yes",ROUNDUP(F28/rho_fail-0.000000001,0)+1,0)))</f>
        <v>0</v>
      </c>
      <c r="H28" s="3" t="n">
        <f aca="false">MAX(1,ROUNDUP((P_req/(B28*C28)+G28*lpl)/2-0.000000001,0))</f>
        <v>785</v>
      </c>
      <c r="I28" s="47" t="n">
        <f aca="false">H28*u_w</f>
        <v>785</v>
      </c>
      <c r="J28" s="47" t="n">
        <f aca="false">2*B28*u_d+aisle_w</f>
        <v>9.1</v>
      </c>
      <c r="K28" s="47" t="n">
        <f aca="false">C28*u_h</f>
        <v>2.15</v>
      </c>
      <c r="L28" s="47" t="n">
        <f aca="false">IF(G28=0,I28,I28/(2*G28))</f>
        <v>785</v>
      </c>
      <c r="M28" s="34" t="n">
        <f aca="false">((IF((lane_off+(L28))&lt;=(v_sh^2/a_sh),(4/3)*(lane_off+(L28))^1.5/SQRT(a_sh),(4/3)*(v_sh^2/a_sh)^1.5/SQRT(a_sh)+((lane_off+(L28))^2-(v_sh^2/a_sh)^2)/(2*v_sh)+(v_sh/a_sh)*((lane_off+(L28))-(v_sh^2/a_sh))))-(IF((lane_off)&lt;=(v_sh^2/a_sh),(4/3)*(lane_off)^1.5/SQRT(a_sh),(4/3)*(v_sh^2/a_sh)^1.5/SQRT(a_sh)+((lane_off)^2-(v_sh^2/a_sh)^2)/(2*v_sh)+(v_sh/a_sh)*((lane_off)-(v_sh^2/a_sh)))))/(L28)</f>
        <v>284.085229345684</v>
      </c>
      <c r="N28" s="34" t="n">
        <f aca="false">IF(((B28-1)*u_d/2*(1+f_hc)+lane_off)&lt;=0,0,IF(((B28-1)*u_d/2*(1+f_hc)+lane_off)&gt;=v_sh^2/a_sh,((B28-1)*u_d/2*(1+f_hc)+lane_off)/v_sh+v_sh/a_sh,2*SQRT(((B28-1)*u_d/2*(1+f_hc)+lane_off)/a_sh)))</f>
        <v>4.78330429724056</v>
      </c>
      <c r="O28" s="47" t="n">
        <f aca="false">2*t_sh+2*t_turn+2*M28+2*N28</f>
        <v>635.737067285848</v>
      </c>
      <c r="P28" s="47" t="n">
        <f aca="false">SUMPRODUCT((Tc_idx&lt;=C28)*(ROUNDUP(lam_total*INDEX(Tc_P,C28,0)*O28/(3600*rho_max)-0.000000001,0)+(ROUNDUP(lam_total*INDEX(Tc_P,C28,0)*O28/(3600*rho_max)-0.000000001,0)&lt;min_sh)*(min_sh-ROUNDUP(lam_total*INDEX(Tc_P,C28,0)*O28/(3600*rho_max)-0.000000001,0))))</f>
        <v>24</v>
      </c>
      <c r="Q28" s="3" t="n">
        <f aca="false">ROUNDUP(P28-0.000000001,0)+spares</f>
        <v>26</v>
      </c>
      <c r="R28" s="45" t="n">
        <f aca="false">B28*C28*(2*H28-G28*lpl)</f>
        <v>4710</v>
      </c>
      <c r="S28" s="45" t="n">
        <f aca="false">R28*fill</f>
        <v>4003.5</v>
      </c>
      <c r="T28" s="45" t="n">
        <f aca="false">I28*J28</f>
        <v>7143.5</v>
      </c>
      <c r="U28" s="45" t="n">
        <f aca="false">T28*(K28+headroom)</f>
        <v>26073.775</v>
      </c>
      <c r="V28" s="45" t="n">
        <f aca="false">G28*c_lift</f>
        <v>0</v>
      </c>
      <c r="W28" s="45" t="n">
        <f aca="false">Q28*c_shut</f>
        <v>1300000</v>
      </c>
      <c r="X28" s="45" t="n">
        <f aca="false">R28*c_pos</f>
        <v>471000</v>
      </c>
      <c r="Y28" s="45" t="n">
        <f aca="false">T28*c_m2+U28*c_m3</f>
        <v>3639613.25</v>
      </c>
      <c r="Z28" s="45" t="n">
        <f aca="false">SUM(V28:Y28)</f>
        <v>5410613.25</v>
      </c>
      <c r="AA28" s="34" t="n">
        <f aca="false">B28*u_d/(H28*u_w)</f>
        <v>0.00496815286624204</v>
      </c>
      <c r="AB28" s="46" t="n">
        <f aca="false">IF(G28=0,0,F28/G28)</f>
        <v>0</v>
      </c>
      <c r="AC28" s="46" t="str">
        <f aca="false">IF(G28&gt;1,F28/(G28-1),"n/a")</f>
        <v>n/a</v>
      </c>
      <c r="AD28" s="47" t="n">
        <f aca="false">moves_day*m_pallet*9.81*INDEX(Tc_mh,C28)/3600000</f>
        <v>0</v>
      </c>
      <c r="AE28" s="3" t="n">
        <f aca="false">IF(AND(K28&lt;=H_max,H28&lt;=300,OR(lane_policy="Free (optimize N_C)",B28=sku_pal),OR(env_use="No",AND(I28&lt;=L_bldg,J28&lt;=W_bldg),AND(I28&lt;=W_bldg,J28&lt;=L_bldg))),1,0)</f>
        <v>0</v>
      </c>
      <c r="AF28" s="48" t="n">
        <f aca="false">IF(obj_mode="Total cost",Z28,IF(obj_mode="Shuttle cycle",O28,T28))</f>
        <v>5410613.25</v>
      </c>
      <c r="AG28" s="3" t="n">
        <f aca="false">IF(AE28=1,AF28*(1+A28*0.0000000001),1E+099)</f>
        <v>1E+099</v>
      </c>
      <c r="AH28" s="3" t="str">
        <f aca="false">IF(AE28=1,"",IF(K28&gt;H_max,"height",IF(AND(lane_policy&lt;&gt;"Free (optimize N_C)",B28&lt;&gt;sku_pal),"lane policy","footprint")))</f>
        <v>footprint</v>
      </c>
    </row>
    <row r="29" customFormat="false" ht="15" hidden="false" customHeight="true" outlineLevel="0" collapsed="false">
      <c r="A29" s="3" t="n">
        <v>22</v>
      </c>
      <c r="B29" s="3" t="n">
        <f aca="false">$C$3</f>
        <v>3</v>
      </c>
      <c r="C29" s="3" t="n">
        <v>2</v>
      </c>
      <c r="D29" s="46" t="n">
        <f aca="false">INDEX(Tc_pl,C29)</f>
        <v>0.5</v>
      </c>
      <c r="E29" s="47" t="n">
        <f aca="false">INDEX(Tc_S,C29)</f>
        <v>41.1571428571429</v>
      </c>
      <c r="F29" s="34" t="n">
        <f aca="false">lam_total*D29*E29/3600</f>
        <v>0.571626984126984</v>
      </c>
      <c r="G29" s="3" t="n">
        <f aca="false">IF(F29&lt;=0.000000000001,0,MAX(ROUNDUP(F29/rho_max-0.000000001,0),IF(redund="Yes",ROUNDUP(F29/rho_fail-0.000000001,0)+1,0)))</f>
        <v>2</v>
      </c>
      <c r="H29" s="3" t="n">
        <f aca="false">MAX(1,ROUNDUP((P_req/(B29*C29)+G29*lpl)/2-0.000000001,0))</f>
        <v>396</v>
      </c>
      <c r="I29" s="47" t="n">
        <f aca="false">H29*u_w</f>
        <v>396</v>
      </c>
      <c r="J29" s="47" t="n">
        <f aca="false">2*B29*u_d+aisle_w</f>
        <v>9.1</v>
      </c>
      <c r="K29" s="47" t="n">
        <f aca="false">C29*u_h</f>
        <v>4.3</v>
      </c>
      <c r="L29" s="47" t="n">
        <f aca="false">IF(G29=0,I29,I29/(2*G29))</f>
        <v>99</v>
      </c>
      <c r="M29" s="34" t="n">
        <f aca="false">((IF((lane_off+(L29))&lt;=(v_sh^2/a_sh),(4/3)*(lane_off+(L29))^1.5/SQRT(a_sh),(4/3)*(v_sh^2/a_sh)^1.5/SQRT(a_sh)+((lane_off+(L29))^2-(v_sh^2/a_sh)^2)/(2*v_sh)+(v_sh/a_sh)*((lane_off+(L29))-(v_sh^2/a_sh))))-(IF((lane_off)&lt;=(v_sh^2/a_sh),(4/3)*(lane_off)^1.5/SQRT(a_sh),(4/3)*(v_sh^2/a_sh)^1.5/SQRT(a_sh)+((lane_off)^2-(v_sh^2/a_sh)^2)/(2*v_sh)+(v_sh/a_sh)*((lane_off)-(v_sh^2/a_sh)))))/(L29)</f>
        <v>39.081869054157</v>
      </c>
      <c r="N29" s="34" t="n">
        <f aca="false">IF(((B29-1)*u_d/2*(1+f_hc)+lane_off)&lt;=0,0,IF(((B29-1)*u_d/2*(1+f_hc)+lane_off)&gt;=v_sh^2/a_sh,((B29-1)*u_d/2*(1+f_hc)+lane_off)/v_sh+v_sh/a_sh,2*SQRT(((B29-1)*u_d/2*(1+f_hc)+lane_off)/a_sh)))</f>
        <v>4.78330429724056</v>
      </c>
      <c r="O29" s="47" t="n">
        <f aca="false">2*t_sh+2*t_turn+2*M29+2*N29</f>
        <v>145.730346702795</v>
      </c>
      <c r="P29" s="47" t="n">
        <f aca="false">SUMPRODUCT((Tc_idx&lt;=C29)*(ROUNDUP(lam_total*INDEX(Tc_P,C29,0)*O29/(3600*rho_max)-0.000000001,0)+(ROUNDUP(lam_total*INDEX(Tc_P,C29,0)*O29/(3600*rho_max)-0.000000001,0)&lt;min_sh)*(min_sh-ROUNDUP(lam_total*INDEX(Tc_P,C29,0)*O29/(3600*rho_max)-0.000000001,0))))</f>
        <v>6</v>
      </c>
      <c r="Q29" s="3" t="n">
        <f aca="false">ROUNDUP(P29-0.000000001,0)+spares</f>
        <v>8</v>
      </c>
      <c r="R29" s="45" t="n">
        <f aca="false">B29*C29*(2*H29-G29*lpl)</f>
        <v>4716</v>
      </c>
      <c r="S29" s="45" t="n">
        <f aca="false">R29*fill</f>
        <v>4008.6</v>
      </c>
      <c r="T29" s="45" t="n">
        <f aca="false">I29*J29</f>
        <v>3603.6</v>
      </c>
      <c r="U29" s="45" t="n">
        <f aca="false">T29*(K29+headroom)</f>
        <v>20900.88</v>
      </c>
      <c r="V29" s="45" t="n">
        <f aca="false">G29*c_lift</f>
        <v>300000</v>
      </c>
      <c r="W29" s="45" t="n">
        <f aca="false">Q29*c_shut</f>
        <v>400000</v>
      </c>
      <c r="X29" s="45" t="n">
        <f aca="false">R29*c_pos</f>
        <v>471600</v>
      </c>
      <c r="Y29" s="45" t="n">
        <f aca="false">T29*c_m2+U29*c_m3</f>
        <v>2068466.4</v>
      </c>
      <c r="Z29" s="45" t="n">
        <f aca="false">SUM(V29:Y29)</f>
        <v>3240066.4</v>
      </c>
      <c r="AA29" s="34" t="n">
        <f aca="false">B29*u_d/(H29*u_w)</f>
        <v>0.00984848484848485</v>
      </c>
      <c r="AB29" s="46" t="n">
        <f aca="false">IF(G29=0,0,F29/G29)</f>
        <v>0.285813492063492</v>
      </c>
      <c r="AC29" s="46" t="n">
        <f aca="false">IF(G29&gt;1,F29/(G29-1),"n/a")</f>
        <v>0.571626984126984</v>
      </c>
      <c r="AD29" s="47" t="n">
        <f aca="false">moves_day*m_pallet*9.81*INDEX(Tc_mh,C29)/3600000</f>
        <v>5.6244</v>
      </c>
      <c r="AE29" s="3" t="n">
        <f aca="false">IF(AND(K29&lt;=H_max,H29&lt;=300,OR(lane_policy="Free (optimize N_C)",B29=sku_pal),OR(env_use="No",AND(I29&lt;=L_bldg,J29&lt;=W_bldg),AND(I29&lt;=W_bldg,J29&lt;=L_bldg))),1,0)</f>
        <v>0</v>
      </c>
      <c r="AF29" s="48" t="n">
        <f aca="false">IF(obj_mode="Total cost",Z29,IF(obj_mode="Shuttle cycle",O29,T29))</f>
        <v>3240066.4</v>
      </c>
      <c r="AG29" s="3" t="n">
        <f aca="false">IF(AE29=1,AF29*(1+A29*0.0000000001),1E+099)</f>
        <v>1E+099</v>
      </c>
      <c r="AH29" s="3" t="str">
        <f aca="false">IF(AE29=1,"",IF(K29&gt;H_max,"height",IF(AND(lane_policy&lt;&gt;"Free (optimize N_C)",B29&lt;&gt;sku_pal),"lane policy","footprint")))</f>
        <v>footprint</v>
      </c>
    </row>
    <row r="30" customFormat="false" ht="15" hidden="false" customHeight="true" outlineLevel="0" collapsed="false">
      <c r="A30" s="3" t="n">
        <v>23</v>
      </c>
      <c r="B30" s="3" t="n">
        <f aca="false">$C$3</f>
        <v>3</v>
      </c>
      <c r="C30" s="3" t="n">
        <v>3</v>
      </c>
      <c r="D30" s="46" t="n">
        <f aca="false">INDEX(Tc_pl,C30)</f>
        <v>0.529411764705882</v>
      </c>
      <c r="E30" s="47" t="n">
        <f aca="false">INDEX(Tc_S,C30)</f>
        <v>41.6349206349206</v>
      </c>
      <c r="F30" s="34" t="n">
        <f aca="false">lam_total*D30*E30/3600</f>
        <v>0.612278244631186</v>
      </c>
      <c r="G30" s="3" t="n">
        <f aca="false">IF(F30&lt;=0.000000000001,0,MAX(ROUNDUP(F30/rho_max-0.000000001,0),IF(redund="Yes",ROUNDUP(F30/rho_fail-0.000000001,0)+1,0)))</f>
        <v>2</v>
      </c>
      <c r="H30" s="3" t="n">
        <f aca="false">MAX(1,ROUNDUP((P_req/(B30*C30)+G30*lpl)/2-0.000000001,0))</f>
        <v>265</v>
      </c>
      <c r="I30" s="47" t="n">
        <f aca="false">H30*u_w</f>
        <v>265</v>
      </c>
      <c r="J30" s="47" t="n">
        <f aca="false">2*B30*u_d+aisle_w</f>
        <v>9.1</v>
      </c>
      <c r="K30" s="47" t="n">
        <f aca="false">C30*u_h</f>
        <v>6.45</v>
      </c>
      <c r="L30" s="47" t="n">
        <f aca="false">IF(G30=0,I30,I30/(2*G30))</f>
        <v>66.25</v>
      </c>
      <c r="M30" s="34" t="n">
        <f aca="false">((IF((lane_off+(L30))&lt;=(v_sh^2/a_sh),(4/3)*(lane_off+(L30))^1.5/SQRT(a_sh),(4/3)*(v_sh^2/a_sh)^1.5/SQRT(a_sh)+((lane_off+(L30))^2-(v_sh^2/a_sh)^2)/(2*v_sh)+(v_sh/a_sh)*((lane_off+(L30))-(v_sh^2/a_sh))))-(IF((lane_off)&lt;=(v_sh^2/a_sh),(4/3)*(lane_off)^1.5/SQRT(a_sh),(4/3)*(v_sh^2/a_sh)^1.5/SQRT(a_sh)+((lane_off)^2-(v_sh^2/a_sh)^2)/(2*v_sh)+(v_sh/a_sh)*((lane_off)-(v_sh^2/a_sh)))))/(L30)</f>
        <v>27.3835396324114</v>
      </c>
      <c r="N30" s="34" t="n">
        <f aca="false">IF(((B30-1)*u_d/2*(1+f_hc)+lane_off)&lt;=0,0,IF(((B30-1)*u_d/2*(1+f_hc)+lane_off)&gt;=v_sh^2/a_sh,((B30-1)*u_d/2*(1+f_hc)+lane_off)/v_sh+v_sh/a_sh,2*SQRT(((B30-1)*u_d/2*(1+f_hc)+lane_off)/a_sh)))</f>
        <v>4.78330429724056</v>
      </c>
      <c r="O30" s="47" t="n">
        <f aca="false">2*t_sh+2*t_turn+2*M30+2*N30</f>
        <v>122.333687859304</v>
      </c>
      <c r="P30" s="47" t="n">
        <f aca="false">SUMPRODUCT((Tc_idx&lt;=C30)*(ROUNDUP(lam_total*INDEX(Tc_P,C30,0)*O30/(3600*rho_max)-0.000000001,0)+(ROUNDUP(lam_total*INDEX(Tc_P,C30,0)*O30/(3600*rho_max)-0.000000001,0)&lt;min_sh)*(min_sh-ROUNDUP(lam_total*INDEX(Tc_P,C30,0)*O30/(3600*rho_max)-0.000000001,0))))</f>
        <v>7</v>
      </c>
      <c r="Q30" s="3" t="n">
        <f aca="false">ROUNDUP(P30-0.000000001,0)+spares</f>
        <v>9</v>
      </c>
      <c r="R30" s="45" t="n">
        <f aca="false">B30*C30*(2*H30-G30*lpl)</f>
        <v>4716</v>
      </c>
      <c r="S30" s="45" t="n">
        <f aca="false">R30*fill</f>
        <v>4008.6</v>
      </c>
      <c r="T30" s="45" t="n">
        <f aca="false">I30*J30</f>
        <v>2411.5</v>
      </c>
      <c r="U30" s="45" t="n">
        <f aca="false">T30*(K30+headroom)</f>
        <v>19171.425</v>
      </c>
      <c r="V30" s="45" t="n">
        <f aca="false">G30*c_lift</f>
        <v>300000</v>
      </c>
      <c r="W30" s="45" t="n">
        <f aca="false">Q30*c_shut</f>
        <v>450000</v>
      </c>
      <c r="X30" s="45" t="n">
        <f aca="false">R30*c_pos</f>
        <v>471600</v>
      </c>
      <c r="Y30" s="45" t="n">
        <f aca="false">T30*c_m2+U30*c_m3</f>
        <v>1539742.75</v>
      </c>
      <c r="Z30" s="45" t="n">
        <f aca="false">SUM(V30:Y30)</f>
        <v>2761342.75</v>
      </c>
      <c r="AA30" s="34" t="n">
        <f aca="false">B30*u_d/(H30*u_w)</f>
        <v>0.0147169811320755</v>
      </c>
      <c r="AB30" s="46" t="n">
        <f aca="false">IF(G30=0,0,F30/G30)</f>
        <v>0.306139122315593</v>
      </c>
      <c r="AC30" s="46" t="n">
        <f aca="false">IF(G30&gt;1,F30/(G30-1),"n/a")</f>
        <v>0.612278244631186</v>
      </c>
      <c r="AD30" s="47" t="n">
        <f aca="false">moves_day*m_pallet*9.81*INDEX(Tc_mh,C30)/3600000</f>
        <v>6.61694117647059</v>
      </c>
      <c r="AE30" s="3" t="n">
        <f aca="false">IF(AND(K30&lt;=H_max,H30&lt;=300,OR(lane_policy="Free (optimize N_C)",B30=sku_pal),OR(env_use="No",AND(I30&lt;=L_bldg,J30&lt;=W_bldg),AND(I30&lt;=W_bldg,J30&lt;=L_bldg))),1,0)</f>
        <v>0</v>
      </c>
      <c r="AF30" s="48" t="n">
        <f aca="false">IF(obj_mode="Total cost",Z30,IF(obj_mode="Shuttle cycle",O30,T30))</f>
        <v>2761342.75</v>
      </c>
      <c r="AG30" s="3" t="n">
        <f aca="false">IF(AE30=1,AF30*(1+A30*0.0000000001),1E+099)</f>
        <v>1E+099</v>
      </c>
      <c r="AH30" s="3" t="str">
        <f aca="false">IF(AE30=1,"",IF(K30&gt;H_max,"height",IF(AND(lane_policy&lt;&gt;"Free (optimize N_C)",B30&lt;&gt;sku_pal),"lane policy","footprint")))</f>
        <v>footprint</v>
      </c>
    </row>
    <row r="31" customFormat="false" ht="15" hidden="false" customHeight="true" outlineLevel="0" collapsed="false">
      <c r="A31" s="3" t="n">
        <v>24</v>
      </c>
      <c r="B31" s="3" t="n">
        <f aca="false">$C$3</f>
        <v>3</v>
      </c>
      <c r="C31" s="3" t="n">
        <v>4</v>
      </c>
      <c r="D31" s="46" t="n">
        <f aca="false">INDEX(Tc_pl,C31)</f>
        <v>0.555555555555556</v>
      </c>
      <c r="E31" s="47" t="n">
        <f aca="false">INDEX(Tc_S,C31)</f>
        <v>42.4471428571429</v>
      </c>
      <c r="F31" s="34" t="n">
        <f aca="false">lam_total*D31*E31/3600</f>
        <v>0.655048500881834</v>
      </c>
      <c r="G31" s="3" t="n">
        <f aca="false">IF(F31&lt;=0.000000000001,0,MAX(ROUNDUP(F31/rho_max-0.000000001,0),IF(redund="Yes",ROUNDUP(F31/rho_fail-0.000000001,0)+1,0)))</f>
        <v>2</v>
      </c>
      <c r="H31" s="3" t="n">
        <f aca="false">MAX(1,ROUNDUP((P_req/(B31*C31)+G31*lpl)/2-0.000000001,0))</f>
        <v>200</v>
      </c>
      <c r="I31" s="47" t="n">
        <f aca="false">H31*u_w</f>
        <v>200</v>
      </c>
      <c r="J31" s="47" t="n">
        <f aca="false">2*B31*u_d+aisle_w</f>
        <v>9.1</v>
      </c>
      <c r="K31" s="47" t="n">
        <f aca="false">C31*u_h</f>
        <v>8.6</v>
      </c>
      <c r="L31" s="47" t="n">
        <f aca="false">IF(G31=0,I31,I31/(2*G31))</f>
        <v>50</v>
      </c>
      <c r="M31" s="34" t="n">
        <f aca="false">((IF((lane_off+(L31))&lt;=(v_sh^2/a_sh),(4/3)*(lane_off+(L31))^1.5/SQRT(a_sh),(4/3)*(v_sh^2/a_sh)^1.5/SQRT(a_sh)+((lane_off+(L31))^2-(v_sh^2/a_sh)^2)/(2*v_sh)+(v_sh/a_sh)*((lane_off+(L31))-(v_sh^2/a_sh))))-(IF((lane_off)&lt;=(v_sh^2/a_sh),(4/3)*(lane_off)^1.5/SQRT(a_sh),(4/3)*(v_sh^2/a_sh)^1.5/SQRT(a_sh)+((lane_off)^2-(v_sh^2/a_sh)^2)/(2*v_sh)+(v_sh/a_sh)*((lane_off)-(v_sh^2/a_sh)))))/(L31)</f>
        <v>21.5781007272308</v>
      </c>
      <c r="N31" s="34" t="n">
        <f aca="false">IF(((B31-1)*u_d/2*(1+f_hc)+lane_off)&lt;=0,0,IF(((B31-1)*u_d/2*(1+f_hc)+lane_off)&gt;=v_sh^2/a_sh,((B31-1)*u_d/2*(1+f_hc)+lane_off)/v_sh+v_sh/a_sh,2*SQRT(((B31-1)*u_d/2*(1+f_hc)+lane_off)/a_sh)))</f>
        <v>4.78330429724056</v>
      </c>
      <c r="O31" s="47" t="n">
        <f aca="false">2*t_sh+2*t_turn+2*M31+2*N31</f>
        <v>110.722810048943</v>
      </c>
      <c r="P31" s="47" t="n">
        <f aca="false">SUMPRODUCT((Tc_idx&lt;=C31)*(ROUNDUP(lam_total*INDEX(Tc_P,C31,0)*O31/(3600*rho_max)-0.000000001,0)+(ROUNDUP(lam_total*INDEX(Tc_P,C31,0)*O31/(3600*rho_max)-0.000000001,0)&lt;min_sh)*(min_sh-ROUNDUP(lam_total*INDEX(Tc_P,C31,0)*O31/(3600*rho_max)-0.000000001,0))))</f>
        <v>6</v>
      </c>
      <c r="Q31" s="3" t="n">
        <f aca="false">ROUNDUP(P31-0.000000001,0)+spares</f>
        <v>8</v>
      </c>
      <c r="R31" s="45" t="n">
        <f aca="false">B31*C31*(2*H31-G31*lpl)</f>
        <v>4728</v>
      </c>
      <c r="S31" s="45" t="n">
        <f aca="false">R31*fill</f>
        <v>4018.8</v>
      </c>
      <c r="T31" s="45" t="n">
        <f aca="false">I31*J31</f>
        <v>1820</v>
      </c>
      <c r="U31" s="45" t="n">
        <f aca="false">T31*(K31+headroom)</f>
        <v>18382</v>
      </c>
      <c r="V31" s="45" t="n">
        <f aca="false">G31*c_lift</f>
        <v>300000</v>
      </c>
      <c r="W31" s="45" t="n">
        <f aca="false">Q31*c_shut</f>
        <v>400000</v>
      </c>
      <c r="X31" s="45" t="n">
        <f aca="false">R31*c_pos</f>
        <v>472800</v>
      </c>
      <c r="Y31" s="45" t="n">
        <f aca="false">T31*c_m2+U31*c_m3</f>
        <v>1279460</v>
      </c>
      <c r="Z31" s="45" t="n">
        <f aca="false">SUM(V31:Y31)</f>
        <v>2452260</v>
      </c>
      <c r="AA31" s="34" t="n">
        <f aca="false">B31*u_d/(H31*u_w)</f>
        <v>0.0195</v>
      </c>
      <c r="AB31" s="46" t="n">
        <f aca="false">IF(G31=0,0,F31/G31)</f>
        <v>0.327524250440917</v>
      </c>
      <c r="AC31" s="46" t="n">
        <f aca="false">IF(G31&gt;1,F31/(G31-1),"n/a")</f>
        <v>0.655048500881834</v>
      </c>
      <c r="AD31" s="47" t="n">
        <f aca="false">moves_day*m_pallet*9.81*INDEX(Tc_mh,C31)/3600000</f>
        <v>8.12413333333333</v>
      </c>
      <c r="AE31" s="3" t="n">
        <f aca="false">IF(AND(K31&lt;=H_max,H31&lt;=300,OR(lane_policy="Free (optimize N_C)",B31=sku_pal),OR(env_use="No",AND(I31&lt;=L_bldg,J31&lt;=W_bldg),AND(I31&lt;=W_bldg,J31&lt;=L_bldg))),1,0)</f>
        <v>0</v>
      </c>
      <c r="AF31" s="48" t="n">
        <f aca="false">IF(obj_mode="Total cost",Z31,IF(obj_mode="Shuttle cycle",O31,T31))</f>
        <v>2452260</v>
      </c>
      <c r="AG31" s="3" t="n">
        <f aca="false">IF(AE31=1,AF31*(1+A31*0.0000000001),1E+099)</f>
        <v>1E+099</v>
      </c>
      <c r="AH31" s="3" t="str">
        <f aca="false">IF(AE31=1,"",IF(K31&gt;H_max,"height",IF(AND(lane_policy&lt;&gt;"Free (optimize N_C)",B31&lt;&gt;sku_pal),"lane policy","footprint")))</f>
        <v>footprint</v>
      </c>
    </row>
    <row r="32" customFormat="false" ht="15" hidden="false" customHeight="true" outlineLevel="0" collapsed="false">
      <c r="A32" s="3" t="n">
        <v>25</v>
      </c>
      <c r="B32" s="3" t="n">
        <f aca="false">$C$3</f>
        <v>3</v>
      </c>
      <c r="C32" s="3" t="n">
        <v>5</v>
      </c>
      <c r="D32" s="46" t="n">
        <f aca="false">INDEX(Tc_pl,C32)</f>
        <v>0.578947368421053</v>
      </c>
      <c r="E32" s="47" t="n">
        <f aca="false">INDEX(Tc_S,C32)</f>
        <v>43.5025974025974</v>
      </c>
      <c r="F32" s="34" t="n">
        <f aca="false">lam_total*D32*E32/3600</f>
        <v>0.699603174603175</v>
      </c>
      <c r="G32" s="3" t="n">
        <f aca="false">IF(F32&lt;=0.000000000001,0,MAX(ROUNDUP(F32/rho_max-0.000000001,0),IF(redund="Yes",ROUNDUP(F32/rho_fail-0.000000001,0)+1,0)))</f>
        <v>2</v>
      </c>
      <c r="H32" s="3" t="n">
        <f aca="false">MAX(1,ROUNDUP((P_req/(B32*C32)+G32*lpl)/2-0.000000001,0))</f>
        <v>160</v>
      </c>
      <c r="I32" s="47" t="n">
        <f aca="false">H32*u_w</f>
        <v>160</v>
      </c>
      <c r="J32" s="47" t="n">
        <f aca="false">2*B32*u_d+aisle_w</f>
        <v>9.1</v>
      </c>
      <c r="K32" s="47" t="n">
        <f aca="false">C32*u_h</f>
        <v>10.75</v>
      </c>
      <c r="L32" s="47" t="n">
        <f aca="false">IF(G32=0,I32,I32/(2*G32))</f>
        <v>40</v>
      </c>
      <c r="M32" s="34" t="n">
        <f aca="false">((IF((lane_off+(L32))&lt;=(v_sh^2/a_sh),(4/3)*(lane_off+(L32))^1.5/SQRT(a_sh),(4/3)*(v_sh^2/a_sh)^1.5/SQRT(a_sh)+((lane_off+(L32))^2-(v_sh^2/a_sh)^2)/(2*v_sh)+(v_sh/a_sh)*((lane_off+(L32))-(v_sh^2/a_sh))))-(IF((lane_off)&lt;=(v_sh^2/a_sh),(4/3)*(lane_off)^1.5/SQRT(a_sh),(4/3)*(v_sh^2/a_sh)^1.5/SQRT(a_sh)+((lane_off)^2-(v_sh^2/a_sh)^2)/(2*v_sh)+(v_sh/a_sh)*((lane_off)-(v_sh^2/a_sh)))))/(L32)</f>
        <v>18.0047687661814</v>
      </c>
      <c r="N32" s="34" t="n">
        <f aca="false">IF(((B32-1)*u_d/2*(1+f_hc)+lane_off)&lt;=0,0,IF(((B32-1)*u_d/2*(1+f_hc)+lane_off)&gt;=v_sh^2/a_sh,((B32-1)*u_d/2*(1+f_hc)+lane_off)/v_sh+v_sh/a_sh,2*SQRT(((B32-1)*u_d/2*(1+f_hc)+lane_off)/a_sh)))</f>
        <v>4.78330429724056</v>
      </c>
      <c r="O32" s="47" t="n">
        <f aca="false">2*t_sh+2*t_turn+2*M32+2*N32</f>
        <v>103.576146126844</v>
      </c>
      <c r="P32" s="47" t="n">
        <f aca="false">SUMPRODUCT((Tc_idx&lt;=C32)*(ROUNDUP(lam_total*INDEX(Tc_P,C32,0)*O32/(3600*rho_max)-0.000000001,0)+(ROUNDUP(lam_total*INDEX(Tc_P,C32,0)*O32/(3600*rho_max)-0.000000001,0)&lt;min_sh)*(min_sh-ROUNDUP(lam_total*INDEX(Tc_P,C32,0)*O32/(3600*rho_max)-0.000000001,0))))</f>
        <v>7</v>
      </c>
      <c r="Q32" s="3" t="n">
        <f aca="false">ROUNDUP(P32-0.000000001,0)+spares</f>
        <v>9</v>
      </c>
      <c r="R32" s="45" t="n">
        <f aca="false">B32*C32*(2*H32-G32*lpl)</f>
        <v>4710</v>
      </c>
      <c r="S32" s="45" t="n">
        <f aca="false">R32*fill</f>
        <v>4003.5</v>
      </c>
      <c r="T32" s="45" t="n">
        <f aca="false">I32*J32</f>
        <v>1456</v>
      </c>
      <c r="U32" s="45" t="n">
        <f aca="false">T32*(K32+headroom)</f>
        <v>17836</v>
      </c>
      <c r="V32" s="45" t="n">
        <f aca="false">G32*c_lift</f>
        <v>300000</v>
      </c>
      <c r="W32" s="45" t="n">
        <f aca="false">Q32*c_shut</f>
        <v>450000</v>
      </c>
      <c r="X32" s="45" t="n">
        <f aca="false">R32*c_pos</f>
        <v>471000</v>
      </c>
      <c r="Y32" s="45" t="n">
        <f aca="false">T32*c_m2+U32*c_m3</f>
        <v>1117480</v>
      </c>
      <c r="Z32" s="45" t="n">
        <f aca="false">SUM(V32:Y32)</f>
        <v>2338480</v>
      </c>
      <c r="AA32" s="34" t="n">
        <f aca="false">B32*u_d/(H32*u_w)</f>
        <v>0.024375</v>
      </c>
      <c r="AB32" s="46" t="n">
        <f aca="false">IF(G32=0,0,F32/G32)</f>
        <v>0.349801587301587</v>
      </c>
      <c r="AC32" s="46" t="n">
        <f aca="false">IF(G32&gt;1,F32/(G32-1),"n/a")</f>
        <v>0.699603174603175</v>
      </c>
      <c r="AD32" s="47" t="n">
        <f aca="false">moves_day*m_pallet*9.81*INDEX(Tc_mh,C32)/3600000</f>
        <v>10.0647157894737</v>
      </c>
      <c r="AE32" s="3" t="n">
        <f aca="false">IF(AND(K32&lt;=H_max,H32&lt;=300,OR(lane_policy="Free (optimize N_C)",B32=sku_pal),OR(env_use="No",AND(I32&lt;=L_bldg,J32&lt;=W_bldg),AND(I32&lt;=W_bldg,J32&lt;=L_bldg))),1,0)</f>
        <v>0</v>
      </c>
      <c r="AF32" s="48" t="n">
        <f aca="false">IF(obj_mode="Total cost",Z32,IF(obj_mode="Shuttle cycle",O32,T32))</f>
        <v>2338480</v>
      </c>
      <c r="AG32" s="3" t="n">
        <f aca="false">IF(AE32=1,AF32*(1+A32*0.0000000001),1E+099)</f>
        <v>1E+099</v>
      </c>
      <c r="AH32" s="3" t="str">
        <f aca="false">IF(AE32=1,"",IF(K32&gt;H_max,"height",IF(AND(lane_policy&lt;&gt;"Free (optimize N_C)",B32&lt;&gt;sku_pal),"lane policy","footprint")))</f>
        <v>footprint</v>
      </c>
    </row>
    <row r="33" customFormat="false" ht="15" hidden="false" customHeight="true" outlineLevel="0" collapsed="false">
      <c r="A33" s="3" t="n">
        <v>26</v>
      </c>
      <c r="B33" s="3" t="n">
        <f aca="false">$C$3</f>
        <v>3</v>
      </c>
      <c r="C33" s="3" t="n">
        <v>6</v>
      </c>
      <c r="D33" s="46" t="n">
        <f aca="false">INDEX(Tc_pl,C33)</f>
        <v>0.6</v>
      </c>
      <c r="E33" s="47" t="n">
        <f aca="false">INDEX(Tc_S,C33)</f>
        <v>44.7404761904762</v>
      </c>
      <c r="F33" s="34" t="n">
        <f aca="false">lam_total*D33*E33/3600</f>
        <v>0.745674603174603</v>
      </c>
      <c r="G33" s="3" t="n">
        <f aca="false">IF(F33&lt;=0.000000000001,0,MAX(ROUNDUP(F33/rho_max-0.000000001,0),IF(redund="Yes",ROUNDUP(F33/rho_fail-0.000000001,0)+1,0)))</f>
        <v>2</v>
      </c>
      <c r="H33" s="3" t="n">
        <f aca="false">MAX(1,ROUNDUP((P_req/(B33*C33)+G33*lpl)/2-0.000000001,0))</f>
        <v>134</v>
      </c>
      <c r="I33" s="47" t="n">
        <f aca="false">H33*u_w</f>
        <v>134</v>
      </c>
      <c r="J33" s="47" t="n">
        <f aca="false">2*B33*u_d+aisle_w</f>
        <v>9.1</v>
      </c>
      <c r="K33" s="47" t="n">
        <f aca="false">C33*u_h</f>
        <v>12.9</v>
      </c>
      <c r="L33" s="47" t="n">
        <f aca="false">IF(G33=0,I33,I33/(2*G33))</f>
        <v>33.5</v>
      </c>
      <c r="M33" s="34" t="n">
        <f aca="false">((IF((lane_off+(L33))&lt;=(v_sh^2/a_sh),(4/3)*(lane_off+(L33))^1.5/SQRT(a_sh),(4/3)*(v_sh^2/a_sh)^1.5/SQRT(a_sh)+((lane_off+(L33))^2-(v_sh^2/a_sh)^2)/(2*v_sh)+(v_sh/a_sh)*((lane_off+(L33))-(v_sh^2/a_sh))))-(IF((lane_off)&lt;=(v_sh^2/a_sh),(4/3)*(lane_off)^1.5/SQRT(a_sh),(4/3)*(v_sh^2/a_sh)^1.5/SQRT(a_sh)+((lane_off)^2-(v_sh^2/a_sh)^2)/(2*v_sh)+(v_sh/a_sh)*((lane_off)-(v_sh^2/a_sh)))))/(L33)</f>
        <v>15.6814936227326</v>
      </c>
      <c r="N33" s="34" t="n">
        <f aca="false">IF(((B33-1)*u_d/2*(1+f_hc)+lane_off)&lt;=0,0,IF(((B33-1)*u_d/2*(1+f_hc)+lane_off)&gt;=v_sh^2/a_sh,((B33-1)*u_d/2*(1+f_hc)+lane_off)/v_sh+v_sh/a_sh,2*SQRT(((B33-1)*u_d/2*(1+f_hc)+lane_off)/a_sh)))</f>
        <v>4.78330429724056</v>
      </c>
      <c r="O33" s="47" t="n">
        <f aca="false">2*t_sh+2*t_turn+2*M33+2*N33</f>
        <v>98.9295958399463</v>
      </c>
      <c r="P33" s="47" t="n">
        <f aca="false">SUMPRODUCT((Tc_idx&lt;=C33)*(ROUNDUP(lam_total*INDEX(Tc_P,C33,0)*O33/(3600*rho_max)-0.000000001,0)+(ROUNDUP(lam_total*INDEX(Tc_P,C33,0)*O33/(3600*rho_max)-0.000000001,0)&lt;min_sh)*(min_sh-ROUNDUP(lam_total*INDEX(Tc_P,C33,0)*O33/(3600*rho_max)-0.000000001,0))))</f>
        <v>8</v>
      </c>
      <c r="Q33" s="3" t="n">
        <f aca="false">ROUNDUP(P33-0.000000001,0)+spares</f>
        <v>10</v>
      </c>
      <c r="R33" s="45" t="n">
        <f aca="false">B33*C33*(2*H33-G33*lpl)</f>
        <v>4716</v>
      </c>
      <c r="S33" s="45" t="n">
        <f aca="false">R33*fill</f>
        <v>4008.6</v>
      </c>
      <c r="T33" s="45" t="n">
        <f aca="false">I33*J33</f>
        <v>1219.4</v>
      </c>
      <c r="U33" s="45" t="n">
        <f aca="false">T33*(K33+headroom)</f>
        <v>17559.36</v>
      </c>
      <c r="V33" s="45" t="n">
        <f aca="false">G33*c_lift</f>
        <v>300000</v>
      </c>
      <c r="W33" s="45" t="n">
        <f aca="false">Q33*c_shut</f>
        <v>500000</v>
      </c>
      <c r="X33" s="45" t="n">
        <f aca="false">R33*c_pos</f>
        <v>471600</v>
      </c>
      <c r="Y33" s="45" t="n">
        <f aca="false">T33*c_m2+U33*c_m3</f>
        <v>1014540.8</v>
      </c>
      <c r="Z33" s="45" t="n">
        <f aca="false">SUM(V33:Y33)</f>
        <v>2286140.8</v>
      </c>
      <c r="AA33" s="34" t="n">
        <f aca="false">B33*u_d/(H33*u_w)</f>
        <v>0.0291044776119403</v>
      </c>
      <c r="AB33" s="46" t="n">
        <f aca="false">IF(G33=0,0,F33/G33)</f>
        <v>0.372837301587302</v>
      </c>
      <c r="AC33" s="46" t="n">
        <f aca="false">IF(G33&gt;1,F33/(G33-1),"n/a")</f>
        <v>0.745674603174603</v>
      </c>
      <c r="AD33" s="47" t="n">
        <f aca="false">moves_day*m_pallet*9.81*INDEX(Tc_mh,C33)/3600000</f>
        <v>12.37368</v>
      </c>
      <c r="AE33" s="3" t="n">
        <f aca="false">IF(AND(K33&lt;=H_max,H33&lt;=300,OR(lane_policy="Free (optimize N_C)",B33=sku_pal),OR(env_use="No",AND(I33&lt;=L_bldg,J33&lt;=W_bldg),AND(I33&lt;=W_bldg,J33&lt;=L_bldg))),1,0)</f>
        <v>0</v>
      </c>
      <c r="AF33" s="48" t="n">
        <f aca="false">IF(obj_mode="Total cost",Z33,IF(obj_mode="Shuttle cycle",O33,T33))</f>
        <v>2286140.8</v>
      </c>
      <c r="AG33" s="3" t="n">
        <f aca="false">IF(AE33=1,AF33*(1+A33*0.0000000001),1E+099)</f>
        <v>1E+099</v>
      </c>
      <c r="AH33" s="3" t="str">
        <f aca="false">IF(AE33=1,"",IF(K33&gt;H_max,"height",IF(AND(lane_policy&lt;&gt;"Free (optimize N_C)",B33&lt;&gt;sku_pal),"lane policy","footprint")))</f>
        <v>footprint</v>
      </c>
    </row>
    <row r="34" customFormat="false" ht="15" hidden="false" customHeight="true" outlineLevel="0" collapsed="false">
      <c r="A34" s="3" t="n">
        <v>27</v>
      </c>
      <c r="B34" s="3" t="n">
        <f aca="false">$C$3</f>
        <v>3</v>
      </c>
      <c r="C34" s="3" t="n">
        <v>7</v>
      </c>
      <c r="D34" s="46" t="n">
        <f aca="false">INDEX(Tc_pl,C34)</f>
        <v>0.6</v>
      </c>
      <c r="E34" s="47" t="n">
        <f aca="false">INDEX(Tc_S,C34)</f>
        <v>44.9196428571429</v>
      </c>
      <c r="F34" s="34" t="n">
        <f aca="false">lam_total*D34*E34/3600</f>
        <v>0.748660714285714</v>
      </c>
      <c r="G34" s="3" t="n">
        <f aca="false">IF(F34&lt;=0.000000000001,0,MAX(ROUNDUP(F34/rho_max-0.000000001,0),IF(redund="Yes",ROUNDUP(F34/rho_fail-0.000000001,0)+1,0)))</f>
        <v>2</v>
      </c>
      <c r="H34" s="3" t="n">
        <f aca="false">MAX(1,ROUNDUP((P_req/(B34*C34)+G34*lpl)/2-0.000000001,0))</f>
        <v>116</v>
      </c>
      <c r="I34" s="47" t="n">
        <f aca="false">H34*u_w</f>
        <v>116</v>
      </c>
      <c r="J34" s="47" t="n">
        <f aca="false">2*B34*u_d+aisle_w</f>
        <v>9.1</v>
      </c>
      <c r="K34" s="47" t="n">
        <f aca="false">C34*u_h</f>
        <v>15.05</v>
      </c>
      <c r="L34" s="47" t="n">
        <f aca="false">IF(G34=0,I34,I34/(2*G34))</f>
        <v>29</v>
      </c>
      <c r="M34" s="34" t="n">
        <f aca="false">((IF((lane_off+(L34))&lt;=(v_sh^2/a_sh),(4/3)*(lane_off+(L34))^1.5/SQRT(a_sh),(4/3)*(v_sh^2/a_sh)^1.5/SQRT(a_sh)+((lane_off+(L34))^2-(v_sh^2/a_sh)^2)/(2*v_sh)+(v_sh/a_sh)*((lane_off+(L34))-(v_sh^2/a_sh))))-(IF((lane_off)&lt;=(v_sh^2/a_sh),(4/3)*(lane_off)^1.5/SQRT(a_sh),(4/3)*(v_sh^2/a_sh)^1.5/SQRT(a_sh)+((lane_off)^2-(v_sh^2/a_sh)^2)/(2*v_sh)+(v_sh/a_sh)*((lane_off)-(v_sh^2/a_sh)))))/(L34)</f>
        <v>14.0725874607428</v>
      </c>
      <c r="N34" s="34" t="n">
        <f aca="false">IF(((B34-1)*u_d/2*(1+f_hc)+lane_off)&lt;=0,0,IF(((B34-1)*u_d/2*(1+f_hc)+lane_off)&gt;=v_sh^2/a_sh,((B34-1)*u_d/2*(1+f_hc)+lane_off)/v_sh+v_sh/a_sh,2*SQRT(((B34-1)*u_d/2*(1+f_hc)+lane_off)/a_sh)))</f>
        <v>4.78330429724056</v>
      </c>
      <c r="O34" s="47" t="n">
        <f aca="false">2*t_sh+2*t_turn+2*M34+2*N34</f>
        <v>95.7117835159668</v>
      </c>
      <c r="P34" s="47" t="n">
        <f aca="false">SUMPRODUCT((Tc_idx&lt;=C34)*(ROUNDUP(lam_total*INDEX(Tc_P,C34,0)*O34/(3600*rho_max)-0.000000001,0)+(ROUNDUP(lam_total*INDEX(Tc_P,C34,0)*O34/(3600*rho_max)-0.000000001,0)&lt;min_sh)*(min_sh-ROUNDUP(lam_total*INDEX(Tc_P,C34,0)*O34/(3600*rho_max)-0.000000001,0))))</f>
        <v>9</v>
      </c>
      <c r="Q34" s="3" t="n">
        <f aca="false">ROUNDUP(P34-0.000000001,0)+spares</f>
        <v>11</v>
      </c>
      <c r="R34" s="45" t="n">
        <f aca="false">B34*C34*(2*H34-G34*lpl)</f>
        <v>4746</v>
      </c>
      <c r="S34" s="45" t="n">
        <f aca="false">R34*fill</f>
        <v>4034.1</v>
      </c>
      <c r="T34" s="45" t="n">
        <f aca="false">I34*J34</f>
        <v>1055.6</v>
      </c>
      <c r="U34" s="45" t="n">
        <f aca="false">T34*(K34+headroom)</f>
        <v>17470.18</v>
      </c>
      <c r="V34" s="45" t="n">
        <f aca="false">G34*c_lift</f>
        <v>300000</v>
      </c>
      <c r="W34" s="45" t="n">
        <f aca="false">Q34*c_shut</f>
        <v>550000</v>
      </c>
      <c r="X34" s="45" t="n">
        <f aca="false">R34*c_pos</f>
        <v>474600</v>
      </c>
      <c r="Y34" s="45" t="n">
        <f aca="false">T34*c_m2+U34*c_m3</f>
        <v>946345.4</v>
      </c>
      <c r="Z34" s="45" t="n">
        <f aca="false">SUM(V34:Y34)</f>
        <v>2270945.4</v>
      </c>
      <c r="AA34" s="34" t="n">
        <f aca="false">B34*u_d/(H34*u_w)</f>
        <v>0.0336206896551724</v>
      </c>
      <c r="AB34" s="46" t="n">
        <f aca="false">IF(G34=0,0,F34/G34)</f>
        <v>0.374330357142857</v>
      </c>
      <c r="AC34" s="46" t="n">
        <f aca="false">IF(G34&gt;1,F34/(G34-1),"n/a")</f>
        <v>0.748660714285714</v>
      </c>
      <c r="AD34" s="47" t="n">
        <f aca="false">moves_day*m_pallet*9.81*INDEX(Tc_mh,C34)/3600000</f>
        <v>12.6549</v>
      </c>
      <c r="AE34" s="3" t="n">
        <f aca="false">IF(AND(K34&lt;=H_max,H34&lt;=300,OR(lane_policy="Free (optimize N_C)",B34=sku_pal),OR(env_use="No",AND(I34&lt;=L_bldg,J34&lt;=W_bldg),AND(I34&lt;=W_bldg,J34&lt;=L_bldg))),1,0)</f>
        <v>0</v>
      </c>
      <c r="AF34" s="48" t="n">
        <f aca="false">IF(obj_mode="Total cost",Z34,IF(obj_mode="Shuttle cycle",O34,T34))</f>
        <v>2270945.4</v>
      </c>
      <c r="AG34" s="3" t="n">
        <f aca="false">IF(AE34=1,AF34*(1+A34*0.0000000001),1E+099)</f>
        <v>1E+099</v>
      </c>
      <c r="AH34" s="3" t="str">
        <f aca="false">IF(AE34=1,"",IF(K34&gt;H_max,"height",IF(AND(lane_policy&lt;&gt;"Free (optimize N_C)",B34&lt;&gt;sku_pal),"lane policy","footprint")))</f>
        <v>footprint</v>
      </c>
    </row>
    <row r="35" customFormat="false" ht="15" hidden="false" customHeight="true" outlineLevel="0" collapsed="false">
      <c r="A35" s="3" t="n">
        <v>28</v>
      </c>
      <c r="B35" s="3" t="n">
        <f aca="false">$C$3</f>
        <v>3</v>
      </c>
      <c r="C35" s="3" t="n">
        <v>8</v>
      </c>
      <c r="D35" s="46" t="n">
        <f aca="false">INDEX(Tc_pl,C35)</f>
        <v>0.6</v>
      </c>
      <c r="E35" s="47" t="n">
        <f aca="false">INDEX(Tc_S,C35)</f>
        <v>45.0988095238095</v>
      </c>
      <c r="F35" s="34" t="n">
        <f aca="false">lam_total*D35*E35/3600</f>
        <v>0.751646825396826</v>
      </c>
      <c r="G35" s="3" t="n">
        <f aca="false">IF(F35&lt;=0.000000000001,0,MAX(ROUNDUP(F35/rho_max-0.000000001,0),IF(redund="Yes",ROUNDUP(F35/rho_fail-0.000000001,0)+1,0)))</f>
        <v>2</v>
      </c>
      <c r="H35" s="3" t="n">
        <f aca="false">MAX(1,ROUNDUP((P_req/(B35*C35)+G35*lpl)/2-0.000000001,0))</f>
        <v>102</v>
      </c>
      <c r="I35" s="47" t="n">
        <f aca="false">H35*u_w</f>
        <v>102</v>
      </c>
      <c r="J35" s="47" t="n">
        <f aca="false">2*B35*u_d+aisle_w</f>
        <v>9.1</v>
      </c>
      <c r="K35" s="47" t="n">
        <f aca="false">C35*u_h</f>
        <v>17.2</v>
      </c>
      <c r="L35" s="47" t="n">
        <f aca="false">IF(G35=0,I35,I35/(2*G35))</f>
        <v>25.5</v>
      </c>
      <c r="M35" s="34" t="n">
        <f aca="false">((IF((lane_off+(L35))&lt;=(v_sh^2/a_sh),(4/3)*(lane_off+(L35))^1.5/SQRT(a_sh),(4/3)*(v_sh^2/a_sh)^1.5/SQRT(a_sh)+((lane_off+(L35))^2-(v_sh^2/a_sh)^2)/(2*v_sh)+(v_sh/a_sh)*((lane_off+(L35))-(v_sh^2/a_sh))))-(IF((lane_off)&lt;=(v_sh^2/a_sh),(4/3)*(lane_off)^1.5/SQRT(a_sh),(4/3)*(v_sh^2/a_sh)^1.5/SQRT(a_sh)+((lane_off)^2-(v_sh^2/a_sh)^2)/(2*v_sh)+(v_sh/a_sh)*((lane_off)-(v_sh^2/a_sh)))))/(L35)</f>
        <v>12.8207857396683</v>
      </c>
      <c r="N35" s="34" t="n">
        <f aca="false">IF(((B35-1)*u_d/2*(1+f_hc)+lane_off)&lt;=0,0,IF(((B35-1)*u_d/2*(1+f_hc)+lane_off)&gt;=v_sh^2/a_sh,((B35-1)*u_d/2*(1+f_hc)+lane_off)/v_sh+v_sh/a_sh,2*SQRT(((B35-1)*u_d/2*(1+f_hc)+lane_off)/a_sh)))</f>
        <v>4.78330429724056</v>
      </c>
      <c r="O35" s="47" t="n">
        <f aca="false">2*t_sh+2*t_turn+2*M35+2*N35</f>
        <v>93.2081800738178</v>
      </c>
      <c r="P35" s="47" t="n">
        <f aca="false">SUMPRODUCT((Tc_idx&lt;=C35)*(ROUNDUP(lam_total*INDEX(Tc_P,C35,0)*O35/(3600*rho_max)-0.000000001,0)+(ROUNDUP(lam_total*INDEX(Tc_P,C35,0)*O35/(3600*rho_max)-0.000000001,0)&lt;min_sh)*(min_sh-ROUNDUP(lam_total*INDEX(Tc_P,C35,0)*O35/(3600*rho_max)-0.000000001,0))))</f>
        <v>10</v>
      </c>
      <c r="Q35" s="3" t="n">
        <f aca="false">ROUNDUP(P35-0.000000001,0)+spares</f>
        <v>12</v>
      </c>
      <c r="R35" s="45" t="n">
        <f aca="false">B35*C35*(2*H35-G35*lpl)</f>
        <v>4752</v>
      </c>
      <c r="S35" s="45" t="n">
        <f aca="false">R35*fill</f>
        <v>4039.2</v>
      </c>
      <c r="T35" s="45" t="n">
        <f aca="false">I35*J35</f>
        <v>928.2</v>
      </c>
      <c r="U35" s="45" t="n">
        <f aca="false">T35*(K35+headroom)</f>
        <v>17357.34</v>
      </c>
      <c r="V35" s="45" t="n">
        <f aca="false">G35*c_lift</f>
        <v>300000</v>
      </c>
      <c r="W35" s="45" t="n">
        <f aca="false">Q35*c_shut</f>
        <v>600000</v>
      </c>
      <c r="X35" s="45" t="n">
        <f aca="false">R35*c_pos</f>
        <v>475200</v>
      </c>
      <c r="Y35" s="45" t="n">
        <f aca="false">T35*c_m2+U35*c_m3</f>
        <v>892000.2</v>
      </c>
      <c r="Z35" s="45" t="n">
        <f aca="false">SUM(V35:Y35)</f>
        <v>2267200.2</v>
      </c>
      <c r="AA35" s="34" t="n">
        <f aca="false">B35*u_d/(H35*u_w)</f>
        <v>0.0382352941176471</v>
      </c>
      <c r="AB35" s="46" t="n">
        <f aca="false">IF(G35=0,0,F35/G35)</f>
        <v>0.375823412698413</v>
      </c>
      <c r="AC35" s="46" t="n">
        <f aca="false">IF(G35&gt;1,F35/(G35-1),"n/a")</f>
        <v>0.751646825396826</v>
      </c>
      <c r="AD35" s="47" t="n">
        <f aca="false">moves_day*m_pallet*9.81*INDEX(Tc_mh,C35)/3600000</f>
        <v>12.93612</v>
      </c>
      <c r="AE35" s="3" t="n">
        <f aca="false">IF(AND(K35&lt;=H_max,H35&lt;=300,OR(lane_policy="Free (optimize N_C)",B35=sku_pal),OR(env_use="No",AND(I35&lt;=L_bldg,J35&lt;=W_bldg),AND(I35&lt;=W_bldg,J35&lt;=L_bldg))),1,0)</f>
        <v>0</v>
      </c>
      <c r="AF35" s="48" t="n">
        <f aca="false">IF(obj_mode="Total cost",Z35,IF(obj_mode="Shuttle cycle",O35,T35))</f>
        <v>2267200.2</v>
      </c>
      <c r="AG35" s="3" t="n">
        <f aca="false">IF(AE35=1,AF35*(1+A35*0.0000000001),1E+099)</f>
        <v>1E+099</v>
      </c>
      <c r="AH35" s="3" t="str">
        <f aca="false">IF(AE35=1,"",IF(K35&gt;H_max,"height",IF(AND(lane_policy&lt;&gt;"Free (optimize N_C)",B35&lt;&gt;sku_pal),"lane policy","footprint")))</f>
        <v>footprint</v>
      </c>
    </row>
    <row r="36" customFormat="false" ht="15" hidden="false" customHeight="true" outlineLevel="0" collapsed="false">
      <c r="A36" s="3" t="n">
        <v>29</v>
      </c>
      <c r="B36" s="3" t="n">
        <f aca="false">$C$3</f>
        <v>3</v>
      </c>
      <c r="C36" s="3" t="n">
        <v>9</v>
      </c>
      <c r="D36" s="46" t="n">
        <f aca="false">INDEX(Tc_pl,C36)</f>
        <v>0.6</v>
      </c>
      <c r="E36" s="47" t="n">
        <f aca="false">INDEX(Tc_S,C36)</f>
        <v>45.2779761904762</v>
      </c>
      <c r="F36" s="34" t="n">
        <f aca="false">lam_total*D36*E36/3600</f>
        <v>0.754632936507936</v>
      </c>
      <c r="G36" s="3" t="n">
        <f aca="false">IF(F36&lt;=0.000000000001,0,MAX(ROUNDUP(F36/rho_max-0.000000001,0),IF(redund="Yes",ROUNDUP(F36/rho_fail-0.000000001,0)+1,0)))</f>
        <v>2</v>
      </c>
      <c r="H36" s="3" t="n">
        <f aca="false">MAX(1,ROUNDUP((P_req/(B36*C36)+G36*lpl)/2-0.000000001,0))</f>
        <v>91</v>
      </c>
      <c r="I36" s="47" t="n">
        <f aca="false">H36*u_w</f>
        <v>91</v>
      </c>
      <c r="J36" s="47" t="n">
        <f aca="false">2*B36*u_d+aisle_w</f>
        <v>9.1</v>
      </c>
      <c r="K36" s="47" t="n">
        <f aca="false">C36*u_h</f>
        <v>19.35</v>
      </c>
      <c r="L36" s="47" t="n">
        <f aca="false">IF(G36=0,I36,I36/(2*G36))</f>
        <v>22.75</v>
      </c>
      <c r="M36" s="34" t="n">
        <f aca="false">((IF((lane_off+(L36))&lt;=(v_sh^2/a_sh),(4/3)*(lane_off+(L36))^1.5/SQRT(a_sh),(4/3)*(v_sh^2/a_sh)^1.5/SQRT(a_sh)+((lane_off+(L36))^2-(v_sh^2/a_sh)^2)/(2*v_sh)+(v_sh/a_sh)*((lane_off+(L36))-(v_sh^2/a_sh))))-(IF((lane_off)&lt;=(v_sh^2/a_sh),(4/3)*(lane_off)^1.5/SQRT(a_sh),(4/3)*(v_sh^2/a_sh)^1.5/SQRT(a_sh)+((lane_off)^2-(v_sh^2/a_sh)^2)/(2*v_sh)+(v_sh/a_sh)*((lane_off)-(v_sh^2/a_sh)))))/(L36)</f>
        <v>11.8368383330034</v>
      </c>
      <c r="N36" s="34" t="n">
        <f aca="false">IF(((B36-1)*u_d/2*(1+f_hc)+lane_off)&lt;=0,0,IF(((B36-1)*u_d/2*(1+f_hc)+lane_off)&gt;=v_sh^2/a_sh,((B36-1)*u_d/2*(1+f_hc)+lane_off)/v_sh+v_sh/a_sh,2*SQRT(((B36-1)*u_d/2*(1+f_hc)+lane_off)/a_sh)))</f>
        <v>4.78330429724056</v>
      </c>
      <c r="O36" s="47" t="n">
        <f aca="false">2*t_sh+2*t_turn+2*M36+2*N36</f>
        <v>91.240285260488</v>
      </c>
      <c r="P36" s="47" t="n">
        <f aca="false">SUMPRODUCT((Tc_idx&lt;=C36)*(ROUNDUP(lam_total*INDEX(Tc_P,C36,0)*O36/(3600*rho_max)-0.000000001,0)+(ROUNDUP(lam_total*INDEX(Tc_P,C36,0)*O36/(3600*rho_max)-0.000000001,0)&lt;min_sh)*(min_sh-ROUNDUP(lam_total*INDEX(Tc_P,C36,0)*O36/(3600*rho_max)-0.000000001,0))))</f>
        <v>11</v>
      </c>
      <c r="Q36" s="3" t="n">
        <f aca="false">ROUNDUP(P36-0.000000001,0)+spares</f>
        <v>13</v>
      </c>
      <c r="R36" s="45" t="n">
        <f aca="false">B36*C36*(2*H36-G36*lpl)</f>
        <v>4752</v>
      </c>
      <c r="S36" s="45" t="n">
        <f aca="false">R36*fill</f>
        <v>4039.2</v>
      </c>
      <c r="T36" s="45" t="n">
        <f aca="false">I36*J36</f>
        <v>828.1</v>
      </c>
      <c r="U36" s="45" t="n">
        <f aca="false">T36*(K36+headroom)</f>
        <v>17265.885</v>
      </c>
      <c r="V36" s="45" t="n">
        <f aca="false">G36*c_lift</f>
        <v>300000</v>
      </c>
      <c r="W36" s="45" t="n">
        <f aca="false">Q36*c_shut</f>
        <v>650000</v>
      </c>
      <c r="X36" s="45" t="n">
        <f aca="false">R36*c_pos</f>
        <v>475200</v>
      </c>
      <c r="Y36" s="45" t="n">
        <f aca="false">T36*c_m2+U36*c_m3</f>
        <v>849216.55</v>
      </c>
      <c r="Z36" s="45" t="n">
        <f aca="false">SUM(V36:Y36)</f>
        <v>2274416.55</v>
      </c>
      <c r="AA36" s="34" t="n">
        <f aca="false">B36*u_d/(H36*u_w)</f>
        <v>0.0428571428571429</v>
      </c>
      <c r="AB36" s="46" t="n">
        <f aca="false">IF(G36=0,0,F36/G36)</f>
        <v>0.377316468253968</v>
      </c>
      <c r="AC36" s="46" t="n">
        <f aca="false">IF(G36&gt;1,F36/(G36-1),"n/a")</f>
        <v>0.754632936507936</v>
      </c>
      <c r="AD36" s="47" t="n">
        <f aca="false">moves_day*m_pallet*9.81*INDEX(Tc_mh,C36)/3600000</f>
        <v>13.21734</v>
      </c>
      <c r="AE36" s="3" t="n">
        <f aca="false">IF(AND(K36&lt;=H_max,H36&lt;=300,OR(lane_policy="Free (optimize N_C)",B36=sku_pal),OR(env_use="No",AND(I36&lt;=L_bldg,J36&lt;=W_bldg),AND(I36&lt;=W_bldg,J36&lt;=L_bldg))),1,0)</f>
        <v>0</v>
      </c>
      <c r="AF36" s="48" t="n">
        <f aca="false">IF(obj_mode="Total cost",Z36,IF(obj_mode="Shuttle cycle",O36,T36))</f>
        <v>2274416.55</v>
      </c>
      <c r="AG36" s="3" t="n">
        <f aca="false">IF(AE36=1,AF36*(1+A36*0.0000000001),1E+099)</f>
        <v>1E+099</v>
      </c>
      <c r="AH36" s="3" t="str">
        <f aca="false">IF(AE36=1,"",IF(K36&gt;H_max,"height",IF(AND(lane_policy&lt;&gt;"Free (optimize N_C)",B36&lt;&gt;sku_pal),"lane policy","footprint")))</f>
        <v>footprint</v>
      </c>
    </row>
    <row r="37" customFormat="false" ht="15" hidden="false" customHeight="true" outlineLevel="0" collapsed="false">
      <c r="A37" s="3" t="n">
        <v>30</v>
      </c>
      <c r="B37" s="3" t="n">
        <f aca="false">$C$3</f>
        <v>3</v>
      </c>
      <c r="C37" s="3" t="n">
        <v>10</v>
      </c>
      <c r="D37" s="46" t="n">
        <f aca="false">INDEX(Tc_pl,C37)</f>
        <v>0.6</v>
      </c>
      <c r="E37" s="47" t="n">
        <f aca="false">INDEX(Tc_S,C37)</f>
        <v>45.4571428571429</v>
      </c>
      <c r="F37" s="34" t="n">
        <f aca="false">lam_total*D37*E37/3600</f>
        <v>0.757619047619048</v>
      </c>
      <c r="G37" s="3" t="n">
        <f aca="false">IF(F37&lt;=0.000000000001,0,MAX(ROUNDUP(F37/rho_max-0.000000001,0),IF(redund="Yes",ROUNDUP(F37/rho_fail-0.000000001,0)+1,0)))</f>
        <v>2</v>
      </c>
      <c r="H37" s="3" t="n">
        <f aca="false">MAX(1,ROUNDUP((P_req/(B37*C37)+G37*lpl)/2-0.000000001,0))</f>
        <v>82</v>
      </c>
      <c r="I37" s="47" t="n">
        <f aca="false">H37*u_w</f>
        <v>82</v>
      </c>
      <c r="J37" s="47" t="n">
        <f aca="false">2*B37*u_d+aisle_w</f>
        <v>9.1</v>
      </c>
      <c r="K37" s="47" t="n">
        <f aca="false">C37*u_h</f>
        <v>21.5</v>
      </c>
      <c r="L37" s="47" t="n">
        <f aca="false">IF(G37=0,I37,I37/(2*G37))</f>
        <v>20.5</v>
      </c>
      <c r="M37" s="34" t="n">
        <f aca="false">((IF((lane_off+(L37))&lt;=(v_sh^2/a_sh),(4/3)*(lane_off+(L37))^1.5/SQRT(a_sh),(4/3)*(v_sh^2/a_sh)^1.5/SQRT(a_sh)+((lane_off+(L37))^2-(v_sh^2/a_sh)^2)/(2*v_sh)+(v_sh/a_sh)*((lane_off+(L37))-(v_sh^2/a_sh))))-(IF((lane_off)&lt;=(v_sh^2/a_sh),(4/3)*(lane_off)^1.5/SQRT(a_sh),(4/3)*(v_sh^2/a_sh)^1.5/SQRT(a_sh)+((lane_off)^2-(v_sh^2/a_sh)^2)/(2*v_sh)+(v_sh/a_sh)*((lane_off)-(v_sh^2/a_sh)))))/(L37)</f>
        <v>11.0314303451623</v>
      </c>
      <c r="N37" s="34" t="n">
        <f aca="false">IF(((B37-1)*u_d/2*(1+f_hc)+lane_off)&lt;=0,0,IF(((B37-1)*u_d/2*(1+f_hc)+lane_off)&gt;=v_sh^2/a_sh,((B37-1)*u_d/2*(1+f_hc)+lane_off)/v_sh+v_sh/a_sh,2*SQRT(((B37-1)*u_d/2*(1+f_hc)+lane_off)/a_sh)))</f>
        <v>4.78330429724056</v>
      </c>
      <c r="O37" s="47" t="n">
        <f aca="false">2*t_sh+2*t_turn+2*M37+2*N37</f>
        <v>89.6294692848058</v>
      </c>
      <c r="P37" s="47" t="n">
        <f aca="false">SUMPRODUCT((Tc_idx&lt;=C37)*(ROUNDUP(lam_total*INDEX(Tc_P,C37,0)*O37/(3600*rho_max)-0.000000001,0)+(ROUNDUP(lam_total*INDEX(Tc_P,C37,0)*O37/(3600*rho_max)-0.000000001,0)&lt;min_sh)*(min_sh-ROUNDUP(lam_total*INDEX(Tc_P,C37,0)*O37/(3600*rho_max)-0.000000001,0))))</f>
        <v>12</v>
      </c>
      <c r="Q37" s="3" t="n">
        <f aca="false">ROUNDUP(P37-0.000000001,0)+spares</f>
        <v>14</v>
      </c>
      <c r="R37" s="45" t="n">
        <f aca="false">B37*C37*(2*H37-G37*lpl)</f>
        <v>4740</v>
      </c>
      <c r="S37" s="45" t="n">
        <f aca="false">R37*fill</f>
        <v>4029</v>
      </c>
      <c r="T37" s="45" t="n">
        <f aca="false">I37*J37</f>
        <v>746.2</v>
      </c>
      <c r="U37" s="45" t="n">
        <f aca="false">T37*(K37+headroom)</f>
        <v>17162.6</v>
      </c>
      <c r="V37" s="45" t="n">
        <f aca="false">G37*c_lift</f>
        <v>300000</v>
      </c>
      <c r="W37" s="45" t="n">
        <f aca="false">Q37*c_shut</f>
        <v>700000</v>
      </c>
      <c r="X37" s="45" t="n">
        <f aca="false">R37*c_pos</f>
        <v>474000</v>
      </c>
      <c r="Y37" s="45" t="n">
        <f aca="false">T37*c_m2+U37*c_m3</f>
        <v>813358</v>
      </c>
      <c r="Z37" s="45" t="n">
        <f aca="false">SUM(V37:Y37)</f>
        <v>2287358</v>
      </c>
      <c r="AA37" s="34" t="n">
        <f aca="false">B37*u_d/(H37*u_w)</f>
        <v>0.0475609756097561</v>
      </c>
      <c r="AB37" s="46" t="n">
        <f aca="false">IF(G37=0,0,F37/G37)</f>
        <v>0.378809523809524</v>
      </c>
      <c r="AC37" s="46" t="n">
        <f aca="false">IF(G37&gt;1,F37/(G37-1),"n/a")</f>
        <v>0.757619047619048</v>
      </c>
      <c r="AD37" s="47" t="n">
        <f aca="false">moves_day*m_pallet*9.81*INDEX(Tc_mh,C37)/3600000</f>
        <v>13.49856</v>
      </c>
      <c r="AE37" s="3" t="n">
        <f aca="false">IF(AND(K37&lt;=H_max,H37&lt;=300,OR(lane_policy="Free (optimize N_C)",B37=sku_pal),OR(env_use="No",AND(I37&lt;=L_bldg,J37&lt;=W_bldg),AND(I37&lt;=W_bldg,J37&lt;=L_bldg))),1,0)</f>
        <v>0</v>
      </c>
      <c r="AF37" s="48" t="n">
        <f aca="false">IF(obj_mode="Total cost",Z37,IF(obj_mode="Shuttle cycle",O37,T37))</f>
        <v>2287358</v>
      </c>
      <c r="AG37" s="3" t="n">
        <f aca="false">IF(AE37=1,AF37*(1+A37*0.0000000001),1E+099)</f>
        <v>1E+099</v>
      </c>
      <c r="AH37" s="3" t="str">
        <f aca="false">IF(AE37=1,"",IF(K37&gt;H_max,"height",IF(AND(lane_policy&lt;&gt;"Free (optimize N_C)",B37&lt;&gt;sku_pal),"lane policy","footprint")))</f>
        <v>height</v>
      </c>
    </row>
    <row r="38" customFormat="false" ht="15" hidden="false" customHeight="true" outlineLevel="0" collapsed="false">
      <c r="A38" s="3" t="n">
        <v>31</v>
      </c>
      <c r="B38" s="3" t="n">
        <f aca="false">$C$3</f>
        <v>3</v>
      </c>
      <c r="C38" s="3" t="n">
        <v>11</v>
      </c>
      <c r="D38" s="46" t="n">
        <f aca="false">INDEX(Tc_pl,C38)</f>
        <v>0.6</v>
      </c>
      <c r="E38" s="47" t="n">
        <f aca="false">INDEX(Tc_S,C38)</f>
        <v>45.6363095238095</v>
      </c>
      <c r="F38" s="34" t="n">
        <f aca="false">lam_total*D38*E38/3600</f>
        <v>0.760605158730159</v>
      </c>
      <c r="G38" s="3" t="n">
        <f aca="false">IF(F38&lt;=0.000000000001,0,MAX(ROUNDUP(F38/rho_max-0.000000001,0),IF(redund="Yes",ROUNDUP(F38/rho_fail-0.000000001,0)+1,0)))</f>
        <v>2</v>
      </c>
      <c r="H38" s="3" t="n">
        <f aca="false">MAX(1,ROUNDUP((P_req/(B38*C38)+G38*lpl)/2-0.000000001,0))</f>
        <v>75</v>
      </c>
      <c r="I38" s="47" t="n">
        <f aca="false">H38*u_w</f>
        <v>75</v>
      </c>
      <c r="J38" s="47" t="n">
        <f aca="false">2*B38*u_d+aisle_w</f>
        <v>9.1</v>
      </c>
      <c r="K38" s="47" t="n">
        <f aca="false">C38*u_h</f>
        <v>23.65</v>
      </c>
      <c r="L38" s="47" t="n">
        <f aca="false">IF(G38=0,I38,I38/(2*G38))</f>
        <v>18.75</v>
      </c>
      <c r="M38" s="34" t="n">
        <f aca="false">((IF((lane_off+(L38))&lt;=(v_sh^2/a_sh),(4/3)*(lane_off+(L38))^1.5/SQRT(a_sh),(4/3)*(v_sh^2/a_sh)^1.5/SQRT(a_sh)+((lane_off+(L38))^2-(v_sh^2/a_sh)^2)/(2*v_sh)+(v_sh/a_sh)*((lane_off+(L38))-(v_sh^2/a_sh))))-(IF((lane_off)&lt;=(v_sh^2/a_sh),(4/3)*(lane_off)^1.5/SQRT(a_sh),(4/3)*(v_sh^2/a_sh)^1.5/SQRT(a_sh)+((lane_off)^2-(v_sh^2/a_sh)^2)/(2*v_sh)+(v_sh/a_sh)*((lane_off)-(v_sh^2/a_sh)))))/(L38)</f>
        <v>10.4046971773775</v>
      </c>
      <c r="N38" s="34" t="n">
        <f aca="false">IF(((B38-1)*u_d/2*(1+f_hc)+lane_off)&lt;=0,0,IF(((B38-1)*u_d/2*(1+f_hc)+lane_off)&gt;=v_sh^2/a_sh,((B38-1)*u_d/2*(1+f_hc)+lane_off)/v_sh+v_sh/a_sh,2*SQRT(((B38-1)*u_d/2*(1+f_hc)+lane_off)/a_sh)))</f>
        <v>4.78330429724056</v>
      </c>
      <c r="O38" s="47" t="n">
        <f aca="false">2*t_sh+2*t_turn+2*M38+2*N38</f>
        <v>88.3760029492361</v>
      </c>
      <c r="P38" s="47" t="n">
        <f aca="false">SUMPRODUCT((Tc_idx&lt;=C38)*(ROUNDUP(lam_total*INDEX(Tc_P,C38,0)*O38/(3600*rho_max)-0.000000001,0)+(ROUNDUP(lam_total*INDEX(Tc_P,C38,0)*O38/(3600*rho_max)-0.000000001,0)&lt;min_sh)*(min_sh-ROUNDUP(lam_total*INDEX(Tc_P,C38,0)*O38/(3600*rho_max)-0.000000001,0))))</f>
        <v>13</v>
      </c>
      <c r="Q38" s="3" t="n">
        <f aca="false">ROUNDUP(P38-0.000000001,0)+spares</f>
        <v>15</v>
      </c>
      <c r="R38" s="45" t="n">
        <f aca="false">B38*C38*(2*H38-G38*lpl)</f>
        <v>4752</v>
      </c>
      <c r="S38" s="45" t="n">
        <f aca="false">R38*fill</f>
        <v>4039.2</v>
      </c>
      <c r="T38" s="45" t="n">
        <f aca="false">I38*J38</f>
        <v>682.5</v>
      </c>
      <c r="U38" s="45" t="n">
        <f aca="false">T38*(K38+headroom)</f>
        <v>17164.875</v>
      </c>
      <c r="V38" s="45" t="n">
        <f aca="false">G38*c_lift</f>
        <v>300000</v>
      </c>
      <c r="W38" s="45" t="n">
        <f aca="false">Q38*c_shut</f>
        <v>750000</v>
      </c>
      <c r="X38" s="45" t="n">
        <f aca="false">R38*c_pos</f>
        <v>475200</v>
      </c>
      <c r="Y38" s="45" t="n">
        <f aca="false">T38*c_m2+U38*c_m3</f>
        <v>787946.25</v>
      </c>
      <c r="Z38" s="45" t="n">
        <f aca="false">SUM(V38:Y38)</f>
        <v>2313146.25</v>
      </c>
      <c r="AA38" s="34" t="n">
        <f aca="false">B38*u_d/(H38*u_w)</f>
        <v>0.052</v>
      </c>
      <c r="AB38" s="46" t="n">
        <f aca="false">IF(G38=0,0,F38/G38)</f>
        <v>0.380302579365079</v>
      </c>
      <c r="AC38" s="46" t="n">
        <f aca="false">IF(G38&gt;1,F38/(G38-1),"n/a")</f>
        <v>0.760605158730159</v>
      </c>
      <c r="AD38" s="47" t="n">
        <f aca="false">moves_day*m_pallet*9.81*INDEX(Tc_mh,C38)/3600000</f>
        <v>13.77978</v>
      </c>
      <c r="AE38" s="3" t="n">
        <f aca="false">IF(AND(K38&lt;=H_max,H38&lt;=300,OR(lane_policy="Free (optimize N_C)",B38=sku_pal),OR(env_use="No",AND(I38&lt;=L_bldg,J38&lt;=W_bldg),AND(I38&lt;=W_bldg,J38&lt;=L_bldg))),1,0)</f>
        <v>0</v>
      </c>
      <c r="AF38" s="48" t="n">
        <f aca="false">IF(obj_mode="Total cost",Z38,IF(obj_mode="Shuttle cycle",O38,T38))</f>
        <v>2313146.25</v>
      </c>
      <c r="AG38" s="3" t="n">
        <f aca="false">IF(AE38=1,AF38*(1+A38*0.0000000001),1E+099)</f>
        <v>1E+099</v>
      </c>
      <c r="AH38" s="3" t="str">
        <f aca="false">IF(AE38=1,"",IF(K38&gt;H_max,"height",IF(AND(lane_policy&lt;&gt;"Free (optimize N_C)",B38&lt;&gt;sku_pal),"lane policy","footprint")))</f>
        <v>height</v>
      </c>
    </row>
    <row r="39" customFormat="false" ht="15" hidden="false" customHeight="true" outlineLevel="0" collapsed="false">
      <c r="A39" s="3" t="n">
        <v>32</v>
      </c>
      <c r="B39" s="3" t="n">
        <f aca="false">$C$3</f>
        <v>3</v>
      </c>
      <c r="C39" s="3" t="n">
        <v>12</v>
      </c>
      <c r="D39" s="46" t="n">
        <f aca="false">INDEX(Tc_pl,C39)</f>
        <v>0.6</v>
      </c>
      <c r="E39" s="47" t="n">
        <f aca="false">INDEX(Tc_S,C39)</f>
        <v>45.8154761904762</v>
      </c>
      <c r="F39" s="34" t="n">
        <f aca="false">lam_total*D39*E39/3600</f>
        <v>0.76359126984127</v>
      </c>
      <c r="G39" s="3" t="n">
        <f aca="false">IF(F39&lt;=0.000000000001,0,MAX(ROUNDUP(F39/rho_max-0.000000001,0),IF(redund="Yes",ROUNDUP(F39/rho_fail-0.000000001,0)+1,0)))</f>
        <v>2</v>
      </c>
      <c r="H39" s="3" t="n">
        <f aca="false">MAX(1,ROUNDUP((P_req/(B39*C39)+G39*lpl)/2-0.000000001,0))</f>
        <v>69</v>
      </c>
      <c r="I39" s="47" t="n">
        <f aca="false">H39*u_w</f>
        <v>69</v>
      </c>
      <c r="J39" s="47" t="n">
        <f aca="false">2*B39*u_d+aisle_w</f>
        <v>9.1</v>
      </c>
      <c r="K39" s="47" t="n">
        <f aca="false">C39*u_h</f>
        <v>25.8</v>
      </c>
      <c r="L39" s="47" t="n">
        <f aca="false">IF(G39=0,I39,I39/(2*G39))</f>
        <v>17.25</v>
      </c>
      <c r="M39" s="34" t="n">
        <f aca="false">((IF((lane_off+(L39))&lt;=(v_sh^2/a_sh),(4/3)*(lane_off+(L39))^1.5/SQRT(a_sh),(4/3)*(v_sh^2/a_sh)^1.5/SQRT(a_sh)+((lane_off+(L39))^2-(v_sh^2/a_sh)^2)/(2*v_sh)+(v_sh/a_sh)*((lane_off+(L39))-(v_sh^2/a_sh))))-(IF((lane_off)&lt;=(v_sh^2/a_sh),(4/3)*(lane_off)^1.5/SQRT(a_sh),(4/3)*(v_sh^2/a_sh)^1.5/SQRT(a_sh)+((lane_off)^2-(v_sh^2/a_sh)^2)/(2*v_sh)+(v_sh/a_sh)*((lane_off)-(v_sh^2/a_sh)))))/(L39)</f>
        <v>9.86721742882646</v>
      </c>
      <c r="N39" s="34" t="n">
        <f aca="false">IF(((B39-1)*u_d/2*(1+f_hc)+lane_off)&lt;=0,0,IF(((B39-1)*u_d/2*(1+f_hc)+lane_off)&gt;=v_sh^2/a_sh,((B39-1)*u_d/2*(1+f_hc)+lane_off)/v_sh+v_sh/a_sh,2*SQRT(((B39-1)*u_d/2*(1+f_hc)+lane_off)/a_sh)))</f>
        <v>4.78330429724056</v>
      </c>
      <c r="O39" s="47" t="n">
        <f aca="false">2*t_sh+2*t_turn+2*M39+2*N39</f>
        <v>87.3010434521341</v>
      </c>
      <c r="P39" s="47" t="n">
        <f aca="false">SUMPRODUCT((Tc_idx&lt;=C39)*(ROUNDUP(lam_total*INDEX(Tc_P,C39,0)*O39/(3600*rho_max)-0.000000001,0)+(ROUNDUP(lam_total*INDEX(Tc_P,C39,0)*O39/(3600*rho_max)-0.000000001,0)&lt;min_sh)*(min_sh-ROUNDUP(lam_total*INDEX(Tc_P,C39,0)*O39/(3600*rho_max)-0.000000001,0))))</f>
        <v>14</v>
      </c>
      <c r="Q39" s="3" t="n">
        <f aca="false">ROUNDUP(P39-0.000000001,0)+spares</f>
        <v>16</v>
      </c>
      <c r="R39" s="45" t="n">
        <f aca="false">B39*C39*(2*H39-G39*lpl)</f>
        <v>4752</v>
      </c>
      <c r="S39" s="45" t="n">
        <f aca="false">R39*fill</f>
        <v>4039.2</v>
      </c>
      <c r="T39" s="45" t="n">
        <f aca="false">I39*J39</f>
        <v>627.9</v>
      </c>
      <c r="U39" s="45" t="n">
        <f aca="false">T39*(K39+headroom)</f>
        <v>17141.67</v>
      </c>
      <c r="V39" s="45" t="n">
        <f aca="false">G39*c_lift</f>
        <v>300000</v>
      </c>
      <c r="W39" s="45" t="n">
        <f aca="false">Q39*c_shut</f>
        <v>800000</v>
      </c>
      <c r="X39" s="45" t="n">
        <f aca="false">R39*c_pos</f>
        <v>475200</v>
      </c>
      <c r="Y39" s="45" t="n">
        <f aca="false">T39*c_m2+U39*c_m3</f>
        <v>765410.1</v>
      </c>
      <c r="Z39" s="45" t="n">
        <f aca="false">SUM(V39:Y39)</f>
        <v>2340610.1</v>
      </c>
      <c r="AA39" s="34" t="n">
        <f aca="false">B39*u_d/(H39*u_w)</f>
        <v>0.0565217391304348</v>
      </c>
      <c r="AB39" s="46" t="n">
        <f aca="false">IF(G39=0,0,F39/G39)</f>
        <v>0.381795634920635</v>
      </c>
      <c r="AC39" s="46" t="n">
        <f aca="false">IF(G39&gt;1,F39/(G39-1),"n/a")</f>
        <v>0.76359126984127</v>
      </c>
      <c r="AD39" s="47" t="n">
        <f aca="false">moves_day*m_pallet*9.81*INDEX(Tc_mh,C39)/3600000</f>
        <v>14.061</v>
      </c>
      <c r="AE39" s="3" t="n">
        <f aca="false">IF(AND(K39&lt;=H_max,H39&lt;=300,OR(lane_policy="Free (optimize N_C)",B39=sku_pal),OR(env_use="No",AND(I39&lt;=L_bldg,J39&lt;=W_bldg),AND(I39&lt;=W_bldg,J39&lt;=L_bldg))),1,0)</f>
        <v>0</v>
      </c>
      <c r="AF39" s="48" t="n">
        <f aca="false">IF(obj_mode="Total cost",Z39,IF(obj_mode="Shuttle cycle",O39,T39))</f>
        <v>2340610.1</v>
      </c>
      <c r="AG39" s="3" t="n">
        <f aca="false">IF(AE39=1,AF39*(1+A39*0.0000000001),1E+099)</f>
        <v>1E+099</v>
      </c>
      <c r="AH39" s="3" t="str">
        <f aca="false">IF(AE39=1,"",IF(K39&gt;H_max,"height",IF(AND(lane_policy&lt;&gt;"Free (optimize N_C)",B39&lt;&gt;sku_pal),"lane policy","footprint")))</f>
        <v>height</v>
      </c>
    </row>
    <row r="40" customFormat="false" ht="15" hidden="false" customHeight="true" outlineLevel="0" collapsed="false">
      <c r="A40" s="3" t="n">
        <v>33</v>
      </c>
      <c r="B40" s="3" t="n">
        <f aca="false">$C$3</f>
        <v>3</v>
      </c>
      <c r="C40" s="3" t="n">
        <v>13</v>
      </c>
      <c r="D40" s="46" t="n">
        <f aca="false">INDEX(Tc_pl,C40)</f>
        <v>0.6</v>
      </c>
      <c r="E40" s="47" t="n">
        <f aca="false">INDEX(Tc_S,C40)</f>
        <v>45.9946428571429</v>
      </c>
      <c r="F40" s="34" t="n">
        <f aca="false">lam_total*D40*E40/3600</f>
        <v>0.766577380952381</v>
      </c>
      <c r="G40" s="3" t="n">
        <f aca="false">IF(F40&lt;=0.000000000001,0,MAX(ROUNDUP(F40/rho_max-0.000000001,0),IF(redund="Yes",ROUNDUP(F40/rho_fail-0.000000001,0)+1,0)))</f>
        <v>2</v>
      </c>
      <c r="H40" s="3" t="n">
        <f aca="false">MAX(1,ROUNDUP((P_req/(B40*C40)+G40*lpl)/2-0.000000001,0))</f>
        <v>64</v>
      </c>
      <c r="I40" s="47" t="n">
        <f aca="false">H40*u_w</f>
        <v>64</v>
      </c>
      <c r="J40" s="47" t="n">
        <f aca="false">2*B40*u_d+aisle_w</f>
        <v>9.1</v>
      </c>
      <c r="K40" s="47" t="n">
        <f aca="false">C40*u_h</f>
        <v>27.95</v>
      </c>
      <c r="L40" s="47" t="n">
        <f aca="false">IF(G40=0,I40,I40/(2*G40))</f>
        <v>16</v>
      </c>
      <c r="M40" s="34" t="n">
        <f aca="false">((IF((lane_off+(L40))&lt;=(v_sh^2/a_sh),(4/3)*(lane_off+(L40))^1.5/SQRT(a_sh),(4/3)*(v_sh^2/a_sh)^1.5/SQRT(a_sh)+((lane_off+(L40))^2-(v_sh^2/a_sh)^2)/(2*v_sh)+(v_sh/a_sh)*((lane_off+(L40))-(v_sh^2/a_sh))))-(IF((lane_off)&lt;=(v_sh^2/a_sh),(4/3)*(lane_off)^1.5/SQRT(a_sh),(4/3)*(v_sh^2/a_sh)^1.5/SQRT(a_sh)+((lane_off)^2-(v_sh^2/a_sh)^2)/(2*v_sh)+(v_sh/a_sh)*((lane_off)-(v_sh^2/a_sh)))))/(L40)</f>
        <v>9.41906477259639</v>
      </c>
      <c r="N40" s="34" t="n">
        <f aca="false">IF(((B40-1)*u_d/2*(1+f_hc)+lane_off)&lt;=0,0,IF(((B40-1)*u_d/2*(1+f_hc)+lane_off)&gt;=v_sh^2/a_sh,((B40-1)*u_d/2*(1+f_hc)+lane_off)/v_sh+v_sh/a_sh,2*SQRT(((B40-1)*u_d/2*(1+f_hc)+lane_off)/a_sh)))</f>
        <v>4.78330429724056</v>
      </c>
      <c r="O40" s="47" t="n">
        <f aca="false">2*t_sh+2*t_turn+2*M40+2*N40</f>
        <v>86.4047381396739</v>
      </c>
      <c r="P40" s="47" t="n">
        <f aca="false">SUMPRODUCT((Tc_idx&lt;=C40)*(ROUNDUP(lam_total*INDEX(Tc_P,C40,0)*O40/(3600*rho_max)-0.000000001,0)+(ROUNDUP(lam_total*INDEX(Tc_P,C40,0)*O40/(3600*rho_max)-0.000000001,0)&lt;min_sh)*(min_sh-ROUNDUP(lam_total*INDEX(Tc_P,C40,0)*O40/(3600*rho_max)-0.000000001,0))))</f>
        <v>15</v>
      </c>
      <c r="Q40" s="3" t="n">
        <f aca="false">ROUNDUP(P40-0.000000001,0)+spares</f>
        <v>17</v>
      </c>
      <c r="R40" s="45" t="n">
        <f aca="false">B40*C40*(2*H40-G40*lpl)</f>
        <v>4758</v>
      </c>
      <c r="S40" s="45" t="n">
        <f aca="false">R40*fill</f>
        <v>4044.3</v>
      </c>
      <c r="T40" s="45" t="n">
        <f aca="false">I40*J40</f>
        <v>582.4</v>
      </c>
      <c r="U40" s="45" t="n">
        <f aca="false">T40*(K40+headroom)</f>
        <v>17151.68</v>
      </c>
      <c r="V40" s="45" t="n">
        <f aca="false">G40*c_lift</f>
        <v>300000</v>
      </c>
      <c r="W40" s="45" t="n">
        <f aca="false">Q40*c_shut</f>
        <v>850000</v>
      </c>
      <c r="X40" s="45" t="n">
        <f aca="false">R40*c_pos</f>
        <v>475800</v>
      </c>
      <c r="Y40" s="45" t="n">
        <f aca="false">T40*c_m2+U40*c_m3</f>
        <v>747510.4</v>
      </c>
      <c r="Z40" s="45" t="n">
        <f aca="false">SUM(V40:Y40)</f>
        <v>2373310.4</v>
      </c>
      <c r="AA40" s="34" t="n">
        <f aca="false">B40*u_d/(H40*u_w)</f>
        <v>0.0609375</v>
      </c>
      <c r="AB40" s="46" t="n">
        <f aca="false">IF(G40=0,0,F40/G40)</f>
        <v>0.383288690476191</v>
      </c>
      <c r="AC40" s="46" t="n">
        <f aca="false">IF(G40&gt;1,F40/(G40-1),"n/a")</f>
        <v>0.766577380952381</v>
      </c>
      <c r="AD40" s="47" t="n">
        <f aca="false">moves_day*m_pallet*9.81*INDEX(Tc_mh,C40)/3600000</f>
        <v>14.34222</v>
      </c>
      <c r="AE40" s="3" t="n">
        <f aca="false">IF(AND(K40&lt;=H_max,H40&lt;=300,OR(lane_policy="Free (optimize N_C)",B40=sku_pal),OR(env_use="No",AND(I40&lt;=L_bldg,J40&lt;=W_bldg),AND(I40&lt;=W_bldg,J40&lt;=L_bldg))),1,0)</f>
        <v>0</v>
      </c>
      <c r="AF40" s="48" t="n">
        <f aca="false">IF(obj_mode="Total cost",Z40,IF(obj_mode="Shuttle cycle",O40,T40))</f>
        <v>2373310.4</v>
      </c>
      <c r="AG40" s="3" t="n">
        <f aca="false">IF(AE40=1,AF40*(1+A40*0.0000000001),1E+099)</f>
        <v>1E+099</v>
      </c>
      <c r="AH40" s="3" t="str">
        <f aca="false">IF(AE40=1,"",IF(K40&gt;H_max,"height",IF(AND(lane_policy&lt;&gt;"Free (optimize N_C)",B40&lt;&gt;sku_pal),"lane policy","footprint")))</f>
        <v>height</v>
      </c>
    </row>
    <row r="41" customFormat="false" ht="15" hidden="false" customHeight="true" outlineLevel="0" collapsed="false">
      <c r="A41" s="3" t="n">
        <v>34</v>
      </c>
      <c r="B41" s="3" t="n">
        <f aca="false">$C$3</f>
        <v>3</v>
      </c>
      <c r="C41" s="3" t="n">
        <v>14</v>
      </c>
      <c r="D41" s="46" t="n">
        <f aca="false">INDEX(Tc_pl,C41)</f>
        <v>0.6</v>
      </c>
      <c r="E41" s="47" t="n">
        <f aca="false">INDEX(Tc_S,C41)</f>
        <v>46.1738095238095</v>
      </c>
      <c r="F41" s="34" t="n">
        <f aca="false">lam_total*D41*E41/3600</f>
        <v>0.769563492063492</v>
      </c>
      <c r="G41" s="3" t="n">
        <f aca="false">IF(F41&lt;=0.000000000001,0,MAX(ROUNDUP(F41/rho_max-0.000000001,0),IF(redund="Yes",ROUNDUP(F41/rho_fail-0.000000001,0)+1,0)))</f>
        <v>2</v>
      </c>
      <c r="H41" s="3" t="n">
        <f aca="false">MAX(1,ROUNDUP((P_req/(B41*C41)+G41*lpl)/2-0.000000001,0))</f>
        <v>60</v>
      </c>
      <c r="I41" s="47" t="n">
        <f aca="false">H41*u_w</f>
        <v>60</v>
      </c>
      <c r="J41" s="47" t="n">
        <f aca="false">2*B41*u_d+aisle_w</f>
        <v>9.1</v>
      </c>
      <c r="K41" s="47" t="n">
        <f aca="false">C41*u_h</f>
        <v>30.1</v>
      </c>
      <c r="L41" s="47" t="n">
        <f aca="false">IF(G41=0,I41,I41/(2*G41))</f>
        <v>15</v>
      </c>
      <c r="M41" s="34" t="n">
        <f aca="false">((IF((lane_off+(L41))&lt;=(v_sh^2/a_sh),(4/3)*(lane_off+(L41))^1.5/SQRT(a_sh),(4/3)*(v_sh^2/a_sh)^1.5/SQRT(a_sh)+((lane_off+(L41))^2-(v_sh^2/a_sh)^2)/(2*v_sh)+(v_sh/a_sh)*((lane_off+(L41))-(v_sh^2/a_sh))))-(IF((lane_off)&lt;=(v_sh^2/a_sh),(4/3)*(lane_off)^1.5/SQRT(a_sh),(4/3)*(v_sh^2/a_sh)^1.5/SQRT(a_sh)+((lane_off)^2-(v_sh^2/a_sh)^2)/(2*v_sh)+(v_sh/a_sh)*((lane_off)-(v_sh^2/a_sh)))))/(L41)</f>
        <v>9.06033575743615</v>
      </c>
      <c r="N41" s="34" t="n">
        <f aca="false">IF(((B41-1)*u_d/2*(1+f_hc)+lane_off)&lt;=0,0,IF(((B41-1)*u_d/2*(1+f_hc)+lane_off)&gt;=v_sh^2/a_sh,((B41-1)*u_d/2*(1+f_hc)+lane_off)/v_sh+v_sh/a_sh,2*SQRT(((B41-1)*u_d/2*(1+f_hc)+lane_off)/a_sh)))</f>
        <v>4.78330429724056</v>
      </c>
      <c r="O41" s="47" t="n">
        <f aca="false">2*t_sh+2*t_turn+2*M41+2*N41</f>
        <v>85.6872801093534</v>
      </c>
      <c r="P41" s="47" t="n">
        <f aca="false">SUMPRODUCT((Tc_idx&lt;=C41)*(ROUNDUP(lam_total*INDEX(Tc_P,C41,0)*O41/(3600*rho_max)-0.000000001,0)+(ROUNDUP(lam_total*INDEX(Tc_P,C41,0)*O41/(3600*rho_max)-0.000000001,0)&lt;min_sh)*(min_sh-ROUNDUP(lam_total*INDEX(Tc_P,C41,0)*O41/(3600*rho_max)-0.000000001,0))))</f>
        <v>16</v>
      </c>
      <c r="Q41" s="3" t="n">
        <f aca="false">ROUNDUP(P41-0.000000001,0)+spares</f>
        <v>18</v>
      </c>
      <c r="R41" s="45" t="n">
        <f aca="false">B41*C41*(2*H41-G41*lpl)</f>
        <v>4788</v>
      </c>
      <c r="S41" s="45" t="n">
        <f aca="false">R41*fill</f>
        <v>4069.8</v>
      </c>
      <c r="T41" s="45" t="n">
        <f aca="false">I41*J41</f>
        <v>546</v>
      </c>
      <c r="U41" s="45" t="n">
        <f aca="false">T41*(K41+headroom)</f>
        <v>17253.6</v>
      </c>
      <c r="V41" s="45" t="n">
        <f aca="false">G41*c_lift</f>
        <v>300000</v>
      </c>
      <c r="W41" s="45" t="n">
        <f aca="false">Q41*c_shut</f>
        <v>900000</v>
      </c>
      <c r="X41" s="45" t="n">
        <f aca="false">R41*c_pos</f>
        <v>478800</v>
      </c>
      <c r="Y41" s="45" t="n">
        <f aca="false">T41*c_m2+U41*c_m3</f>
        <v>736008</v>
      </c>
      <c r="Z41" s="45" t="n">
        <f aca="false">SUM(V41:Y41)</f>
        <v>2414808</v>
      </c>
      <c r="AA41" s="34" t="n">
        <f aca="false">B41*u_d/(H41*u_w)</f>
        <v>0.065</v>
      </c>
      <c r="AB41" s="46" t="n">
        <f aca="false">IF(G41=0,0,F41/G41)</f>
        <v>0.384781746031746</v>
      </c>
      <c r="AC41" s="46" t="n">
        <f aca="false">IF(G41&gt;1,F41/(G41-1),"n/a")</f>
        <v>0.769563492063492</v>
      </c>
      <c r="AD41" s="47" t="n">
        <f aca="false">moves_day*m_pallet*9.81*INDEX(Tc_mh,C41)/3600000</f>
        <v>14.62344</v>
      </c>
      <c r="AE41" s="3" t="n">
        <f aca="false">IF(AND(K41&lt;=H_max,H41&lt;=300,OR(lane_policy="Free (optimize N_C)",B41=sku_pal),OR(env_use="No",AND(I41&lt;=L_bldg,J41&lt;=W_bldg),AND(I41&lt;=W_bldg,J41&lt;=L_bldg))),1,0)</f>
        <v>0</v>
      </c>
      <c r="AF41" s="48" t="n">
        <f aca="false">IF(obj_mode="Total cost",Z41,IF(obj_mode="Shuttle cycle",O41,T41))</f>
        <v>2414808</v>
      </c>
      <c r="AG41" s="3" t="n">
        <f aca="false">IF(AE41=1,AF41*(1+A41*0.0000000001),1E+099)</f>
        <v>1E+099</v>
      </c>
      <c r="AH41" s="3" t="str">
        <f aca="false">IF(AE41=1,"",IF(K41&gt;H_max,"height",IF(AND(lane_policy&lt;&gt;"Free (optimize N_C)",B41&lt;&gt;sku_pal),"lane policy","footprint")))</f>
        <v>height</v>
      </c>
    </row>
    <row r="42" customFormat="false" ht="15" hidden="false" customHeight="true" outlineLevel="0" collapsed="false">
      <c r="A42" s="3" t="n">
        <v>35</v>
      </c>
      <c r="B42" s="3" t="n">
        <f aca="false">$C$3</f>
        <v>3</v>
      </c>
      <c r="C42" s="3" t="n">
        <v>15</v>
      </c>
      <c r="D42" s="46" t="n">
        <f aca="false">INDEX(Tc_pl,C42)</f>
        <v>0.6</v>
      </c>
      <c r="E42" s="47" t="n">
        <f aca="false">INDEX(Tc_S,C42)</f>
        <v>46.3529761904762</v>
      </c>
      <c r="F42" s="34" t="n">
        <f aca="false">lam_total*D42*E42/3600</f>
        <v>0.772549603174603</v>
      </c>
      <c r="G42" s="3" t="n">
        <f aca="false">IF(F42&lt;=0.000000000001,0,MAX(ROUNDUP(F42/rho_max-0.000000001,0),IF(redund="Yes",ROUNDUP(F42/rho_fail-0.000000001,0)+1,0)))</f>
        <v>2</v>
      </c>
      <c r="H42" s="3" t="n">
        <f aca="false">MAX(1,ROUNDUP((P_req/(B42*C42)+G42*lpl)/2-0.000000001,0))</f>
        <v>56</v>
      </c>
      <c r="I42" s="47" t="n">
        <f aca="false">H42*u_w</f>
        <v>56</v>
      </c>
      <c r="J42" s="47" t="n">
        <f aca="false">2*B42*u_d+aisle_w</f>
        <v>9.1</v>
      </c>
      <c r="K42" s="47" t="n">
        <f aca="false">C42*u_h</f>
        <v>32.25</v>
      </c>
      <c r="L42" s="47" t="n">
        <f aca="false">IF(G42=0,I42,I42/(2*G42))</f>
        <v>14</v>
      </c>
      <c r="M42" s="34" t="n">
        <f aca="false">((IF((lane_off+(L42))&lt;=(v_sh^2/a_sh),(4/3)*(lane_off+(L42))^1.5/SQRT(a_sh),(4/3)*(v_sh^2/a_sh)^1.5/SQRT(a_sh)+((lane_off+(L42))^2-(v_sh^2/a_sh)^2)/(2*v_sh)+(v_sh/a_sh)*((lane_off+(L42))-(v_sh^2/a_sh))))-(IF((lane_off)&lt;=(v_sh^2/a_sh),(4/3)*(lane_off)^1.5/SQRT(a_sh),(4/3)*(v_sh^2/a_sh)^1.5/SQRT(a_sh)+((lane_off)^2-(v_sh^2/a_sh)^2)/(2*v_sh)+(v_sh/a_sh)*((lane_off)-(v_sh^2/a_sh)))))/(L42)</f>
        <v>8.70138014827342</v>
      </c>
      <c r="N42" s="34" t="n">
        <f aca="false">IF(((B42-1)*u_d/2*(1+f_hc)+lane_off)&lt;=0,0,IF(((B42-1)*u_d/2*(1+f_hc)+lane_off)&gt;=v_sh^2/a_sh,((B42-1)*u_d/2*(1+f_hc)+lane_off)/v_sh+v_sh/a_sh,2*SQRT(((B42-1)*u_d/2*(1+f_hc)+lane_off)/a_sh)))</f>
        <v>4.78330429724056</v>
      </c>
      <c r="O42" s="47" t="n">
        <f aca="false">2*t_sh+2*t_turn+2*M42+2*N42</f>
        <v>84.969368891028</v>
      </c>
      <c r="P42" s="47" t="n">
        <f aca="false">SUMPRODUCT((Tc_idx&lt;=C42)*(ROUNDUP(lam_total*INDEX(Tc_P,C42,0)*O42/(3600*rho_max)-0.000000001,0)+(ROUNDUP(lam_total*INDEX(Tc_P,C42,0)*O42/(3600*rho_max)-0.000000001,0)&lt;min_sh)*(min_sh-ROUNDUP(lam_total*INDEX(Tc_P,C42,0)*O42/(3600*rho_max)-0.000000001,0))))</f>
        <v>17</v>
      </c>
      <c r="Q42" s="3" t="n">
        <f aca="false">ROUNDUP(P42-0.000000001,0)+spares</f>
        <v>19</v>
      </c>
      <c r="R42" s="45" t="n">
        <f aca="false">B42*C42*(2*H42-G42*lpl)</f>
        <v>4770</v>
      </c>
      <c r="S42" s="45" t="n">
        <f aca="false">R42*fill</f>
        <v>4054.5</v>
      </c>
      <c r="T42" s="45" t="n">
        <f aca="false">I42*J42</f>
        <v>509.6</v>
      </c>
      <c r="U42" s="45" t="n">
        <f aca="false">T42*(K42+headroom)</f>
        <v>17199</v>
      </c>
      <c r="V42" s="45" t="n">
        <f aca="false">G42*c_lift</f>
        <v>300000</v>
      </c>
      <c r="W42" s="45" t="n">
        <f aca="false">Q42*c_shut</f>
        <v>950000</v>
      </c>
      <c r="X42" s="45" t="n">
        <f aca="false">R42*c_pos</f>
        <v>477000</v>
      </c>
      <c r="Y42" s="45" t="n">
        <f aca="false">T42*c_m2+U42*c_m3</f>
        <v>719810</v>
      </c>
      <c r="Z42" s="45" t="n">
        <f aca="false">SUM(V42:Y42)</f>
        <v>2446810</v>
      </c>
      <c r="AA42" s="34" t="n">
        <f aca="false">B42*u_d/(H42*u_w)</f>
        <v>0.0696428571428572</v>
      </c>
      <c r="AB42" s="46" t="n">
        <f aca="false">IF(G42=0,0,F42/G42)</f>
        <v>0.386274801587302</v>
      </c>
      <c r="AC42" s="46" t="n">
        <f aca="false">IF(G42&gt;1,F42/(G42-1),"n/a")</f>
        <v>0.772549603174603</v>
      </c>
      <c r="AD42" s="47" t="n">
        <f aca="false">moves_day*m_pallet*9.81*INDEX(Tc_mh,C42)/3600000</f>
        <v>14.90466</v>
      </c>
      <c r="AE42" s="3" t="n">
        <f aca="false">IF(AND(K42&lt;=H_max,H42&lt;=300,OR(lane_policy="Free (optimize N_C)",B42=sku_pal),OR(env_use="No",AND(I42&lt;=L_bldg,J42&lt;=W_bldg),AND(I42&lt;=W_bldg,J42&lt;=L_bldg))),1,0)</f>
        <v>0</v>
      </c>
      <c r="AF42" s="48" t="n">
        <f aca="false">IF(obj_mode="Total cost",Z42,IF(obj_mode="Shuttle cycle",O42,T42))</f>
        <v>2446810</v>
      </c>
      <c r="AG42" s="3" t="n">
        <f aca="false">IF(AE42=1,AF42*(1+A42*0.0000000001),1E+099)</f>
        <v>1E+099</v>
      </c>
      <c r="AH42" s="3" t="str">
        <f aca="false">IF(AE42=1,"",IF(K42&gt;H_max,"height",IF(AND(lane_policy&lt;&gt;"Free (optimize N_C)",B42&lt;&gt;sku_pal),"lane policy","footprint")))</f>
        <v>height</v>
      </c>
    </row>
    <row r="43" customFormat="false" ht="15" hidden="false" customHeight="true" outlineLevel="0" collapsed="false">
      <c r="A43" s="3" t="n">
        <v>36</v>
      </c>
      <c r="B43" s="3" t="n">
        <f aca="false">$C$3</f>
        <v>3</v>
      </c>
      <c r="C43" s="3" t="n">
        <v>16</v>
      </c>
      <c r="D43" s="46" t="n">
        <f aca="false">INDEX(Tc_pl,C43)</f>
        <v>0.6</v>
      </c>
      <c r="E43" s="47" t="n">
        <f aca="false">INDEX(Tc_S,C43)</f>
        <v>46.5321428571429</v>
      </c>
      <c r="F43" s="34" t="n">
        <f aca="false">lam_total*D43*E43/3600</f>
        <v>0.775535714285714</v>
      </c>
      <c r="G43" s="3" t="n">
        <f aca="false">IF(F43&lt;=0.000000000001,0,MAX(ROUNDUP(F43/rho_max-0.000000001,0),IF(redund="Yes",ROUNDUP(F43/rho_fail-0.000000001,0)+1,0)))</f>
        <v>2</v>
      </c>
      <c r="H43" s="3" t="n">
        <f aca="false">MAX(1,ROUNDUP((P_req/(B43*C43)+G43*lpl)/2-0.000000001,0))</f>
        <v>53</v>
      </c>
      <c r="I43" s="47" t="n">
        <f aca="false">H43*u_w</f>
        <v>53</v>
      </c>
      <c r="J43" s="47" t="n">
        <f aca="false">2*B43*u_d+aisle_w</f>
        <v>9.1</v>
      </c>
      <c r="K43" s="47" t="n">
        <f aca="false">C43*u_h</f>
        <v>34.4</v>
      </c>
      <c r="L43" s="47" t="n">
        <f aca="false">IF(G43=0,I43,I43/(2*G43))</f>
        <v>13.25</v>
      </c>
      <c r="M43" s="34" t="n">
        <f aca="false">((IF((lane_off+(L43))&lt;=(v_sh^2/a_sh),(4/3)*(lane_off+(L43))^1.5/SQRT(a_sh),(4/3)*(v_sh^2/a_sh)^1.5/SQRT(a_sh)+((lane_off+(L43))^2-(v_sh^2/a_sh)^2)/(2*v_sh)+(v_sh/a_sh)*((lane_off+(L43))-(v_sh^2/a_sh))))-(IF((lane_off)&lt;=(v_sh^2/a_sh),(4/3)*(lane_off)^1.5/SQRT(a_sh),(4/3)*(v_sh^2/a_sh)^1.5/SQRT(a_sh)+((lane_off)^2-(v_sh^2/a_sh)^2)/(2*v_sh)+(v_sh/a_sh)*((lane_off)-(v_sh^2/a_sh)))))/(L43)</f>
        <v>8.43198387634281</v>
      </c>
      <c r="N43" s="34" t="n">
        <f aca="false">IF(((B43-1)*u_d/2*(1+f_hc)+lane_off)&lt;=0,0,IF(((B43-1)*u_d/2*(1+f_hc)+lane_off)&gt;=v_sh^2/a_sh,((B43-1)*u_d/2*(1+f_hc)+lane_off)/v_sh+v_sh/a_sh,2*SQRT(((B43-1)*u_d/2*(1+f_hc)+lane_off)/a_sh)))</f>
        <v>4.78330429724056</v>
      </c>
      <c r="O43" s="47" t="n">
        <f aca="false">2*t_sh+2*t_turn+2*M43+2*N43</f>
        <v>84.4305763471668</v>
      </c>
      <c r="P43" s="47" t="n">
        <f aca="false">SUMPRODUCT((Tc_idx&lt;=C43)*(ROUNDUP(lam_total*INDEX(Tc_P,C43,0)*O43/(3600*rho_max)-0.000000001,0)+(ROUNDUP(lam_total*INDEX(Tc_P,C43,0)*O43/(3600*rho_max)-0.000000001,0)&lt;min_sh)*(min_sh-ROUNDUP(lam_total*INDEX(Tc_P,C43,0)*O43/(3600*rho_max)-0.000000001,0))))</f>
        <v>18</v>
      </c>
      <c r="Q43" s="3" t="n">
        <f aca="false">ROUNDUP(P43-0.000000001,0)+spares</f>
        <v>20</v>
      </c>
      <c r="R43" s="45" t="n">
        <f aca="false">B43*C43*(2*H43-G43*lpl)</f>
        <v>4800</v>
      </c>
      <c r="S43" s="45" t="n">
        <f aca="false">R43*fill</f>
        <v>4080</v>
      </c>
      <c r="T43" s="45" t="n">
        <f aca="false">I43*J43</f>
        <v>482.3</v>
      </c>
      <c r="U43" s="45" t="n">
        <f aca="false">T43*(K43+headroom)</f>
        <v>17314.57</v>
      </c>
      <c r="V43" s="45" t="n">
        <f aca="false">G43*c_lift</f>
        <v>300000</v>
      </c>
      <c r="W43" s="45" t="n">
        <f aca="false">Q43*c_shut</f>
        <v>1000000</v>
      </c>
      <c r="X43" s="45" t="n">
        <f aca="false">R43*c_pos</f>
        <v>480000</v>
      </c>
      <c r="Y43" s="45" t="n">
        <f aca="false">T43*c_m2+U43*c_m3</f>
        <v>712357.1</v>
      </c>
      <c r="Z43" s="45" t="n">
        <f aca="false">SUM(V43:Y43)</f>
        <v>2492357.1</v>
      </c>
      <c r="AA43" s="34" t="n">
        <f aca="false">B43*u_d/(H43*u_w)</f>
        <v>0.0735849056603774</v>
      </c>
      <c r="AB43" s="46" t="n">
        <f aca="false">IF(G43=0,0,F43/G43)</f>
        <v>0.387767857142857</v>
      </c>
      <c r="AC43" s="46" t="n">
        <f aca="false">IF(G43&gt;1,F43/(G43-1),"n/a")</f>
        <v>0.775535714285714</v>
      </c>
      <c r="AD43" s="47" t="n">
        <f aca="false">moves_day*m_pallet*9.81*INDEX(Tc_mh,C43)/3600000</f>
        <v>15.18588</v>
      </c>
      <c r="AE43" s="3" t="n">
        <f aca="false">IF(AND(K43&lt;=H_max,H43&lt;=300,OR(lane_policy="Free (optimize N_C)",B43=sku_pal),OR(env_use="No",AND(I43&lt;=L_bldg,J43&lt;=W_bldg),AND(I43&lt;=W_bldg,J43&lt;=L_bldg))),1,0)</f>
        <v>0</v>
      </c>
      <c r="AF43" s="48" t="n">
        <f aca="false">IF(obj_mode="Total cost",Z43,IF(obj_mode="Shuttle cycle",O43,T43))</f>
        <v>2492357.1</v>
      </c>
      <c r="AG43" s="3" t="n">
        <f aca="false">IF(AE43=1,AF43*(1+A43*0.0000000001),1E+099)</f>
        <v>1E+099</v>
      </c>
      <c r="AH43" s="3" t="str">
        <f aca="false">IF(AE43=1,"",IF(K43&gt;H_max,"height",IF(AND(lane_policy&lt;&gt;"Free (optimize N_C)",B43&lt;&gt;sku_pal),"lane policy","footprint")))</f>
        <v>height</v>
      </c>
    </row>
    <row r="44" customFormat="false" ht="15" hidden="false" customHeight="true" outlineLevel="0" collapsed="false">
      <c r="A44" s="3" t="n">
        <v>37</v>
      </c>
      <c r="B44" s="3" t="n">
        <f aca="false">$C$3</f>
        <v>3</v>
      </c>
      <c r="C44" s="3" t="n">
        <v>17</v>
      </c>
      <c r="D44" s="46" t="n">
        <f aca="false">INDEX(Tc_pl,C44)</f>
        <v>0.6</v>
      </c>
      <c r="E44" s="47" t="n">
        <f aca="false">INDEX(Tc_S,C44)</f>
        <v>46.7113095238095</v>
      </c>
      <c r="F44" s="34" t="n">
        <f aca="false">lam_total*D44*E44/3600</f>
        <v>0.778521825396825</v>
      </c>
      <c r="G44" s="3" t="n">
        <f aca="false">IF(F44&lt;=0.000000000001,0,MAX(ROUNDUP(F44/rho_max-0.000000001,0),IF(redund="Yes",ROUNDUP(F44/rho_fail-0.000000001,0)+1,0)))</f>
        <v>2</v>
      </c>
      <c r="H44" s="3" t="n">
        <f aca="false">MAX(1,ROUNDUP((P_req/(B44*C44)+G44*lpl)/2-0.000000001,0))</f>
        <v>50</v>
      </c>
      <c r="I44" s="47" t="n">
        <f aca="false">H44*u_w</f>
        <v>50</v>
      </c>
      <c r="J44" s="47" t="n">
        <f aca="false">2*B44*u_d+aisle_w</f>
        <v>9.1</v>
      </c>
      <c r="K44" s="47" t="n">
        <f aca="false">C44*u_h</f>
        <v>36.55</v>
      </c>
      <c r="L44" s="47" t="n">
        <f aca="false">IF(G44=0,I44,I44/(2*G44))</f>
        <v>12.5</v>
      </c>
      <c r="M44" s="34" t="n">
        <f aca="false">((IF((lane_off+(L44))&lt;=(v_sh^2/a_sh),(4/3)*(lane_off+(L44))^1.5/SQRT(a_sh),(4/3)*(v_sh^2/a_sh)^1.5/SQRT(a_sh)+((lane_off+(L44))^2-(v_sh^2/a_sh)^2)/(2*v_sh)+(v_sh/a_sh)*((lane_off+(L44))-(v_sh^2/a_sh))))-(IF((lane_off)&lt;=(v_sh^2/a_sh),(4/3)*(lane_off)^1.5/SQRT(a_sh),(4/3)*(v_sh^2/a_sh)^1.5/SQRT(a_sh)+((lane_off)^2-(v_sh^2/a_sh)^2)/(2*v_sh)+(v_sh/a_sh)*((lane_off)-(v_sh^2/a_sh)))))/(L44)</f>
        <v>8.16240290892338</v>
      </c>
      <c r="N44" s="34" t="n">
        <f aca="false">IF(((B44-1)*u_d/2*(1+f_hc)+lane_off)&lt;=0,0,IF(((B44-1)*u_d/2*(1+f_hc)+lane_off)&gt;=v_sh^2/a_sh,((B44-1)*u_d/2*(1+f_hc)+lane_off)/v_sh+v_sh/a_sh,2*SQRT(((B44-1)*u_d/2*(1+f_hc)+lane_off)/a_sh)))</f>
        <v>4.78330429724056</v>
      </c>
      <c r="O44" s="47" t="n">
        <f aca="false">2*t_sh+2*t_turn+2*M44+2*N44</f>
        <v>83.8914144123279</v>
      </c>
      <c r="P44" s="47" t="n">
        <f aca="false">SUMPRODUCT((Tc_idx&lt;=C44)*(ROUNDUP(lam_total*INDEX(Tc_P,C44,0)*O44/(3600*rho_max)-0.000000001,0)+(ROUNDUP(lam_total*INDEX(Tc_P,C44,0)*O44/(3600*rho_max)-0.000000001,0)&lt;min_sh)*(min_sh-ROUNDUP(lam_total*INDEX(Tc_P,C44,0)*O44/(3600*rho_max)-0.000000001,0))))</f>
        <v>19</v>
      </c>
      <c r="Q44" s="3" t="n">
        <f aca="false">ROUNDUP(P44-0.000000001,0)+spares</f>
        <v>21</v>
      </c>
      <c r="R44" s="45" t="n">
        <f aca="false">B44*C44*(2*H44-G44*lpl)</f>
        <v>4794</v>
      </c>
      <c r="S44" s="45" t="n">
        <f aca="false">R44*fill</f>
        <v>4074.9</v>
      </c>
      <c r="T44" s="45" t="n">
        <f aca="false">I44*J44</f>
        <v>455</v>
      </c>
      <c r="U44" s="45" t="n">
        <f aca="false">T44*(K44+headroom)</f>
        <v>17312.75</v>
      </c>
      <c r="V44" s="45" t="n">
        <f aca="false">G44*c_lift</f>
        <v>300000</v>
      </c>
      <c r="W44" s="45" t="n">
        <f aca="false">Q44*c_shut</f>
        <v>1050000</v>
      </c>
      <c r="X44" s="45" t="n">
        <f aca="false">R44*c_pos</f>
        <v>479400</v>
      </c>
      <c r="Y44" s="45" t="n">
        <f aca="false">T44*c_m2+U44*c_m3</f>
        <v>701382.5</v>
      </c>
      <c r="Z44" s="45" t="n">
        <f aca="false">SUM(V44:Y44)</f>
        <v>2530782.5</v>
      </c>
      <c r="AA44" s="34" t="n">
        <f aca="false">B44*u_d/(H44*u_w)</f>
        <v>0.078</v>
      </c>
      <c r="AB44" s="46" t="n">
        <f aca="false">IF(G44=0,0,F44/G44)</f>
        <v>0.389260912698413</v>
      </c>
      <c r="AC44" s="46" t="n">
        <f aca="false">IF(G44&gt;1,F44/(G44-1),"n/a")</f>
        <v>0.778521825396825</v>
      </c>
      <c r="AD44" s="47" t="n">
        <f aca="false">moves_day*m_pallet*9.81*INDEX(Tc_mh,C44)/3600000</f>
        <v>15.4671</v>
      </c>
      <c r="AE44" s="3" t="n">
        <f aca="false">IF(AND(K44&lt;=H_max,H44&lt;=300,OR(lane_policy="Free (optimize N_C)",B44=sku_pal),OR(env_use="No",AND(I44&lt;=L_bldg,J44&lt;=W_bldg),AND(I44&lt;=W_bldg,J44&lt;=L_bldg))),1,0)</f>
        <v>0</v>
      </c>
      <c r="AF44" s="48" t="n">
        <f aca="false">IF(obj_mode="Total cost",Z44,IF(obj_mode="Shuttle cycle",O44,T44))</f>
        <v>2530782.5</v>
      </c>
      <c r="AG44" s="3" t="n">
        <f aca="false">IF(AE44=1,AF44*(1+A44*0.0000000001),1E+099)</f>
        <v>1E+099</v>
      </c>
      <c r="AH44" s="3" t="str">
        <f aca="false">IF(AE44=1,"",IF(K44&gt;H_max,"height",IF(AND(lane_policy&lt;&gt;"Free (optimize N_C)",B44&lt;&gt;sku_pal),"lane policy","footprint")))</f>
        <v>height</v>
      </c>
    </row>
    <row r="45" customFormat="false" ht="15" hidden="false" customHeight="true" outlineLevel="0" collapsed="false">
      <c r="A45" s="3" t="n">
        <v>38</v>
      </c>
      <c r="B45" s="3" t="n">
        <f aca="false">$C$3</f>
        <v>3</v>
      </c>
      <c r="C45" s="3" t="n">
        <v>18</v>
      </c>
      <c r="D45" s="46" t="n">
        <f aca="false">INDEX(Tc_pl,C45)</f>
        <v>0.6</v>
      </c>
      <c r="E45" s="47" t="n">
        <f aca="false">INDEX(Tc_S,C45)</f>
        <v>46.8904761904762</v>
      </c>
      <c r="F45" s="34" t="n">
        <f aca="false">lam_total*D45*E45/3600</f>
        <v>0.781507936507937</v>
      </c>
      <c r="G45" s="3" t="n">
        <f aca="false">IF(F45&lt;=0.000000000001,0,MAX(ROUNDUP(F45/rho_max-0.000000001,0),IF(redund="Yes",ROUNDUP(F45/rho_fail-0.000000001,0)+1,0)))</f>
        <v>2</v>
      </c>
      <c r="H45" s="3" t="n">
        <f aca="false">MAX(1,ROUNDUP((P_req/(B45*C45)+G45*lpl)/2-0.000000001,0))</f>
        <v>47</v>
      </c>
      <c r="I45" s="47" t="n">
        <f aca="false">H45*u_w</f>
        <v>47</v>
      </c>
      <c r="J45" s="47" t="n">
        <f aca="false">2*B45*u_d+aisle_w</f>
        <v>9.1</v>
      </c>
      <c r="K45" s="47" t="n">
        <f aca="false">C45*u_h</f>
        <v>38.7</v>
      </c>
      <c r="L45" s="47" t="n">
        <f aca="false">IF(G45=0,I45,I45/(2*G45))</f>
        <v>11.75</v>
      </c>
      <c r="M45" s="34" t="n">
        <f aca="false">((IF((lane_off+(L45))&lt;=(v_sh^2/a_sh),(4/3)*(lane_off+(L45))^1.5/SQRT(a_sh),(4/3)*(v_sh^2/a_sh)^1.5/SQRT(a_sh)+((lane_off+(L45))^2-(v_sh^2/a_sh)^2)/(2*v_sh)+(v_sh/a_sh)*((lane_off+(L45))-(v_sh^2/a_sh))))-(IF((lane_off)&lt;=(v_sh^2/a_sh),(4/3)*(lane_off)^1.5/SQRT(a_sh),(4/3)*(v_sh^2/a_sh)^1.5/SQRT(a_sh)+((lane_off)^2-(v_sh^2/a_sh)^2)/(2*v_sh)+(v_sh/a_sh)*((lane_off)-(v_sh^2/a_sh)))))/(L45)</f>
        <v>7.89260187879387</v>
      </c>
      <c r="N45" s="34" t="n">
        <f aca="false">IF(((B45-1)*u_d/2*(1+f_hc)+lane_off)&lt;=0,0,IF(((B45-1)*u_d/2*(1+f_hc)+lane_off)&gt;=v_sh^2/a_sh,((B45-1)*u_d/2*(1+f_hc)+lane_off)/v_sh+v_sh/a_sh,2*SQRT(((B45-1)*u_d/2*(1+f_hc)+lane_off)/a_sh)))</f>
        <v>4.78330429724056</v>
      </c>
      <c r="O45" s="47" t="n">
        <f aca="false">2*t_sh+2*t_turn+2*M45+2*N45</f>
        <v>83.3518123520689</v>
      </c>
      <c r="P45" s="47" t="n">
        <f aca="false">SUMPRODUCT((Tc_idx&lt;=C45)*(ROUNDUP(lam_total*INDEX(Tc_P,C45,0)*O45/(3600*rho_max)-0.000000001,0)+(ROUNDUP(lam_total*INDEX(Tc_P,C45,0)*O45/(3600*rho_max)-0.000000001,0)&lt;min_sh)*(min_sh-ROUNDUP(lam_total*INDEX(Tc_P,C45,0)*O45/(3600*rho_max)-0.000000001,0))))</f>
        <v>20</v>
      </c>
      <c r="Q45" s="3" t="n">
        <f aca="false">ROUNDUP(P45-0.000000001,0)+spares</f>
        <v>22</v>
      </c>
      <c r="R45" s="45" t="n">
        <f aca="false">B45*C45*(2*H45-G45*lpl)</f>
        <v>4752</v>
      </c>
      <c r="S45" s="45" t="n">
        <f aca="false">R45*fill</f>
        <v>4039.2</v>
      </c>
      <c r="T45" s="45" t="n">
        <f aca="false">I45*J45</f>
        <v>427.7</v>
      </c>
      <c r="U45" s="45" t="n">
        <f aca="false">T45*(K45+headroom)</f>
        <v>17193.54</v>
      </c>
      <c r="V45" s="45" t="n">
        <f aca="false">G45*c_lift</f>
        <v>300000</v>
      </c>
      <c r="W45" s="45" t="n">
        <f aca="false">Q45*c_shut</f>
        <v>1100000</v>
      </c>
      <c r="X45" s="45" t="n">
        <f aca="false">R45*c_pos</f>
        <v>475200</v>
      </c>
      <c r="Y45" s="45" t="n">
        <f aca="false">T45*c_m2+U45*c_m3</f>
        <v>686886.2</v>
      </c>
      <c r="Z45" s="45" t="n">
        <f aca="false">SUM(V45:Y45)</f>
        <v>2562086.2</v>
      </c>
      <c r="AA45" s="34" t="n">
        <f aca="false">B45*u_d/(H45*u_w)</f>
        <v>0.0829787234042553</v>
      </c>
      <c r="AB45" s="46" t="n">
        <f aca="false">IF(G45=0,0,F45/G45)</f>
        <v>0.390753968253968</v>
      </c>
      <c r="AC45" s="46" t="n">
        <f aca="false">IF(G45&gt;1,F45/(G45-1),"n/a")</f>
        <v>0.781507936507937</v>
      </c>
      <c r="AD45" s="47" t="n">
        <f aca="false">moves_day*m_pallet*9.81*INDEX(Tc_mh,C45)/3600000</f>
        <v>15.74832</v>
      </c>
      <c r="AE45" s="3" t="n">
        <f aca="false">IF(AND(K45&lt;=H_max,H45&lt;=300,OR(lane_policy="Free (optimize N_C)",B45=sku_pal),OR(env_use="No",AND(I45&lt;=L_bldg,J45&lt;=W_bldg),AND(I45&lt;=W_bldg,J45&lt;=L_bldg))),1,0)</f>
        <v>0</v>
      </c>
      <c r="AF45" s="48" t="n">
        <f aca="false">IF(obj_mode="Total cost",Z45,IF(obj_mode="Shuttle cycle",O45,T45))</f>
        <v>2562086.2</v>
      </c>
      <c r="AG45" s="3" t="n">
        <f aca="false">IF(AE45=1,AF45*(1+A45*0.0000000001),1E+099)</f>
        <v>1E+099</v>
      </c>
      <c r="AH45" s="3" t="str">
        <f aca="false">IF(AE45=1,"",IF(K45&gt;H_max,"height",IF(AND(lane_policy&lt;&gt;"Free (optimize N_C)",B45&lt;&gt;sku_pal),"lane policy","footprint")))</f>
        <v>height</v>
      </c>
    </row>
    <row r="46" customFormat="false" ht="15" hidden="false" customHeight="true" outlineLevel="0" collapsed="false">
      <c r="A46" s="3" t="n">
        <v>39</v>
      </c>
      <c r="B46" s="3" t="n">
        <f aca="false">$C$3</f>
        <v>3</v>
      </c>
      <c r="C46" s="3" t="n">
        <v>19</v>
      </c>
      <c r="D46" s="46" t="n">
        <f aca="false">INDEX(Tc_pl,C46)</f>
        <v>0.6</v>
      </c>
      <c r="E46" s="47" t="n">
        <f aca="false">INDEX(Tc_S,C46)</f>
        <v>47.0696428571429</v>
      </c>
      <c r="F46" s="34" t="n">
        <f aca="false">lam_total*D46*E46/3600</f>
        <v>0.784494047619048</v>
      </c>
      <c r="G46" s="3" t="n">
        <f aca="false">IF(F46&lt;=0.000000000001,0,MAX(ROUNDUP(F46/rho_max-0.000000001,0),IF(redund="Yes",ROUNDUP(F46/rho_fail-0.000000001,0)+1,0)))</f>
        <v>2</v>
      </c>
      <c r="H46" s="3" t="n">
        <f aca="false">MAX(1,ROUNDUP((P_req/(B46*C46)+G46*lpl)/2-0.000000001,0))</f>
        <v>45</v>
      </c>
      <c r="I46" s="47" t="n">
        <f aca="false">H46*u_w</f>
        <v>45</v>
      </c>
      <c r="J46" s="47" t="n">
        <f aca="false">2*B46*u_d+aisle_w</f>
        <v>9.1</v>
      </c>
      <c r="K46" s="47" t="n">
        <f aca="false">C46*u_h</f>
        <v>40.85</v>
      </c>
      <c r="L46" s="47" t="n">
        <f aca="false">IF(G46=0,I46,I46/(2*G46))</f>
        <v>11.25</v>
      </c>
      <c r="M46" s="34" t="n">
        <f aca="false">((IF((lane_off+(L46))&lt;=(v_sh^2/a_sh),(4/3)*(lane_off+(L46))^1.5/SQRT(a_sh),(4/3)*(v_sh^2/a_sh)^1.5/SQRT(a_sh)+((lane_off+(L46))^2-(v_sh^2/a_sh)^2)/(2*v_sh)+(v_sh/a_sh)*((lane_off+(L46))-(v_sh^2/a_sh))))-(IF((lane_off)&lt;=(v_sh^2/a_sh),(4/3)*(lane_off)^1.5/SQRT(a_sh),(4/3)*(v_sh^2/a_sh)^1.5/SQRT(a_sh)+((lane_off)^2-(v_sh^2/a_sh)^2)/(2*v_sh)+(v_sh/a_sh)*((lane_off)-(v_sh^2/a_sh)))))/(L46)</f>
        <v>7.71259053372439</v>
      </c>
      <c r="N46" s="34" t="n">
        <f aca="false">IF(((B46-1)*u_d/2*(1+f_hc)+lane_off)&lt;=0,0,IF(((B46-1)*u_d/2*(1+f_hc)+lane_off)&gt;=v_sh^2/a_sh,((B46-1)*u_d/2*(1+f_hc)+lane_off)/v_sh+v_sh/a_sh,2*SQRT(((B46-1)*u_d/2*(1+f_hc)+lane_off)/a_sh)))</f>
        <v>4.78330429724056</v>
      </c>
      <c r="O46" s="47" t="n">
        <f aca="false">2*t_sh+2*t_turn+2*M46+2*N46</f>
        <v>82.9917896619299</v>
      </c>
      <c r="P46" s="47" t="n">
        <f aca="false">SUMPRODUCT((Tc_idx&lt;=C46)*(ROUNDUP(lam_total*INDEX(Tc_P,C46,0)*O46/(3600*rho_max)-0.000000001,0)+(ROUNDUP(lam_total*INDEX(Tc_P,C46,0)*O46/(3600*rho_max)-0.000000001,0)&lt;min_sh)*(min_sh-ROUNDUP(lam_total*INDEX(Tc_P,C46,0)*O46/(3600*rho_max)-0.000000001,0))))</f>
        <v>21</v>
      </c>
      <c r="Q46" s="3" t="n">
        <f aca="false">ROUNDUP(P46-0.000000001,0)+spares</f>
        <v>23</v>
      </c>
      <c r="R46" s="45" t="n">
        <f aca="false">B46*C46*(2*H46-G46*lpl)</f>
        <v>4788</v>
      </c>
      <c r="S46" s="45" t="n">
        <f aca="false">R46*fill</f>
        <v>4069.8</v>
      </c>
      <c r="T46" s="45" t="n">
        <f aca="false">I46*J46</f>
        <v>409.5</v>
      </c>
      <c r="U46" s="45" t="n">
        <f aca="false">T46*(K46+headroom)</f>
        <v>17342.325</v>
      </c>
      <c r="V46" s="45" t="n">
        <f aca="false">G46*c_lift</f>
        <v>300000</v>
      </c>
      <c r="W46" s="45" t="n">
        <f aca="false">Q46*c_shut</f>
        <v>1150000</v>
      </c>
      <c r="X46" s="45" t="n">
        <f aca="false">R46*c_pos</f>
        <v>478800</v>
      </c>
      <c r="Y46" s="45" t="n">
        <f aca="false">T46*c_m2+U46*c_m3</f>
        <v>684069.75</v>
      </c>
      <c r="Z46" s="45" t="n">
        <f aca="false">SUM(V46:Y46)</f>
        <v>2612869.75</v>
      </c>
      <c r="AA46" s="34" t="n">
        <f aca="false">B46*u_d/(H46*u_w)</f>
        <v>0.0866666666666667</v>
      </c>
      <c r="AB46" s="46" t="n">
        <f aca="false">IF(G46=0,0,F46/G46)</f>
        <v>0.392247023809524</v>
      </c>
      <c r="AC46" s="46" t="n">
        <f aca="false">IF(G46&gt;1,F46/(G46-1),"n/a")</f>
        <v>0.784494047619048</v>
      </c>
      <c r="AD46" s="47" t="n">
        <f aca="false">moves_day*m_pallet*9.81*INDEX(Tc_mh,C46)/3600000</f>
        <v>16.02954</v>
      </c>
      <c r="AE46" s="3" t="n">
        <f aca="false">IF(AND(K46&lt;=H_max,H46&lt;=300,OR(lane_policy="Free (optimize N_C)",B46=sku_pal),OR(env_use="No",AND(I46&lt;=L_bldg,J46&lt;=W_bldg),AND(I46&lt;=W_bldg,J46&lt;=L_bldg))),1,0)</f>
        <v>0</v>
      </c>
      <c r="AF46" s="48" t="n">
        <f aca="false">IF(obj_mode="Total cost",Z46,IF(obj_mode="Shuttle cycle",O46,T46))</f>
        <v>2612869.75</v>
      </c>
      <c r="AG46" s="3" t="n">
        <f aca="false">IF(AE46=1,AF46*(1+A46*0.0000000001),1E+099)</f>
        <v>1E+099</v>
      </c>
      <c r="AH46" s="3" t="str">
        <f aca="false">IF(AE46=1,"",IF(K46&gt;H_max,"height",IF(AND(lane_policy&lt;&gt;"Free (optimize N_C)",B46&lt;&gt;sku_pal),"lane policy","footprint")))</f>
        <v>height</v>
      </c>
    </row>
    <row r="47" customFormat="false" ht="15" hidden="false" customHeight="true" outlineLevel="0" collapsed="false">
      <c r="A47" s="3" t="n">
        <v>40</v>
      </c>
      <c r="B47" s="3" t="n">
        <f aca="false">$C$3</f>
        <v>3</v>
      </c>
      <c r="C47" s="3" t="n">
        <v>20</v>
      </c>
      <c r="D47" s="46" t="n">
        <f aca="false">INDEX(Tc_pl,C47)</f>
        <v>0.6</v>
      </c>
      <c r="E47" s="47" t="n">
        <f aca="false">INDEX(Tc_S,C47)</f>
        <v>47.2488095238095</v>
      </c>
      <c r="F47" s="34" t="n">
        <f aca="false">lam_total*D47*E47/3600</f>
        <v>0.787480158730159</v>
      </c>
      <c r="G47" s="3" t="n">
        <f aca="false">IF(F47&lt;=0.000000000001,0,MAX(ROUNDUP(F47/rho_max-0.000000001,0),IF(redund="Yes",ROUNDUP(F47/rho_fail-0.000000001,0)+1,0)))</f>
        <v>2</v>
      </c>
      <c r="H47" s="3" t="n">
        <f aca="false">MAX(1,ROUNDUP((P_req/(B47*C47)+G47*lpl)/2-0.000000001,0))</f>
        <v>43</v>
      </c>
      <c r="I47" s="47" t="n">
        <f aca="false">H47*u_w</f>
        <v>43</v>
      </c>
      <c r="J47" s="47" t="n">
        <f aca="false">2*B47*u_d+aisle_w</f>
        <v>9.1</v>
      </c>
      <c r="K47" s="47" t="n">
        <f aca="false">C47*u_h</f>
        <v>43</v>
      </c>
      <c r="L47" s="47" t="n">
        <f aca="false">IF(G47=0,I47,I47/(2*G47))</f>
        <v>10.75</v>
      </c>
      <c r="M47" s="34" t="n">
        <f aca="false">((IF((lane_off+(L47))&lt;=(v_sh^2/a_sh),(4/3)*(lane_off+(L47))^1.5/SQRT(a_sh),(4/3)*(v_sh^2/a_sh)^1.5/SQRT(a_sh)+((lane_off+(L47))^2-(v_sh^2/a_sh)^2)/(2*v_sh)+(v_sh/a_sh)*((lane_off+(L47))-(v_sh^2/a_sh))))-(IF((lane_off)&lt;=(v_sh^2/a_sh),(4/3)*(lane_off)^1.5/SQRT(a_sh),(4/3)*(v_sh^2/a_sh)^1.5/SQRT(a_sh)+((lane_off)^2-(v_sh^2/a_sh)^2)/(2*v_sh)+(v_sh/a_sh)*((lane_off)-(v_sh^2/a_sh)))))/(L47)</f>
        <v>7.53244524293416</v>
      </c>
      <c r="N47" s="34" t="n">
        <f aca="false">IF(((B47-1)*u_d/2*(1+f_hc)+lane_off)&lt;=0,0,IF(((B47-1)*u_d/2*(1+f_hc)+lane_off)&gt;=v_sh^2/a_sh,((B47-1)*u_d/2*(1+f_hc)+lane_off)/v_sh+v_sh/a_sh,2*SQRT(((B47-1)*u_d/2*(1+f_hc)+lane_off)/a_sh)))</f>
        <v>4.78330429724056</v>
      </c>
      <c r="O47" s="47" t="n">
        <f aca="false">2*t_sh+2*t_turn+2*M47+2*N47</f>
        <v>82.6314990803494</v>
      </c>
      <c r="P47" s="47" t="n">
        <f aca="false">SUMPRODUCT((Tc_idx&lt;=C47)*(ROUNDUP(lam_total*INDEX(Tc_P,C47,0)*O47/(3600*rho_max)-0.000000001,0)+(ROUNDUP(lam_total*INDEX(Tc_P,C47,0)*O47/(3600*rho_max)-0.000000001,0)&lt;min_sh)*(min_sh-ROUNDUP(lam_total*INDEX(Tc_P,C47,0)*O47/(3600*rho_max)-0.000000001,0))))</f>
        <v>22</v>
      </c>
      <c r="Q47" s="3" t="n">
        <f aca="false">ROUNDUP(P47-0.000000001,0)+spares</f>
        <v>24</v>
      </c>
      <c r="R47" s="45" t="n">
        <f aca="false">B47*C47*(2*H47-G47*lpl)</f>
        <v>4800</v>
      </c>
      <c r="S47" s="45" t="n">
        <f aca="false">R47*fill</f>
        <v>4080</v>
      </c>
      <c r="T47" s="45" t="n">
        <f aca="false">I47*J47</f>
        <v>391.3</v>
      </c>
      <c r="U47" s="45" t="n">
        <f aca="false">T47*(K47+headroom)</f>
        <v>17412.85</v>
      </c>
      <c r="V47" s="45" t="n">
        <f aca="false">G47*c_lift</f>
        <v>300000</v>
      </c>
      <c r="W47" s="45" t="n">
        <f aca="false">Q47*c_shut</f>
        <v>1200000</v>
      </c>
      <c r="X47" s="45" t="n">
        <f aca="false">R47*c_pos</f>
        <v>480000</v>
      </c>
      <c r="Y47" s="45" t="n">
        <f aca="false">T47*c_m2+U47*c_m3</f>
        <v>678905.5</v>
      </c>
      <c r="Z47" s="45" t="n">
        <f aca="false">SUM(V47:Y47)</f>
        <v>2658905.5</v>
      </c>
      <c r="AA47" s="34" t="n">
        <f aca="false">B47*u_d/(H47*u_w)</f>
        <v>0.0906976744186047</v>
      </c>
      <c r="AB47" s="46" t="n">
        <f aca="false">IF(G47=0,0,F47/G47)</f>
        <v>0.393740079365079</v>
      </c>
      <c r="AC47" s="46" t="n">
        <f aca="false">IF(G47&gt;1,F47/(G47-1),"n/a")</f>
        <v>0.787480158730159</v>
      </c>
      <c r="AD47" s="47" t="n">
        <f aca="false">moves_day*m_pallet*9.81*INDEX(Tc_mh,C47)/3600000</f>
        <v>16.31076</v>
      </c>
      <c r="AE47" s="3" t="n">
        <f aca="false">IF(AND(K47&lt;=H_max,H47&lt;=300,OR(lane_policy="Free (optimize N_C)",B47=sku_pal),OR(env_use="No",AND(I47&lt;=L_bldg,J47&lt;=W_bldg),AND(I47&lt;=W_bldg,J47&lt;=L_bldg))),1,0)</f>
        <v>0</v>
      </c>
      <c r="AF47" s="48" t="n">
        <f aca="false">IF(obj_mode="Total cost",Z47,IF(obj_mode="Shuttle cycle",O47,T47))</f>
        <v>2658905.5</v>
      </c>
      <c r="AG47" s="3" t="n">
        <f aca="false">IF(AE47=1,AF47*(1+A47*0.0000000001),1E+099)</f>
        <v>1E+099</v>
      </c>
      <c r="AH47" s="3" t="str">
        <f aca="false">IF(AE47=1,"",IF(K47&gt;H_max,"height",IF(AND(lane_policy&lt;&gt;"Free (optimize N_C)",B47&lt;&gt;sku_pal),"lane policy","footprint")))</f>
        <v>height</v>
      </c>
    </row>
    <row r="48" customFormat="false" ht="15" hidden="false" customHeight="true" outlineLevel="0" collapsed="false">
      <c r="A48" s="3" t="n">
        <v>41</v>
      </c>
      <c r="B48" s="3" t="n">
        <f aca="false">$D$3</f>
        <v>4</v>
      </c>
      <c r="C48" s="3" t="n">
        <v>1</v>
      </c>
      <c r="D48" s="46" t="n">
        <f aca="false">INDEX(Tc_pl,C48)</f>
        <v>0</v>
      </c>
      <c r="E48" s="47" t="n">
        <f aca="false">INDEX(Tc_S,C48)</f>
        <v>0</v>
      </c>
      <c r="F48" s="34" t="n">
        <f aca="false">lam_total*D48*E48/3600</f>
        <v>0</v>
      </c>
      <c r="G48" s="3" t="n">
        <f aca="false">IF(F48&lt;=0.000000000001,0,MAX(ROUNDUP(F48/rho_max-0.000000001,0),IF(redund="Yes",ROUNDUP(F48/rho_fail-0.000000001,0)+1,0)))</f>
        <v>0</v>
      </c>
      <c r="H48" s="3" t="n">
        <f aca="false">MAX(1,ROUNDUP((P_req/(B48*C48)+G48*lpl)/2-0.000000001,0))</f>
        <v>589</v>
      </c>
      <c r="I48" s="47" t="n">
        <f aca="false">H48*u_w</f>
        <v>589</v>
      </c>
      <c r="J48" s="47" t="n">
        <f aca="false">2*B48*u_d+aisle_w</f>
        <v>11.7</v>
      </c>
      <c r="K48" s="47" t="n">
        <f aca="false">C48*u_h</f>
        <v>2.15</v>
      </c>
      <c r="L48" s="47" t="n">
        <f aca="false">IF(G48=0,I48,I48/(2*G48))</f>
        <v>589</v>
      </c>
      <c r="M48" s="34" t="n">
        <f aca="false">((IF((lane_off+(L48))&lt;=(v_sh^2/a_sh),(4/3)*(lane_off+(L48))^1.5/SQRT(a_sh),(4/3)*(v_sh^2/a_sh)^1.5/SQRT(a_sh)+((lane_off+(L48))^2-(v_sh^2/a_sh)^2)/(2*v_sh)+(v_sh/a_sh)*((lane_off+(L48))-(v_sh^2/a_sh))))-(IF((lane_off)&lt;=(v_sh^2/a_sh),(4/3)*(lane_off)^1.5/SQRT(a_sh),(4/3)*(v_sh^2/a_sh)^1.5/SQRT(a_sh)+((lane_off)^2-(v_sh^2/a_sh)^2)/(2*v_sh)+(v_sh/a_sh)*((lane_off)-(v_sh^2/a_sh)))))/(L48)</f>
        <v>214.085067973449</v>
      </c>
      <c r="N48" s="34" t="n">
        <f aca="false">IF(((B48-1)*u_d/2*(1+f_hc)+lane_off)&lt;=0,0,IF(((B48-1)*u_d/2*(1+f_hc)+lane_off)&gt;=v_sh^2/a_sh,((B48-1)*u_d/2*(1+f_hc)+lane_off)/v_sh+v_sh/a_sh,2*SQRT(((B48-1)*u_d/2*(1+f_hc)+lane_off)/a_sh)))</f>
        <v>5.39629502529282</v>
      </c>
      <c r="O48" s="47" t="n">
        <f aca="false">2*t_sh+2*t_turn+2*M48+2*N48</f>
        <v>496.962725997484</v>
      </c>
      <c r="P48" s="47" t="n">
        <f aca="false">SUMPRODUCT((Tc_idx&lt;=C48)*(ROUNDUP(lam_total*INDEX(Tc_P,C48,0)*O48/(3600*rho_max)-0.000000001,0)+(ROUNDUP(lam_total*INDEX(Tc_P,C48,0)*O48/(3600*rho_max)-0.000000001,0)&lt;min_sh)*(min_sh-ROUNDUP(lam_total*INDEX(Tc_P,C48,0)*O48/(3600*rho_max)-0.000000001,0))))</f>
        <v>19</v>
      </c>
      <c r="Q48" s="3" t="n">
        <f aca="false">ROUNDUP(P48-0.000000001,0)+spares</f>
        <v>21</v>
      </c>
      <c r="R48" s="45" t="n">
        <f aca="false">B48*C48*(2*H48-G48*lpl)</f>
        <v>4712</v>
      </c>
      <c r="S48" s="45" t="n">
        <f aca="false">R48*fill</f>
        <v>4005.2</v>
      </c>
      <c r="T48" s="45" t="n">
        <f aca="false">I48*J48</f>
        <v>6891.3</v>
      </c>
      <c r="U48" s="45" t="n">
        <f aca="false">T48*(K48+headroom)</f>
        <v>25153.245</v>
      </c>
      <c r="V48" s="45" t="n">
        <f aca="false">G48*c_lift</f>
        <v>0</v>
      </c>
      <c r="W48" s="45" t="n">
        <f aca="false">Q48*c_shut</f>
        <v>1050000</v>
      </c>
      <c r="X48" s="45" t="n">
        <f aca="false">R48*c_pos</f>
        <v>471200</v>
      </c>
      <c r="Y48" s="45" t="n">
        <f aca="false">T48*c_m2+U48*c_m3</f>
        <v>3511117.35</v>
      </c>
      <c r="Z48" s="45" t="n">
        <f aca="false">SUM(V48:Y48)</f>
        <v>5032317.35</v>
      </c>
      <c r="AA48" s="34" t="n">
        <f aca="false">B48*u_d/(H48*u_w)</f>
        <v>0.00882852292020374</v>
      </c>
      <c r="AB48" s="46" t="n">
        <f aca="false">IF(G48=0,0,F48/G48)</f>
        <v>0</v>
      </c>
      <c r="AC48" s="46" t="str">
        <f aca="false">IF(G48&gt;1,F48/(G48-1),"n/a")</f>
        <v>n/a</v>
      </c>
      <c r="AD48" s="47" t="n">
        <f aca="false">moves_day*m_pallet*9.81*INDEX(Tc_mh,C48)/3600000</f>
        <v>0</v>
      </c>
      <c r="AE48" s="3" t="n">
        <f aca="false">IF(AND(K48&lt;=H_max,H48&lt;=300,OR(lane_policy="Free (optimize N_C)",B48=sku_pal),OR(env_use="No",AND(I48&lt;=L_bldg,J48&lt;=W_bldg),AND(I48&lt;=W_bldg,J48&lt;=L_bldg))),1,0)</f>
        <v>0</v>
      </c>
      <c r="AF48" s="48" t="n">
        <f aca="false">IF(obj_mode="Total cost",Z48,IF(obj_mode="Shuttle cycle",O48,T48))</f>
        <v>5032317.35</v>
      </c>
      <c r="AG48" s="3" t="n">
        <f aca="false">IF(AE48=1,AF48*(1+A48*0.0000000001),1E+099)</f>
        <v>1E+099</v>
      </c>
      <c r="AH48" s="3" t="str">
        <f aca="false">IF(AE48=1,"",IF(K48&gt;H_max,"height",IF(AND(lane_policy&lt;&gt;"Free (optimize N_C)",B48&lt;&gt;sku_pal),"lane policy","footprint")))</f>
        <v>footprint</v>
      </c>
    </row>
    <row r="49" customFormat="false" ht="15" hidden="false" customHeight="true" outlineLevel="0" collapsed="false">
      <c r="A49" s="3" t="n">
        <v>42</v>
      </c>
      <c r="B49" s="3" t="n">
        <f aca="false">$D$3</f>
        <v>4</v>
      </c>
      <c r="C49" s="3" t="n">
        <v>2</v>
      </c>
      <c r="D49" s="46" t="n">
        <f aca="false">INDEX(Tc_pl,C49)</f>
        <v>0.5</v>
      </c>
      <c r="E49" s="47" t="n">
        <f aca="false">INDEX(Tc_S,C49)</f>
        <v>41.1571428571429</v>
      </c>
      <c r="F49" s="34" t="n">
        <f aca="false">lam_total*D49*E49/3600</f>
        <v>0.571626984126984</v>
      </c>
      <c r="G49" s="3" t="n">
        <f aca="false">IF(F49&lt;=0.000000000001,0,MAX(ROUNDUP(F49/rho_max-0.000000001,0),IF(redund="Yes",ROUNDUP(F49/rho_fail-0.000000001,0)+1,0)))</f>
        <v>2</v>
      </c>
      <c r="H49" s="3" t="n">
        <f aca="false">MAX(1,ROUNDUP((P_req/(B49*C49)+G49*lpl)/2-0.000000001,0))</f>
        <v>298</v>
      </c>
      <c r="I49" s="47" t="n">
        <f aca="false">H49*u_w</f>
        <v>298</v>
      </c>
      <c r="J49" s="47" t="n">
        <f aca="false">2*B49*u_d+aisle_w</f>
        <v>11.7</v>
      </c>
      <c r="K49" s="47" t="n">
        <f aca="false">C49*u_h</f>
        <v>4.3</v>
      </c>
      <c r="L49" s="47" t="n">
        <f aca="false">IF(G49=0,I49,I49/(2*G49))</f>
        <v>74.5</v>
      </c>
      <c r="M49" s="34" t="n">
        <f aca="false">((IF((lane_off+(L49))&lt;=(v_sh^2/a_sh),(4/3)*(lane_off+(L49))^1.5/SQRT(a_sh),(4/3)*(v_sh^2/a_sh)^1.5/SQRT(a_sh)+((lane_off+(L49))^2-(v_sh^2/a_sh)^2)/(2*v_sh)+(v_sh/a_sh)*((lane_off+(L49))-(v_sh^2/a_sh))))-(IF((lane_off)&lt;=(v_sh^2/a_sh),(4/3)*(lane_off)^1.5/SQRT(a_sh),(4/3)*(v_sh^2/a_sh)^1.5/SQRT(a_sh)+((lane_off)^2-(v_sh^2/a_sh)^2)/(2*v_sh)+(v_sh/a_sh)*((lane_off)-(v_sh^2/a_sh)))))/(L49)</f>
        <v>30.33060451492</v>
      </c>
      <c r="N49" s="34" t="n">
        <f aca="false">IF(((B49-1)*u_d/2*(1+f_hc)+lane_off)&lt;=0,0,IF(((B49-1)*u_d/2*(1+f_hc)+lane_off)&gt;=v_sh^2/a_sh,((B49-1)*u_d/2*(1+f_hc)+lane_off)/v_sh+v_sh/a_sh,2*SQRT(((B49-1)*u_d/2*(1+f_hc)+lane_off)/a_sh)))</f>
        <v>5.39629502529282</v>
      </c>
      <c r="O49" s="47" t="n">
        <f aca="false">2*t_sh+2*t_turn+2*M49+2*N49</f>
        <v>129.453799080426</v>
      </c>
      <c r="P49" s="47" t="n">
        <f aca="false">SUMPRODUCT((Tc_idx&lt;=C49)*(ROUNDUP(lam_total*INDEX(Tc_P,C49,0)*O49/(3600*rho_max)-0.000000001,0)+(ROUNDUP(lam_total*INDEX(Tc_P,C49,0)*O49/(3600*rho_max)-0.000000001,0)&lt;min_sh)*(min_sh-ROUNDUP(lam_total*INDEX(Tc_P,C49,0)*O49/(3600*rho_max)-0.000000001,0))))</f>
        <v>6</v>
      </c>
      <c r="Q49" s="3" t="n">
        <f aca="false">ROUNDUP(P49-0.000000001,0)+spares</f>
        <v>8</v>
      </c>
      <c r="R49" s="45" t="n">
        <f aca="false">B49*C49*(2*H49-G49*lpl)</f>
        <v>4720</v>
      </c>
      <c r="S49" s="45" t="n">
        <f aca="false">R49*fill</f>
        <v>4012</v>
      </c>
      <c r="T49" s="45" t="n">
        <f aca="false">I49*J49</f>
        <v>3486.6</v>
      </c>
      <c r="U49" s="45" t="n">
        <f aca="false">T49*(K49+headroom)</f>
        <v>20222.28</v>
      </c>
      <c r="V49" s="45" t="n">
        <f aca="false">G49*c_lift</f>
        <v>300000</v>
      </c>
      <c r="W49" s="45" t="n">
        <f aca="false">Q49*c_shut</f>
        <v>400000</v>
      </c>
      <c r="X49" s="45" t="n">
        <f aca="false">R49*c_pos</f>
        <v>472000</v>
      </c>
      <c r="Y49" s="45" t="n">
        <f aca="false">T49*c_m2+U49*c_m3</f>
        <v>2001308.4</v>
      </c>
      <c r="Z49" s="45" t="n">
        <f aca="false">SUM(V49:Y49)</f>
        <v>3173308.4</v>
      </c>
      <c r="AA49" s="34" t="n">
        <f aca="false">B49*u_d/(H49*u_w)</f>
        <v>0.0174496644295302</v>
      </c>
      <c r="AB49" s="46" t="n">
        <f aca="false">IF(G49=0,0,F49/G49)</f>
        <v>0.285813492063492</v>
      </c>
      <c r="AC49" s="46" t="n">
        <f aca="false">IF(G49&gt;1,F49/(G49-1),"n/a")</f>
        <v>0.571626984126984</v>
      </c>
      <c r="AD49" s="47" t="n">
        <f aca="false">moves_day*m_pallet*9.81*INDEX(Tc_mh,C49)/3600000</f>
        <v>5.6244</v>
      </c>
      <c r="AE49" s="3" t="n">
        <f aca="false">IF(AND(K49&lt;=H_max,H49&lt;=300,OR(lane_policy="Free (optimize N_C)",B49=sku_pal),OR(env_use="No",AND(I49&lt;=L_bldg,J49&lt;=W_bldg),AND(I49&lt;=W_bldg,J49&lt;=L_bldg))),1,0)</f>
        <v>0</v>
      </c>
      <c r="AF49" s="48" t="n">
        <f aca="false">IF(obj_mode="Total cost",Z49,IF(obj_mode="Shuttle cycle",O49,T49))</f>
        <v>3173308.4</v>
      </c>
      <c r="AG49" s="3" t="n">
        <f aca="false">IF(AE49=1,AF49*(1+A49*0.0000000001),1E+099)</f>
        <v>1E+099</v>
      </c>
      <c r="AH49" s="3" t="str">
        <f aca="false">IF(AE49=1,"",IF(K49&gt;H_max,"height",IF(AND(lane_policy&lt;&gt;"Free (optimize N_C)",B49&lt;&gt;sku_pal),"lane policy","footprint")))</f>
        <v>footprint</v>
      </c>
    </row>
    <row r="50" customFormat="false" ht="15" hidden="false" customHeight="true" outlineLevel="0" collapsed="false">
      <c r="A50" s="3" t="n">
        <v>43</v>
      </c>
      <c r="B50" s="3" t="n">
        <f aca="false">$D$3</f>
        <v>4</v>
      </c>
      <c r="C50" s="3" t="n">
        <v>3</v>
      </c>
      <c r="D50" s="46" t="n">
        <f aca="false">INDEX(Tc_pl,C50)</f>
        <v>0.529411764705882</v>
      </c>
      <c r="E50" s="47" t="n">
        <f aca="false">INDEX(Tc_S,C50)</f>
        <v>41.6349206349206</v>
      </c>
      <c r="F50" s="34" t="n">
        <f aca="false">lam_total*D50*E50/3600</f>
        <v>0.612278244631186</v>
      </c>
      <c r="G50" s="3" t="n">
        <f aca="false">IF(F50&lt;=0.000000000001,0,MAX(ROUNDUP(F50/rho_max-0.000000001,0),IF(redund="Yes",ROUNDUP(F50/rho_fail-0.000000001,0)+1,0)))</f>
        <v>2</v>
      </c>
      <c r="H50" s="3" t="n">
        <f aca="false">MAX(1,ROUNDUP((P_req/(B50*C50)+G50*lpl)/2-0.000000001,0))</f>
        <v>200</v>
      </c>
      <c r="I50" s="47" t="n">
        <f aca="false">H50*u_w</f>
        <v>200</v>
      </c>
      <c r="J50" s="47" t="n">
        <f aca="false">2*B50*u_d+aisle_w</f>
        <v>11.7</v>
      </c>
      <c r="K50" s="47" t="n">
        <f aca="false">C50*u_h</f>
        <v>6.45</v>
      </c>
      <c r="L50" s="47" t="n">
        <f aca="false">IF(G50=0,I50,I50/(2*G50))</f>
        <v>50</v>
      </c>
      <c r="M50" s="34" t="n">
        <f aca="false">((IF((lane_off+(L50))&lt;=(v_sh^2/a_sh),(4/3)*(lane_off+(L50))^1.5/SQRT(a_sh),(4/3)*(v_sh^2/a_sh)^1.5/SQRT(a_sh)+((lane_off+(L50))^2-(v_sh^2/a_sh)^2)/(2*v_sh)+(v_sh/a_sh)*((lane_off+(L50))-(v_sh^2/a_sh))))-(IF((lane_off)&lt;=(v_sh^2/a_sh),(4/3)*(lane_off)^1.5/SQRT(a_sh),(4/3)*(v_sh^2/a_sh)^1.5/SQRT(a_sh)+((lane_off)^2-(v_sh^2/a_sh)^2)/(2*v_sh)+(v_sh/a_sh)*((lane_off)-(v_sh^2/a_sh)))))/(L50)</f>
        <v>21.5781007272308</v>
      </c>
      <c r="N50" s="34" t="n">
        <f aca="false">IF(((B50-1)*u_d/2*(1+f_hc)+lane_off)&lt;=0,0,IF(((B50-1)*u_d/2*(1+f_hc)+lane_off)&gt;=v_sh^2/a_sh,((B50-1)*u_d/2*(1+f_hc)+lane_off)/v_sh+v_sh/a_sh,2*SQRT(((B50-1)*u_d/2*(1+f_hc)+lane_off)/a_sh)))</f>
        <v>5.39629502529282</v>
      </c>
      <c r="O50" s="47" t="n">
        <f aca="false">2*t_sh+2*t_turn+2*M50+2*N50</f>
        <v>111.948791505047</v>
      </c>
      <c r="P50" s="47" t="n">
        <f aca="false">SUMPRODUCT((Tc_idx&lt;=C50)*(ROUNDUP(lam_total*INDEX(Tc_P,C50,0)*O50/(3600*rho_max)-0.000000001,0)+(ROUNDUP(lam_total*INDEX(Tc_P,C50,0)*O50/(3600*rho_max)-0.000000001,0)&lt;min_sh)*(min_sh-ROUNDUP(lam_total*INDEX(Tc_P,C50,0)*O50/(3600*rho_max)-0.000000001,0))))</f>
        <v>5</v>
      </c>
      <c r="Q50" s="3" t="n">
        <f aca="false">ROUNDUP(P50-0.000000001,0)+spares</f>
        <v>7</v>
      </c>
      <c r="R50" s="45" t="n">
        <f aca="false">B50*C50*(2*H50-G50*lpl)</f>
        <v>4728</v>
      </c>
      <c r="S50" s="45" t="n">
        <f aca="false">R50*fill</f>
        <v>4018.8</v>
      </c>
      <c r="T50" s="45" t="n">
        <f aca="false">I50*J50</f>
        <v>2340</v>
      </c>
      <c r="U50" s="45" t="n">
        <f aca="false">T50*(K50+headroom)</f>
        <v>18603</v>
      </c>
      <c r="V50" s="45" t="n">
        <f aca="false">G50*c_lift</f>
        <v>300000</v>
      </c>
      <c r="W50" s="45" t="n">
        <f aca="false">Q50*c_shut</f>
        <v>350000</v>
      </c>
      <c r="X50" s="45" t="n">
        <f aca="false">R50*c_pos</f>
        <v>472800</v>
      </c>
      <c r="Y50" s="45" t="n">
        <f aca="false">T50*c_m2+U50*c_m3</f>
        <v>1494090</v>
      </c>
      <c r="Z50" s="45" t="n">
        <f aca="false">SUM(V50:Y50)</f>
        <v>2616890</v>
      </c>
      <c r="AA50" s="34" t="n">
        <f aca="false">B50*u_d/(H50*u_w)</f>
        <v>0.026</v>
      </c>
      <c r="AB50" s="46" t="n">
        <f aca="false">IF(G50=0,0,F50/G50)</f>
        <v>0.306139122315593</v>
      </c>
      <c r="AC50" s="46" t="n">
        <f aca="false">IF(G50&gt;1,F50/(G50-1),"n/a")</f>
        <v>0.612278244631186</v>
      </c>
      <c r="AD50" s="47" t="n">
        <f aca="false">moves_day*m_pallet*9.81*INDEX(Tc_mh,C50)/3600000</f>
        <v>6.61694117647059</v>
      </c>
      <c r="AE50" s="3" t="n">
        <f aca="false">IF(AND(K50&lt;=H_max,H50&lt;=300,OR(lane_policy="Free (optimize N_C)",B50=sku_pal),OR(env_use="No",AND(I50&lt;=L_bldg,J50&lt;=W_bldg),AND(I50&lt;=W_bldg,J50&lt;=L_bldg))),1,0)</f>
        <v>0</v>
      </c>
      <c r="AF50" s="48" t="n">
        <f aca="false">IF(obj_mode="Total cost",Z50,IF(obj_mode="Shuttle cycle",O50,T50))</f>
        <v>2616890</v>
      </c>
      <c r="AG50" s="3" t="n">
        <f aca="false">IF(AE50=1,AF50*(1+A50*0.0000000001),1E+099)</f>
        <v>1E+099</v>
      </c>
      <c r="AH50" s="3" t="str">
        <f aca="false">IF(AE50=1,"",IF(K50&gt;H_max,"height",IF(AND(lane_policy&lt;&gt;"Free (optimize N_C)",B50&lt;&gt;sku_pal),"lane policy","footprint")))</f>
        <v>footprint</v>
      </c>
    </row>
    <row r="51" customFormat="false" ht="15" hidden="false" customHeight="true" outlineLevel="0" collapsed="false">
      <c r="A51" s="3" t="n">
        <v>44</v>
      </c>
      <c r="B51" s="3" t="n">
        <f aca="false">$D$3</f>
        <v>4</v>
      </c>
      <c r="C51" s="3" t="n">
        <v>4</v>
      </c>
      <c r="D51" s="46" t="n">
        <f aca="false">INDEX(Tc_pl,C51)</f>
        <v>0.555555555555556</v>
      </c>
      <c r="E51" s="47" t="n">
        <f aca="false">INDEX(Tc_S,C51)</f>
        <v>42.4471428571429</v>
      </c>
      <c r="F51" s="34" t="n">
        <f aca="false">lam_total*D51*E51/3600</f>
        <v>0.655048500881834</v>
      </c>
      <c r="G51" s="3" t="n">
        <f aca="false">IF(F51&lt;=0.000000000001,0,MAX(ROUNDUP(F51/rho_max-0.000000001,0),IF(redund="Yes",ROUNDUP(F51/rho_fail-0.000000001,0)+1,0)))</f>
        <v>2</v>
      </c>
      <c r="H51" s="3" t="n">
        <f aca="false">MAX(1,ROUNDUP((P_req/(B51*C51)+G51*lpl)/2-0.000000001,0))</f>
        <v>151</v>
      </c>
      <c r="I51" s="47" t="n">
        <f aca="false">H51*u_w</f>
        <v>151</v>
      </c>
      <c r="J51" s="47" t="n">
        <f aca="false">2*B51*u_d+aisle_w</f>
        <v>11.7</v>
      </c>
      <c r="K51" s="47" t="n">
        <f aca="false">C51*u_h</f>
        <v>8.6</v>
      </c>
      <c r="L51" s="47" t="n">
        <f aca="false">IF(G51=0,I51,I51/(2*G51))</f>
        <v>37.75</v>
      </c>
      <c r="M51" s="34" t="n">
        <f aca="false">((IF((lane_off+(L51))&lt;=(v_sh^2/a_sh),(4/3)*(lane_off+(L51))^1.5/SQRT(a_sh),(4/3)*(v_sh^2/a_sh)^1.5/SQRT(a_sh)+((lane_off+(L51))^2-(v_sh^2/a_sh)^2)/(2*v_sh)+(v_sh/a_sh)*((lane_off+(L51))-(v_sh^2/a_sh))))-(IF((lane_off)&lt;=(v_sh^2/a_sh),(4/3)*(lane_off)^1.5/SQRT(a_sh),(4/3)*(v_sh^2/a_sh)^1.5/SQRT(a_sh)+((lane_off)^2-(v_sh^2/a_sh)^2)/(2*v_sh)+(v_sh/a_sh)*((lane_off)-(v_sh^2/a_sh)))))/(L51)</f>
        <v>17.2006301022925</v>
      </c>
      <c r="N51" s="34" t="n">
        <f aca="false">IF(((B51-1)*u_d/2*(1+f_hc)+lane_off)&lt;=0,0,IF(((B51-1)*u_d/2*(1+f_hc)+lane_off)&gt;=v_sh^2/a_sh,((B51-1)*u_d/2*(1+f_hc)+lane_off)/v_sh+v_sh/a_sh,2*SQRT(((B51-1)*u_d/2*(1+f_hc)+lane_off)/a_sh)))</f>
        <v>5.39629502529282</v>
      </c>
      <c r="O51" s="47" t="n">
        <f aca="false">2*t_sh+2*t_turn+2*M51+2*N51</f>
        <v>103.193850255171</v>
      </c>
      <c r="P51" s="47" t="n">
        <f aca="false">SUMPRODUCT((Tc_idx&lt;=C51)*(ROUNDUP(lam_total*INDEX(Tc_P,C51,0)*O51/(3600*rho_max)-0.000000001,0)+(ROUNDUP(lam_total*INDEX(Tc_P,C51,0)*O51/(3600*rho_max)-0.000000001,0)&lt;min_sh)*(min_sh-ROUNDUP(lam_total*INDEX(Tc_P,C51,0)*O51/(3600*rho_max)-0.000000001,0))))</f>
        <v>6</v>
      </c>
      <c r="Q51" s="3" t="n">
        <f aca="false">ROUNDUP(P51-0.000000001,0)+spares</f>
        <v>8</v>
      </c>
      <c r="R51" s="45" t="n">
        <f aca="false">B51*C51*(2*H51-G51*lpl)</f>
        <v>4736</v>
      </c>
      <c r="S51" s="45" t="n">
        <f aca="false">R51*fill</f>
        <v>4025.6</v>
      </c>
      <c r="T51" s="45" t="n">
        <f aca="false">I51*J51</f>
        <v>1766.7</v>
      </c>
      <c r="U51" s="45" t="n">
        <f aca="false">T51*(K51+headroom)</f>
        <v>17843.67</v>
      </c>
      <c r="V51" s="45" t="n">
        <f aca="false">G51*c_lift</f>
        <v>300000</v>
      </c>
      <c r="W51" s="45" t="n">
        <f aca="false">Q51*c_shut</f>
        <v>400000</v>
      </c>
      <c r="X51" s="45" t="n">
        <f aca="false">R51*c_pos</f>
        <v>473600</v>
      </c>
      <c r="Y51" s="45" t="n">
        <f aca="false">T51*c_m2+U51*c_m3</f>
        <v>1241990.1</v>
      </c>
      <c r="Z51" s="45" t="n">
        <f aca="false">SUM(V51:Y51)</f>
        <v>2415590.1</v>
      </c>
      <c r="AA51" s="34" t="n">
        <f aca="false">B51*u_d/(H51*u_w)</f>
        <v>0.0344370860927152</v>
      </c>
      <c r="AB51" s="46" t="n">
        <f aca="false">IF(G51=0,0,F51/G51)</f>
        <v>0.327524250440917</v>
      </c>
      <c r="AC51" s="46" t="n">
        <f aca="false">IF(G51&gt;1,F51/(G51-1),"n/a")</f>
        <v>0.655048500881834</v>
      </c>
      <c r="AD51" s="47" t="n">
        <f aca="false">moves_day*m_pallet*9.81*INDEX(Tc_mh,C51)/3600000</f>
        <v>8.12413333333333</v>
      </c>
      <c r="AE51" s="3" t="n">
        <f aca="false">IF(AND(K51&lt;=H_max,H51&lt;=300,OR(lane_policy="Free (optimize N_C)",B51=sku_pal),OR(env_use="No",AND(I51&lt;=L_bldg,J51&lt;=W_bldg),AND(I51&lt;=W_bldg,J51&lt;=L_bldg))),1,0)</f>
        <v>0</v>
      </c>
      <c r="AF51" s="48" t="n">
        <f aca="false">IF(obj_mode="Total cost",Z51,IF(obj_mode="Shuttle cycle",O51,T51))</f>
        <v>2415590.1</v>
      </c>
      <c r="AG51" s="3" t="n">
        <f aca="false">IF(AE51=1,AF51*(1+A51*0.0000000001),1E+099)</f>
        <v>1E+099</v>
      </c>
      <c r="AH51" s="3" t="str">
        <f aca="false">IF(AE51=1,"",IF(K51&gt;H_max,"height",IF(AND(lane_policy&lt;&gt;"Free (optimize N_C)",B51&lt;&gt;sku_pal),"lane policy","footprint")))</f>
        <v>footprint</v>
      </c>
    </row>
    <row r="52" customFormat="false" ht="15" hidden="false" customHeight="true" outlineLevel="0" collapsed="false">
      <c r="A52" s="3" t="n">
        <v>45</v>
      </c>
      <c r="B52" s="3" t="n">
        <f aca="false">$D$3</f>
        <v>4</v>
      </c>
      <c r="C52" s="3" t="n">
        <v>5</v>
      </c>
      <c r="D52" s="46" t="n">
        <f aca="false">INDEX(Tc_pl,C52)</f>
        <v>0.578947368421053</v>
      </c>
      <c r="E52" s="47" t="n">
        <f aca="false">INDEX(Tc_S,C52)</f>
        <v>43.5025974025974</v>
      </c>
      <c r="F52" s="34" t="n">
        <f aca="false">lam_total*D52*E52/3600</f>
        <v>0.699603174603175</v>
      </c>
      <c r="G52" s="3" t="n">
        <f aca="false">IF(F52&lt;=0.000000000001,0,MAX(ROUNDUP(F52/rho_max-0.000000001,0),IF(redund="Yes",ROUNDUP(F52/rho_fail-0.000000001,0)+1,0)))</f>
        <v>2</v>
      </c>
      <c r="H52" s="3" t="n">
        <f aca="false">MAX(1,ROUNDUP((P_req/(B52*C52)+G52*lpl)/2-0.000000001,0))</f>
        <v>121</v>
      </c>
      <c r="I52" s="47" t="n">
        <f aca="false">H52*u_w</f>
        <v>121</v>
      </c>
      <c r="J52" s="47" t="n">
        <f aca="false">2*B52*u_d+aisle_w</f>
        <v>11.7</v>
      </c>
      <c r="K52" s="47" t="n">
        <f aca="false">C52*u_h</f>
        <v>10.75</v>
      </c>
      <c r="L52" s="47" t="n">
        <f aca="false">IF(G52=0,I52,I52/(2*G52))</f>
        <v>30.25</v>
      </c>
      <c r="M52" s="34" t="n">
        <f aca="false">((IF((lane_off+(L52))&lt;=(v_sh^2/a_sh),(4/3)*(lane_off+(L52))^1.5/SQRT(a_sh),(4/3)*(v_sh^2/a_sh)^1.5/SQRT(a_sh)+((lane_off+(L52))^2-(v_sh^2/a_sh)^2)/(2*v_sh)+(v_sh/a_sh)*((lane_off+(L52))-(v_sh^2/a_sh))))-(IF((lane_off)&lt;=(v_sh^2/a_sh),(4/3)*(lane_off)^1.5/SQRT(a_sh),(4/3)*(v_sh^2/a_sh)^1.5/SQRT(a_sh)+((lane_off)^2-(v_sh^2/a_sh)^2)/(2*v_sh)+(v_sh/a_sh)*((lane_off)-(v_sh^2/a_sh)))))/(L52)</f>
        <v>14.5195584629554</v>
      </c>
      <c r="N52" s="34" t="n">
        <f aca="false">IF(((B52-1)*u_d/2*(1+f_hc)+lane_off)&lt;=0,0,IF(((B52-1)*u_d/2*(1+f_hc)+lane_off)&gt;=v_sh^2/a_sh,((B52-1)*u_d/2*(1+f_hc)+lane_off)/v_sh+v_sh/a_sh,2*SQRT(((B52-1)*u_d/2*(1+f_hc)+lane_off)/a_sh)))</f>
        <v>5.39629502529282</v>
      </c>
      <c r="O52" s="47" t="n">
        <f aca="false">2*t_sh+2*t_turn+2*M52+2*N52</f>
        <v>97.8317069764963</v>
      </c>
      <c r="P52" s="47" t="n">
        <f aca="false">SUMPRODUCT((Tc_idx&lt;=C52)*(ROUNDUP(lam_total*INDEX(Tc_P,C52,0)*O52/(3600*rho_max)-0.000000001,0)+(ROUNDUP(lam_total*INDEX(Tc_P,C52,0)*O52/(3600*rho_max)-0.000000001,0)&lt;min_sh)*(min_sh-ROUNDUP(lam_total*INDEX(Tc_P,C52,0)*O52/(3600*rho_max)-0.000000001,0))))</f>
        <v>7</v>
      </c>
      <c r="Q52" s="3" t="n">
        <f aca="false">ROUNDUP(P52-0.000000001,0)+spares</f>
        <v>9</v>
      </c>
      <c r="R52" s="45" t="n">
        <f aca="false">B52*C52*(2*H52-G52*lpl)</f>
        <v>4720</v>
      </c>
      <c r="S52" s="45" t="n">
        <f aca="false">R52*fill</f>
        <v>4012</v>
      </c>
      <c r="T52" s="45" t="n">
        <f aca="false">I52*J52</f>
        <v>1415.7</v>
      </c>
      <c r="U52" s="45" t="n">
        <f aca="false">T52*(K52+headroom)</f>
        <v>17342.325</v>
      </c>
      <c r="V52" s="45" t="n">
        <f aca="false">G52*c_lift</f>
        <v>300000</v>
      </c>
      <c r="W52" s="45" t="n">
        <f aca="false">Q52*c_shut</f>
        <v>450000</v>
      </c>
      <c r="X52" s="45" t="n">
        <f aca="false">R52*c_pos</f>
        <v>472000</v>
      </c>
      <c r="Y52" s="45" t="n">
        <f aca="false">T52*c_m2+U52*c_m3</f>
        <v>1086549.75</v>
      </c>
      <c r="Z52" s="45" t="n">
        <f aca="false">SUM(V52:Y52)</f>
        <v>2308549.75</v>
      </c>
      <c r="AA52" s="34" t="n">
        <f aca="false">B52*u_d/(H52*u_w)</f>
        <v>0.0429752066115703</v>
      </c>
      <c r="AB52" s="46" t="n">
        <f aca="false">IF(G52=0,0,F52/G52)</f>
        <v>0.349801587301587</v>
      </c>
      <c r="AC52" s="46" t="n">
        <f aca="false">IF(G52&gt;1,F52/(G52-1),"n/a")</f>
        <v>0.699603174603175</v>
      </c>
      <c r="AD52" s="47" t="n">
        <f aca="false">moves_day*m_pallet*9.81*INDEX(Tc_mh,C52)/3600000</f>
        <v>10.0647157894737</v>
      </c>
      <c r="AE52" s="3" t="n">
        <f aca="false">IF(AND(K52&lt;=H_max,H52&lt;=300,OR(lane_policy="Free (optimize N_C)",B52=sku_pal),OR(env_use="No",AND(I52&lt;=L_bldg,J52&lt;=W_bldg),AND(I52&lt;=W_bldg,J52&lt;=L_bldg))),1,0)</f>
        <v>0</v>
      </c>
      <c r="AF52" s="48" t="n">
        <f aca="false">IF(obj_mode="Total cost",Z52,IF(obj_mode="Shuttle cycle",O52,T52))</f>
        <v>2308549.75</v>
      </c>
      <c r="AG52" s="3" t="n">
        <f aca="false">IF(AE52=1,AF52*(1+A52*0.0000000001),1E+099)</f>
        <v>1E+099</v>
      </c>
      <c r="AH52" s="3" t="str">
        <f aca="false">IF(AE52=1,"",IF(K52&gt;H_max,"height",IF(AND(lane_policy&lt;&gt;"Free (optimize N_C)",B52&lt;&gt;sku_pal),"lane policy","footprint")))</f>
        <v>footprint</v>
      </c>
    </row>
    <row r="53" customFormat="false" ht="15" hidden="false" customHeight="true" outlineLevel="0" collapsed="false">
      <c r="A53" s="3" t="n">
        <v>46</v>
      </c>
      <c r="B53" s="3" t="n">
        <f aca="false">$D$3</f>
        <v>4</v>
      </c>
      <c r="C53" s="3" t="n">
        <v>6</v>
      </c>
      <c r="D53" s="46" t="n">
        <f aca="false">INDEX(Tc_pl,C53)</f>
        <v>0.6</v>
      </c>
      <c r="E53" s="47" t="n">
        <f aca="false">INDEX(Tc_S,C53)</f>
        <v>44.7404761904762</v>
      </c>
      <c r="F53" s="34" t="n">
        <f aca="false">lam_total*D53*E53/3600</f>
        <v>0.745674603174603</v>
      </c>
      <c r="G53" s="3" t="n">
        <f aca="false">IF(F53&lt;=0.000000000001,0,MAX(ROUNDUP(F53/rho_max-0.000000001,0),IF(redund="Yes",ROUNDUP(F53/rho_fail-0.000000001,0)+1,0)))</f>
        <v>2</v>
      </c>
      <c r="H53" s="3" t="n">
        <f aca="false">MAX(1,ROUNDUP((P_req/(B53*C53)+G53*lpl)/2-0.000000001,0))</f>
        <v>102</v>
      </c>
      <c r="I53" s="47" t="n">
        <f aca="false">H53*u_w</f>
        <v>102</v>
      </c>
      <c r="J53" s="47" t="n">
        <f aca="false">2*B53*u_d+aisle_w</f>
        <v>11.7</v>
      </c>
      <c r="K53" s="47" t="n">
        <f aca="false">C53*u_h</f>
        <v>12.9</v>
      </c>
      <c r="L53" s="47" t="n">
        <f aca="false">IF(G53=0,I53,I53/(2*G53))</f>
        <v>25.5</v>
      </c>
      <c r="M53" s="34" t="n">
        <f aca="false">((IF((lane_off+(L53))&lt;=(v_sh^2/a_sh),(4/3)*(lane_off+(L53))^1.5/SQRT(a_sh),(4/3)*(v_sh^2/a_sh)^1.5/SQRT(a_sh)+((lane_off+(L53))^2-(v_sh^2/a_sh)^2)/(2*v_sh)+(v_sh/a_sh)*((lane_off+(L53))-(v_sh^2/a_sh))))-(IF((lane_off)&lt;=(v_sh^2/a_sh),(4/3)*(lane_off)^1.5/SQRT(a_sh),(4/3)*(v_sh^2/a_sh)^1.5/SQRT(a_sh)+((lane_off)^2-(v_sh^2/a_sh)^2)/(2*v_sh)+(v_sh/a_sh)*((lane_off)-(v_sh^2/a_sh)))))/(L53)</f>
        <v>12.8207857396683</v>
      </c>
      <c r="N53" s="34" t="n">
        <f aca="false">IF(((B53-1)*u_d/2*(1+f_hc)+lane_off)&lt;=0,0,IF(((B53-1)*u_d/2*(1+f_hc)+lane_off)&gt;=v_sh^2/a_sh,((B53-1)*u_d/2*(1+f_hc)+lane_off)/v_sh+v_sh/a_sh,2*SQRT(((B53-1)*u_d/2*(1+f_hc)+lane_off)/a_sh)))</f>
        <v>5.39629502529282</v>
      </c>
      <c r="O53" s="47" t="n">
        <f aca="false">2*t_sh+2*t_turn+2*M53+2*N53</f>
        <v>94.4341615299223</v>
      </c>
      <c r="P53" s="47" t="n">
        <f aca="false">SUMPRODUCT((Tc_idx&lt;=C53)*(ROUNDUP(lam_total*INDEX(Tc_P,C53,0)*O53/(3600*rho_max)-0.000000001,0)+(ROUNDUP(lam_total*INDEX(Tc_P,C53,0)*O53/(3600*rho_max)-0.000000001,0)&lt;min_sh)*(min_sh-ROUNDUP(lam_total*INDEX(Tc_P,C53,0)*O53/(3600*rho_max)-0.000000001,0))))</f>
        <v>8</v>
      </c>
      <c r="Q53" s="3" t="n">
        <f aca="false">ROUNDUP(P53-0.000000001,0)+spares</f>
        <v>10</v>
      </c>
      <c r="R53" s="45" t="n">
        <f aca="false">B53*C53*(2*H53-G53*lpl)</f>
        <v>4752</v>
      </c>
      <c r="S53" s="45" t="n">
        <f aca="false">R53*fill</f>
        <v>4039.2</v>
      </c>
      <c r="T53" s="45" t="n">
        <f aca="false">I53*J53</f>
        <v>1193.4</v>
      </c>
      <c r="U53" s="45" t="n">
        <f aca="false">T53*(K53+headroom)</f>
        <v>17184.96</v>
      </c>
      <c r="V53" s="45" t="n">
        <f aca="false">G53*c_lift</f>
        <v>300000</v>
      </c>
      <c r="W53" s="45" t="n">
        <f aca="false">Q53*c_shut</f>
        <v>500000</v>
      </c>
      <c r="X53" s="45" t="n">
        <f aca="false">R53*c_pos</f>
        <v>475200</v>
      </c>
      <c r="Y53" s="45" t="n">
        <f aca="false">T53*c_m2+U53*c_m3</f>
        <v>992908.8</v>
      </c>
      <c r="Z53" s="45" t="n">
        <f aca="false">SUM(V53:Y53)</f>
        <v>2268108.8</v>
      </c>
      <c r="AA53" s="34" t="n">
        <f aca="false">B53*u_d/(H53*u_w)</f>
        <v>0.0509803921568627</v>
      </c>
      <c r="AB53" s="46" t="n">
        <f aca="false">IF(G53=0,0,F53/G53)</f>
        <v>0.372837301587302</v>
      </c>
      <c r="AC53" s="46" t="n">
        <f aca="false">IF(G53&gt;1,F53/(G53-1),"n/a")</f>
        <v>0.745674603174603</v>
      </c>
      <c r="AD53" s="47" t="n">
        <f aca="false">moves_day*m_pallet*9.81*INDEX(Tc_mh,C53)/3600000</f>
        <v>12.37368</v>
      </c>
      <c r="AE53" s="3" t="n">
        <f aca="false">IF(AND(K53&lt;=H_max,H53&lt;=300,OR(lane_policy="Free (optimize N_C)",B53=sku_pal),OR(env_use="No",AND(I53&lt;=L_bldg,J53&lt;=W_bldg),AND(I53&lt;=W_bldg,J53&lt;=L_bldg))),1,0)</f>
        <v>0</v>
      </c>
      <c r="AF53" s="48" t="n">
        <f aca="false">IF(obj_mode="Total cost",Z53,IF(obj_mode="Shuttle cycle",O53,T53))</f>
        <v>2268108.8</v>
      </c>
      <c r="AG53" s="3" t="n">
        <f aca="false">IF(AE53=1,AF53*(1+A53*0.0000000001),1E+099)</f>
        <v>1E+099</v>
      </c>
      <c r="AH53" s="3" t="str">
        <f aca="false">IF(AE53=1,"",IF(K53&gt;H_max,"height",IF(AND(lane_policy&lt;&gt;"Free (optimize N_C)",B53&lt;&gt;sku_pal),"lane policy","footprint")))</f>
        <v>footprint</v>
      </c>
    </row>
    <row r="54" customFormat="false" ht="15" hidden="false" customHeight="true" outlineLevel="0" collapsed="false">
      <c r="A54" s="3" t="n">
        <v>47</v>
      </c>
      <c r="B54" s="3" t="n">
        <f aca="false">$D$3</f>
        <v>4</v>
      </c>
      <c r="C54" s="3" t="n">
        <v>7</v>
      </c>
      <c r="D54" s="46" t="n">
        <f aca="false">INDEX(Tc_pl,C54)</f>
        <v>0.6</v>
      </c>
      <c r="E54" s="47" t="n">
        <f aca="false">INDEX(Tc_S,C54)</f>
        <v>44.9196428571429</v>
      </c>
      <c r="F54" s="34" t="n">
        <f aca="false">lam_total*D54*E54/3600</f>
        <v>0.748660714285714</v>
      </c>
      <c r="G54" s="3" t="n">
        <f aca="false">IF(F54&lt;=0.000000000001,0,MAX(ROUNDUP(F54/rho_max-0.000000001,0),IF(redund="Yes",ROUNDUP(F54/rho_fail-0.000000001,0)+1,0)))</f>
        <v>2</v>
      </c>
      <c r="H54" s="3" t="n">
        <f aca="false">MAX(1,ROUNDUP((P_req/(B54*C54)+G54*lpl)/2-0.000000001,0))</f>
        <v>88</v>
      </c>
      <c r="I54" s="47" t="n">
        <f aca="false">H54*u_w</f>
        <v>88</v>
      </c>
      <c r="J54" s="47" t="n">
        <f aca="false">2*B54*u_d+aisle_w</f>
        <v>11.7</v>
      </c>
      <c r="K54" s="47" t="n">
        <f aca="false">C54*u_h</f>
        <v>15.05</v>
      </c>
      <c r="L54" s="47" t="n">
        <f aca="false">IF(G54=0,I54,I54/(2*G54))</f>
        <v>22</v>
      </c>
      <c r="M54" s="34" t="n">
        <f aca="false">((IF((lane_off+(L54))&lt;=(v_sh^2/a_sh),(4/3)*(lane_off+(L54))^1.5/SQRT(a_sh),(4/3)*(v_sh^2/a_sh)^1.5/SQRT(a_sh)+((lane_off+(L54))^2-(v_sh^2/a_sh)^2)/(2*v_sh)+(v_sh/a_sh)*((lane_off+(L54))-(v_sh^2/a_sh))))-(IF((lane_off)&lt;=(v_sh^2/a_sh),(4/3)*(lane_off)^1.5/SQRT(a_sh),(4/3)*(v_sh^2/a_sh)^1.5/SQRT(a_sh)+((lane_off)^2-(v_sh^2/a_sh)^2)/(2*v_sh)+(v_sh/a_sh)*((lane_off)-(v_sh^2/a_sh)))))/(L54)</f>
        <v>11.5684107437065</v>
      </c>
      <c r="N54" s="34" t="n">
        <f aca="false">IF(((B54-1)*u_d/2*(1+f_hc)+lane_off)&lt;=0,0,IF(((B54-1)*u_d/2*(1+f_hc)+lane_off)&gt;=v_sh^2/a_sh,((B54-1)*u_d/2*(1+f_hc)+lane_off)/v_sh+v_sh/a_sh,2*SQRT(((B54-1)*u_d/2*(1+f_hc)+lane_off)/a_sh)))</f>
        <v>5.39629502529282</v>
      </c>
      <c r="O54" s="47" t="n">
        <f aca="false">2*t_sh+2*t_turn+2*M54+2*N54</f>
        <v>91.9294115379986</v>
      </c>
      <c r="P54" s="47" t="n">
        <f aca="false">SUMPRODUCT((Tc_idx&lt;=C54)*(ROUNDUP(lam_total*INDEX(Tc_P,C54,0)*O54/(3600*rho_max)-0.000000001,0)+(ROUNDUP(lam_total*INDEX(Tc_P,C54,0)*O54/(3600*rho_max)-0.000000001,0)&lt;min_sh)*(min_sh-ROUNDUP(lam_total*INDEX(Tc_P,C54,0)*O54/(3600*rho_max)-0.000000001,0))))</f>
        <v>9</v>
      </c>
      <c r="Q54" s="3" t="n">
        <f aca="false">ROUNDUP(P54-0.000000001,0)+spares</f>
        <v>11</v>
      </c>
      <c r="R54" s="45" t="n">
        <f aca="false">B54*C54*(2*H54-G54*lpl)</f>
        <v>4760</v>
      </c>
      <c r="S54" s="45" t="n">
        <f aca="false">R54*fill</f>
        <v>4046</v>
      </c>
      <c r="T54" s="45" t="n">
        <f aca="false">I54*J54</f>
        <v>1029.6</v>
      </c>
      <c r="U54" s="45" t="n">
        <f aca="false">T54*(K54+headroom)</f>
        <v>17039.88</v>
      </c>
      <c r="V54" s="45" t="n">
        <f aca="false">G54*c_lift</f>
        <v>300000</v>
      </c>
      <c r="W54" s="45" t="n">
        <f aca="false">Q54*c_shut</f>
        <v>550000</v>
      </c>
      <c r="X54" s="45" t="n">
        <f aca="false">R54*c_pos</f>
        <v>476000</v>
      </c>
      <c r="Y54" s="45" t="n">
        <f aca="false">T54*c_m2+U54*c_m3</f>
        <v>923036.4</v>
      </c>
      <c r="Z54" s="45" t="n">
        <f aca="false">SUM(V54:Y54)</f>
        <v>2249036.4</v>
      </c>
      <c r="AA54" s="34" t="n">
        <f aca="false">B54*u_d/(H54*u_w)</f>
        <v>0.0590909090909091</v>
      </c>
      <c r="AB54" s="46" t="n">
        <f aca="false">IF(G54=0,0,F54/G54)</f>
        <v>0.374330357142857</v>
      </c>
      <c r="AC54" s="46" t="n">
        <f aca="false">IF(G54&gt;1,F54/(G54-1),"n/a")</f>
        <v>0.748660714285714</v>
      </c>
      <c r="AD54" s="47" t="n">
        <f aca="false">moves_day*m_pallet*9.81*INDEX(Tc_mh,C54)/3600000</f>
        <v>12.6549</v>
      </c>
      <c r="AE54" s="3" t="n">
        <f aca="false">IF(AND(K54&lt;=H_max,H54&lt;=300,OR(lane_policy="Free (optimize N_C)",B54=sku_pal),OR(env_use="No",AND(I54&lt;=L_bldg,J54&lt;=W_bldg),AND(I54&lt;=W_bldg,J54&lt;=L_bldg))),1,0)</f>
        <v>0</v>
      </c>
      <c r="AF54" s="48" t="n">
        <f aca="false">IF(obj_mode="Total cost",Z54,IF(obj_mode="Shuttle cycle",O54,T54))</f>
        <v>2249036.4</v>
      </c>
      <c r="AG54" s="3" t="n">
        <f aca="false">IF(AE54=1,AF54*(1+A54*0.0000000001),1E+099)</f>
        <v>1E+099</v>
      </c>
      <c r="AH54" s="3" t="str">
        <f aca="false">IF(AE54=1,"",IF(K54&gt;H_max,"height",IF(AND(lane_policy&lt;&gt;"Free (optimize N_C)",B54&lt;&gt;sku_pal),"lane policy","footprint")))</f>
        <v>footprint</v>
      </c>
    </row>
    <row r="55" customFormat="false" ht="15" hidden="false" customHeight="true" outlineLevel="0" collapsed="false">
      <c r="A55" s="3" t="n">
        <v>48</v>
      </c>
      <c r="B55" s="3" t="n">
        <f aca="false">$D$3</f>
        <v>4</v>
      </c>
      <c r="C55" s="3" t="n">
        <v>8</v>
      </c>
      <c r="D55" s="46" t="n">
        <f aca="false">INDEX(Tc_pl,C55)</f>
        <v>0.6</v>
      </c>
      <c r="E55" s="47" t="n">
        <f aca="false">INDEX(Tc_S,C55)</f>
        <v>45.0988095238095</v>
      </c>
      <c r="F55" s="34" t="n">
        <f aca="false">lam_total*D55*E55/3600</f>
        <v>0.751646825396826</v>
      </c>
      <c r="G55" s="3" t="n">
        <f aca="false">IF(F55&lt;=0.000000000001,0,MAX(ROUNDUP(F55/rho_max-0.000000001,0),IF(redund="Yes",ROUNDUP(F55/rho_fail-0.000000001,0)+1,0)))</f>
        <v>2</v>
      </c>
      <c r="H55" s="3" t="n">
        <f aca="false">MAX(1,ROUNDUP((P_req/(B55*C55)+G55*lpl)/2-0.000000001,0))</f>
        <v>77</v>
      </c>
      <c r="I55" s="47" t="n">
        <f aca="false">H55*u_w</f>
        <v>77</v>
      </c>
      <c r="J55" s="47" t="n">
        <f aca="false">2*B55*u_d+aisle_w</f>
        <v>11.7</v>
      </c>
      <c r="K55" s="47" t="n">
        <f aca="false">C55*u_h</f>
        <v>17.2</v>
      </c>
      <c r="L55" s="47" t="n">
        <f aca="false">IF(G55=0,I55,I55/(2*G55))</f>
        <v>19.25</v>
      </c>
      <c r="M55" s="34" t="n">
        <f aca="false">((IF((lane_off+(L55))&lt;=(v_sh^2/a_sh),(4/3)*(lane_off+(L55))^1.5/SQRT(a_sh),(4/3)*(v_sh^2/a_sh)^1.5/SQRT(a_sh)+((lane_off+(L55))^2-(v_sh^2/a_sh)^2)/(2*v_sh)+(v_sh/a_sh)*((lane_off+(L55))-(v_sh^2/a_sh))))-(IF((lane_off)&lt;=(v_sh^2/a_sh),(4/3)*(lane_off)^1.5/SQRT(a_sh),(4/3)*(v_sh^2/a_sh)^1.5/SQRT(a_sh)+((lane_off)^2-(v_sh^2/a_sh)^2)/(2*v_sh)+(v_sh/a_sh)*((lane_off)-(v_sh^2/a_sh)))))/(L55)</f>
        <v>10.5837959519911</v>
      </c>
      <c r="N55" s="34" t="n">
        <f aca="false">IF(((B55-1)*u_d/2*(1+f_hc)+lane_off)&lt;=0,0,IF(((B55-1)*u_d/2*(1+f_hc)+lane_off)&gt;=v_sh^2/a_sh,((B55-1)*u_d/2*(1+f_hc)+lane_off)/v_sh+v_sh/a_sh,2*SQRT(((B55-1)*u_d/2*(1+f_hc)+lane_off)/a_sh)))</f>
        <v>5.39629502529282</v>
      </c>
      <c r="O55" s="47" t="n">
        <f aca="false">2*t_sh+2*t_turn+2*M55+2*N55</f>
        <v>89.9601819545678</v>
      </c>
      <c r="P55" s="47" t="n">
        <f aca="false">SUMPRODUCT((Tc_idx&lt;=C55)*(ROUNDUP(lam_total*INDEX(Tc_P,C55,0)*O55/(3600*rho_max)-0.000000001,0)+(ROUNDUP(lam_total*INDEX(Tc_P,C55,0)*O55/(3600*rho_max)-0.000000001,0)&lt;min_sh)*(min_sh-ROUNDUP(lam_total*INDEX(Tc_P,C55,0)*O55/(3600*rho_max)-0.000000001,0))))</f>
        <v>10</v>
      </c>
      <c r="Q55" s="3" t="n">
        <f aca="false">ROUNDUP(P55-0.000000001,0)+spares</f>
        <v>12</v>
      </c>
      <c r="R55" s="45" t="n">
        <f aca="false">B55*C55*(2*H55-G55*lpl)</f>
        <v>4736</v>
      </c>
      <c r="S55" s="45" t="n">
        <f aca="false">R55*fill</f>
        <v>4025.6</v>
      </c>
      <c r="T55" s="45" t="n">
        <f aca="false">I55*J55</f>
        <v>900.9</v>
      </c>
      <c r="U55" s="45" t="n">
        <f aca="false">T55*(K55+headroom)</f>
        <v>16846.83</v>
      </c>
      <c r="V55" s="45" t="n">
        <f aca="false">G55*c_lift</f>
        <v>300000</v>
      </c>
      <c r="W55" s="45" t="n">
        <f aca="false">Q55*c_shut</f>
        <v>600000</v>
      </c>
      <c r="X55" s="45" t="n">
        <f aca="false">R55*c_pos</f>
        <v>473600</v>
      </c>
      <c r="Y55" s="45" t="n">
        <f aca="false">T55*c_m2+U55*c_m3</f>
        <v>865764.9</v>
      </c>
      <c r="Z55" s="45" t="n">
        <f aca="false">SUM(V55:Y55)</f>
        <v>2239364.9</v>
      </c>
      <c r="AA55" s="34" t="n">
        <f aca="false">B55*u_d/(H55*u_w)</f>
        <v>0.0675324675324675</v>
      </c>
      <c r="AB55" s="46" t="n">
        <f aca="false">IF(G55=0,0,F55/G55)</f>
        <v>0.375823412698413</v>
      </c>
      <c r="AC55" s="46" t="n">
        <f aca="false">IF(G55&gt;1,F55/(G55-1),"n/a")</f>
        <v>0.751646825396826</v>
      </c>
      <c r="AD55" s="47" t="n">
        <f aca="false">moves_day*m_pallet*9.81*INDEX(Tc_mh,C55)/3600000</f>
        <v>12.93612</v>
      </c>
      <c r="AE55" s="3" t="n">
        <f aca="false">IF(AND(K55&lt;=H_max,H55&lt;=300,OR(lane_policy="Free (optimize N_C)",B55=sku_pal),OR(env_use="No",AND(I55&lt;=L_bldg,J55&lt;=W_bldg),AND(I55&lt;=W_bldg,J55&lt;=L_bldg))),1,0)</f>
        <v>0</v>
      </c>
      <c r="AF55" s="48" t="n">
        <f aca="false">IF(obj_mode="Total cost",Z55,IF(obj_mode="Shuttle cycle",O55,T55))</f>
        <v>2239364.9</v>
      </c>
      <c r="AG55" s="3" t="n">
        <f aca="false">IF(AE55=1,AF55*(1+A55*0.0000000001),1E+099)</f>
        <v>1E+099</v>
      </c>
      <c r="AH55" s="3" t="str">
        <f aca="false">IF(AE55=1,"",IF(K55&gt;H_max,"height",IF(AND(lane_policy&lt;&gt;"Free (optimize N_C)",B55&lt;&gt;sku_pal),"lane policy","footprint")))</f>
        <v>footprint</v>
      </c>
    </row>
    <row r="56" customFormat="false" ht="15" hidden="false" customHeight="true" outlineLevel="0" collapsed="false">
      <c r="A56" s="3" t="n">
        <v>49</v>
      </c>
      <c r="B56" s="3" t="n">
        <f aca="false">$D$3</f>
        <v>4</v>
      </c>
      <c r="C56" s="3" t="n">
        <v>9</v>
      </c>
      <c r="D56" s="46" t="n">
        <f aca="false">INDEX(Tc_pl,C56)</f>
        <v>0.6</v>
      </c>
      <c r="E56" s="47" t="n">
        <f aca="false">INDEX(Tc_S,C56)</f>
        <v>45.2779761904762</v>
      </c>
      <c r="F56" s="34" t="n">
        <f aca="false">lam_total*D56*E56/3600</f>
        <v>0.754632936507936</v>
      </c>
      <c r="G56" s="3" t="n">
        <f aca="false">IF(F56&lt;=0.000000000001,0,MAX(ROUNDUP(F56/rho_max-0.000000001,0),IF(redund="Yes",ROUNDUP(F56/rho_fail-0.000000001,0)+1,0)))</f>
        <v>2</v>
      </c>
      <c r="H56" s="3" t="n">
        <f aca="false">MAX(1,ROUNDUP((P_req/(B56*C56)+G56*lpl)/2-0.000000001,0))</f>
        <v>69</v>
      </c>
      <c r="I56" s="47" t="n">
        <f aca="false">H56*u_w</f>
        <v>69</v>
      </c>
      <c r="J56" s="47" t="n">
        <f aca="false">2*B56*u_d+aisle_w</f>
        <v>11.7</v>
      </c>
      <c r="K56" s="47" t="n">
        <f aca="false">C56*u_h</f>
        <v>19.35</v>
      </c>
      <c r="L56" s="47" t="n">
        <f aca="false">IF(G56=0,I56,I56/(2*G56))</f>
        <v>17.25</v>
      </c>
      <c r="M56" s="34" t="n">
        <f aca="false">((IF((lane_off+(L56))&lt;=(v_sh^2/a_sh),(4/3)*(lane_off+(L56))^1.5/SQRT(a_sh),(4/3)*(v_sh^2/a_sh)^1.5/SQRT(a_sh)+((lane_off+(L56))^2-(v_sh^2/a_sh)^2)/(2*v_sh)+(v_sh/a_sh)*((lane_off+(L56))-(v_sh^2/a_sh))))-(IF((lane_off)&lt;=(v_sh^2/a_sh),(4/3)*(lane_off)^1.5/SQRT(a_sh),(4/3)*(v_sh^2/a_sh)^1.5/SQRT(a_sh)+((lane_off)^2-(v_sh^2/a_sh)^2)/(2*v_sh)+(v_sh/a_sh)*((lane_off)-(v_sh^2/a_sh)))))/(L56)</f>
        <v>9.86721742882646</v>
      </c>
      <c r="N56" s="34" t="n">
        <f aca="false">IF(((B56-1)*u_d/2*(1+f_hc)+lane_off)&lt;=0,0,IF(((B56-1)*u_d/2*(1+f_hc)+lane_off)&gt;=v_sh^2/a_sh,((B56-1)*u_d/2*(1+f_hc)+lane_off)/v_sh+v_sh/a_sh,2*SQRT(((B56-1)*u_d/2*(1+f_hc)+lane_off)/a_sh)))</f>
        <v>5.39629502529282</v>
      </c>
      <c r="O56" s="47" t="n">
        <f aca="false">2*t_sh+2*t_turn+2*M56+2*N56</f>
        <v>88.5270249082386</v>
      </c>
      <c r="P56" s="47" t="n">
        <f aca="false">SUMPRODUCT((Tc_idx&lt;=C56)*(ROUNDUP(lam_total*INDEX(Tc_P,C56,0)*O56/(3600*rho_max)-0.000000001,0)+(ROUNDUP(lam_total*INDEX(Tc_P,C56,0)*O56/(3600*rho_max)-0.000000001,0)&lt;min_sh)*(min_sh-ROUNDUP(lam_total*INDEX(Tc_P,C56,0)*O56/(3600*rho_max)-0.000000001,0))))</f>
        <v>11</v>
      </c>
      <c r="Q56" s="3" t="n">
        <f aca="false">ROUNDUP(P56-0.000000001,0)+spares</f>
        <v>13</v>
      </c>
      <c r="R56" s="45" t="n">
        <f aca="false">B56*C56*(2*H56-G56*lpl)</f>
        <v>4752</v>
      </c>
      <c r="S56" s="45" t="n">
        <f aca="false">R56*fill</f>
        <v>4039.2</v>
      </c>
      <c r="T56" s="45" t="n">
        <f aca="false">I56*J56</f>
        <v>807.3</v>
      </c>
      <c r="U56" s="45" t="n">
        <f aca="false">T56*(K56+headroom)</f>
        <v>16832.205</v>
      </c>
      <c r="V56" s="45" t="n">
        <f aca="false">G56*c_lift</f>
        <v>300000</v>
      </c>
      <c r="W56" s="45" t="n">
        <f aca="false">Q56*c_shut</f>
        <v>650000</v>
      </c>
      <c r="X56" s="45" t="n">
        <f aca="false">R56*c_pos</f>
        <v>475200</v>
      </c>
      <c r="Y56" s="45" t="n">
        <f aca="false">T56*c_m2+U56*c_m3</f>
        <v>827886.15</v>
      </c>
      <c r="Z56" s="45" t="n">
        <f aca="false">SUM(V56:Y56)</f>
        <v>2253086.15</v>
      </c>
      <c r="AA56" s="34" t="n">
        <f aca="false">B56*u_d/(H56*u_w)</f>
        <v>0.0753623188405797</v>
      </c>
      <c r="AB56" s="46" t="n">
        <f aca="false">IF(G56=0,0,F56/G56)</f>
        <v>0.377316468253968</v>
      </c>
      <c r="AC56" s="46" t="n">
        <f aca="false">IF(G56&gt;1,F56/(G56-1),"n/a")</f>
        <v>0.754632936507936</v>
      </c>
      <c r="AD56" s="47" t="n">
        <f aca="false">moves_day*m_pallet*9.81*INDEX(Tc_mh,C56)/3600000</f>
        <v>13.21734</v>
      </c>
      <c r="AE56" s="3" t="n">
        <f aca="false">IF(AND(K56&lt;=H_max,H56&lt;=300,OR(lane_policy="Free (optimize N_C)",B56=sku_pal),OR(env_use="No",AND(I56&lt;=L_bldg,J56&lt;=W_bldg),AND(I56&lt;=W_bldg,J56&lt;=L_bldg))),1,0)</f>
        <v>0</v>
      </c>
      <c r="AF56" s="48" t="n">
        <f aca="false">IF(obj_mode="Total cost",Z56,IF(obj_mode="Shuttle cycle",O56,T56))</f>
        <v>2253086.15</v>
      </c>
      <c r="AG56" s="3" t="n">
        <f aca="false">IF(AE56=1,AF56*(1+A56*0.0000000001),1E+099)</f>
        <v>1E+099</v>
      </c>
      <c r="AH56" s="3" t="str">
        <f aca="false">IF(AE56=1,"",IF(K56&gt;H_max,"height",IF(AND(lane_policy&lt;&gt;"Free (optimize N_C)",B56&lt;&gt;sku_pal),"lane policy","footprint")))</f>
        <v>footprint</v>
      </c>
    </row>
    <row r="57" customFormat="false" ht="15" hidden="false" customHeight="true" outlineLevel="0" collapsed="false">
      <c r="A57" s="3" t="n">
        <v>50</v>
      </c>
      <c r="B57" s="3" t="n">
        <f aca="false">$D$3</f>
        <v>4</v>
      </c>
      <c r="C57" s="3" t="n">
        <v>10</v>
      </c>
      <c r="D57" s="46" t="n">
        <f aca="false">INDEX(Tc_pl,C57)</f>
        <v>0.6</v>
      </c>
      <c r="E57" s="47" t="n">
        <f aca="false">INDEX(Tc_S,C57)</f>
        <v>45.4571428571429</v>
      </c>
      <c r="F57" s="34" t="n">
        <f aca="false">lam_total*D57*E57/3600</f>
        <v>0.757619047619048</v>
      </c>
      <c r="G57" s="3" t="n">
        <f aca="false">IF(F57&lt;=0.000000000001,0,MAX(ROUNDUP(F57/rho_max-0.000000001,0),IF(redund="Yes",ROUNDUP(F57/rho_fail-0.000000001,0)+1,0)))</f>
        <v>2</v>
      </c>
      <c r="H57" s="3" t="n">
        <f aca="false">MAX(1,ROUNDUP((P_req/(B57*C57)+G57*lpl)/2-0.000000001,0))</f>
        <v>62</v>
      </c>
      <c r="I57" s="47" t="n">
        <f aca="false">H57*u_w</f>
        <v>62</v>
      </c>
      <c r="J57" s="47" t="n">
        <f aca="false">2*B57*u_d+aisle_w</f>
        <v>11.7</v>
      </c>
      <c r="K57" s="47" t="n">
        <f aca="false">C57*u_h</f>
        <v>21.5</v>
      </c>
      <c r="L57" s="47" t="n">
        <f aca="false">IF(G57=0,I57,I57/(2*G57))</f>
        <v>15.5</v>
      </c>
      <c r="M57" s="34" t="n">
        <f aca="false">((IF((lane_off+(L57))&lt;=(v_sh^2/a_sh),(4/3)*(lane_off+(L57))^1.5/SQRT(a_sh),(4/3)*(v_sh^2/a_sh)^1.5/SQRT(a_sh)+((lane_off+(L57))^2-(v_sh^2/a_sh)^2)/(2*v_sh)+(v_sh/a_sh)*((lane_off+(L57))-(v_sh^2/a_sh))))-(IF((lane_off)&lt;=(v_sh^2/a_sh),(4/3)*(lane_off)^1.5/SQRT(a_sh),(4/3)*(v_sh^2/a_sh)^1.5/SQRT(a_sh)+((lane_off)^2-(v_sh^2/a_sh)^2)/(2*v_sh)+(v_sh/a_sh)*((lane_off)-(v_sh^2/a_sh)))))/(L57)</f>
        <v>9.2397258482101</v>
      </c>
      <c r="N57" s="34" t="n">
        <f aca="false">IF(((B57-1)*u_d/2*(1+f_hc)+lane_off)&lt;=0,0,IF(((B57-1)*u_d/2*(1+f_hc)+lane_off)&gt;=v_sh^2/a_sh,((B57-1)*u_d/2*(1+f_hc)+lane_off)/v_sh+v_sh/a_sh,2*SQRT(((B57-1)*u_d/2*(1+f_hc)+lane_off)/a_sh)))</f>
        <v>5.39629502529282</v>
      </c>
      <c r="O57" s="47" t="n">
        <f aca="false">2*t_sh+2*t_turn+2*M57+2*N57</f>
        <v>87.2720417470058</v>
      </c>
      <c r="P57" s="47" t="n">
        <f aca="false">SUMPRODUCT((Tc_idx&lt;=C57)*(ROUNDUP(lam_total*INDEX(Tc_P,C57,0)*O57/(3600*rho_max)-0.000000001,0)+(ROUNDUP(lam_total*INDEX(Tc_P,C57,0)*O57/(3600*rho_max)-0.000000001,0)&lt;min_sh)*(min_sh-ROUNDUP(lam_total*INDEX(Tc_P,C57,0)*O57/(3600*rho_max)-0.000000001,0))))</f>
        <v>12</v>
      </c>
      <c r="Q57" s="3" t="n">
        <f aca="false">ROUNDUP(P57-0.000000001,0)+spares</f>
        <v>14</v>
      </c>
      <c r="R57" s="45" t="n">
        <f aca="false">B57*C57*(2*H57-G57*lpl)</f>
        <v>4720</v>
      </c>
      <c r="S57" s="45" t="n">
        <f aca="false">R57*fill</f>
        <v>4012</v>
      </c>
      <c r="T57" s="45" t="n">
        <f aca="false">I57*J57</f>
        <v>725.4</v>
      </c>
      <c r="U57" s="45" t="n">
        <f aca="false">T57*(K57+headroom)</f>
        <v>16684.2</v>
      </c>
      <c r="V57" s="45" t="n">
        <f aca="false">G57*c_lift</f>
        <v>300000</v>
      </c>
      <c r="W57" s="45" t="n">
        <f aca="false">Q57*c_shut</f>
        <v>700000</v>
      </c>
      <c r="X57" s="45" t="n">
        <f aca="false">R57*c_pos</f>
        <v>472000</v>
      </c>
      <c r="Y57" s="45" t="n">
        <f aca="false">T57*c_m2+U57*c_m3</f>
        <v>790686</v>
      </c>
      <c r="Z57" s="45" t="n">
        <f aca="false">SUM(V57:Y57)</f>
        <v>2262686</v>
      </c>
      <c r="AA57" s="34" t="n">
        <f aca="false">B57*u_d/(H57*u_w)</f>
        <v>0.0838709677419355</v>
      </c>
      <c r="AB57" s="46" t="n">
        <f aca="false">IF(G57=0,0,F57/G57)</f>
        <v>0.378809523809524</v>
      </c>
      <c r="AC57" s="46" t="n">
        <f aca="false">IF(G57&gt;1,F57/(G57-1),"n/a")</f>
        <v>0.757619047619048</v>
      </c>
      <c r="AD57" s="47" t="n">
        <f aca="false">moves_day*m_pallet*9.81*INDEX(Tc_mh,C57)/3600000</f>
        <v>13.49856</v>
      </c>
      <c r="AE57" s="3" t="n">
        <f aca="false">IF(AND(K57&lt;=H_max,H57&lt;=300,OR(lane_policy="Free (optimize N_C)",B57=sku_pal),OR(env_use="No",AND(I57&lt;=L_bldg,J57&lt;=W_bldg),AND(I57&lt;=W_bldg,J57&lt;=L_bldg))),1,0)</f>
        <v>0</v>
      </c>
      <c r="AF57" s="48" t="n">
        <f aca="false">IF(obj_mode="Total cost",Z57,IF(obj_mode="Shuttle cycle",O57,T57))</f>
        <v>2262686</v>
      </c>
      <c r="AG57" s="3" t="n">
        <f aca="false">IF(AE57=1,AF57*(1+A57*0.0000000001),1E+099)</f>
        <v>1E+099</v>
      </c>
      <c r="AH57" s="3" t="str">
        <f aca="false">IF(AE57=1,"",IF(K57&gt;H_max,"height",IF(AND(lane_policy&lt;&gt;"Free (optimize N_C)",B57&lt;&gt;sku_pal),"lane policy","footprint")))</f>
        <v>height</v>
      </c>
    </row>
    <row r="58" customFormat="false" ht="15" hidden="false" customHeight="true" outlineLevel="0" collapsed="false">
      <c r="A58" s="3" t="n">
        <v>51</v>
      </c>
      <c r="B58" s="3" t="n">
        <f aca="false">$D$3</f>
        <v>4</v>
      </c>
      <c r="C58" s="3" t="n">
        <v>11</v>
      </c>
      <c r="D58" s="46" t="n">
        <f aca="false">INDEX(Tc_pl,C58)</f>
        <v>0.6</v>
      </c>
      <c r="E58" s="47" t="n">
        <f aca="false">INDEX(Tc_S,C58)</f>
        <v>45.6363095238095</v>
      </c>
      <c r="F58" s="34" t="n">
        <f aca="false">lam_total*D58*E58/3600</f>
        <v>0.760605158730159</v>
      </c>
      <c r="G58" s="3" t="n">
        <f aca="false">IF(F58&lt;=0.000000000001,0,MAX(ROUNDUP(F58/rho_max-0.000000001,0),IF(redund="Yes",ROUNDUP(F58/rho_fail-0.000000001,0)+1,0)))</f>
        <v>2</v>
      </c>
      <c r="H58" s="3" t="n">
        <f aca="false">MAX(1,ROUNDUP((P_req/(B58*C58)+G58*lpl)/2-0.000000001,0))</f>
        <v>57</v>
      </c>
      <c r="I58" s="47" t="n">
        <f aca="false">H58*u_w</f>
        <v>57</v>
      </c>
      <c r="J58" s="47" t="n">
        <f aca="false">2*B58*u_d+aisle_w</f>
        <v>11.7</v>
      </c>
      <c r="K58" s="47" t="n">
        <f aca="false">C58*u_h</f>
        <v>23.65</v>
      </c>
      <c r="L58" s="47" t="n">
        <f aca="false">IF(G58=0,I58,I58/(2*G58))</f>
        <v>14.25</v>
      </c>
      <c r="M58" s="34" t="n">
        <f aca="false">((IF((lane_off+(L58))&lt;=(v_sh^2/a_sh),(4/3)*(lane_off+(L58))^1.5/SQRT(a_sh),(4/3)*(v_sh^2/a_sh)^1.5/SQRT(a_sh)+((lane_off+(L58))^2-(v_sh^2/a_sh)^2)/(2*v_sh)+(v_sh/a_sh)*((lane_off+(L58))-(v_sh^2/a_sh))))-(IF((lane_off)&lt;=(v_sh^2/a_sh),(4/3)*(lane_off)^1.5/SQRT(a_sh),(4/3)*(v_sh^2/a_sh)^1.5/SQRT(a_sh)+((lane_off)^2-(v_sh^2/a_sh)^2)/(2*v_sh)+(v_sh/a_sh)*((lane_off)-(v_sh^2/a_sh)))))/(L58)</f>
        <v>8.79114290256437</v>
      </c>
      <c r="N58" s="34" t="n">
        <f aca="false">IF(((B58-1)*u_d/2*(1+f_hc)+lane_off)&lt;=0,0,IF(((B58-1)*u_d/2*(1+f_hc)+lane_off)&gt;=v_sh^2/a_sh,((B58-1)*u_d/2*(1+f_hc)+lane_off)/v_sh+v_sh/a_sh,2*SQRT(((B58-1)*u_d/2*(1+f_hc)+lane_off)/a_sh)))</f>
        <v>5.39629502529282</v>
      </c>
      <c r="O58" s="47" t="n">
        <f aca="false">2*t_sh+2*t_turn+2*M58+2*N58</f>
        <v>86.3748758557144</v>
      </c>
      <c r="P58" s="47" t="n">
        <f aca="false">SUMPRODUCT((Tc_idx&lt;=C58)*(ROUNDUP(lam_total*INDEX(Tc_P,C58,0)*O58/(3600*rho_max)-0.000000001,0)+(ROUNDUP(lam_total*INDEX(Tc_P,C58,0)*O58/(3600*rho_max)-0.000000001,0)&lt;min_sh)*(min_sh-ROUNDUP(lam_total*INDEX(Tc_P,C58,0)*O58/(3600*rho_max)-0.000000001,0))))</f>
        <v>13</v>
      </c>
      <c r="Q58" s="3" t="n">
        <f aca="false">ROUNDUP(P58-0.000000001,0)+spares</f>
        <v>15</v>
      </c>
      <c r="R58" s="45" t="n">
        <f aca="false">B58*C58*(2*H58-G58*lpl)</f>
        <v>4752</v>
      </c>
      <c r="S58" s="45" t="n">
        <f aca="false">R58*fill</f>
        <v>4039.2</v>
      </c>
      <c r="T58" s="45" t="n">
        <f aca="false">I58*J58</f>
        <v>666.9</v>
      </c>
      <c r="U58" s="45" t="n">
        <f aca="false">T58*(K58+headroom)</f>
        <v>16772.535</v>
      </c>
      <c r="V58" s="45" t="n">
        <f aca="false">G58*c_lift</f>
        <v>300000</v>
      </c>
      <c r="W58" s="45" t="n">
        <f aca="false">Q58*c_shut</f>
        <v>750000</v>
      </c>
      <c r="X58" s="45" t="n">
        <f aca="false">R58*c_pos</f>
        <v>475200</v>
      </c>
      <c r="Y58" s="45" t="n">
        <f aca="false">T58*c_m2+U58*c_m3</f>
        <v>769936.05</v>
      </c>
      <c r="Z58" s="45" t="n">
        <f aca="false">SUM(V58:Y58)</f>
        <v>2295136.05</v>
      </c>
      <c r="AA58" s="34" t="n">
        <f aca="false">B58*u_d/(H58*u_w)</f>
        <v>0.0912280701754386</v>
      </c>
      <c r="AB58" s="46" t="n">
        <f aca="false">IF(G58=0,0,F58/G58)</f>
        <v>0.380302579365079</v>
      </c>
      <c r="AC58" s="46" t="n">
        <f aca="false">IF(G58&gt;1,F58/(G58-1),"n/a")</f>
        <v>0.760605158730159</v>
      </c>
      <c r="AD58" s="47" t="n">
        <f aca="false">moves_day*m_pallet*9.81*INDEX(Tc_mh,C58)/3600000</f>
        <v>13.77978</v>
      </c>
      <c r="AE58" s="3" t="n">
        <f aca="false">IF(AND(K58&lt;=H_max,H58&lt;=300,OR(lane_policy="Free (optimize N_C)",B58=sku_pal),OR(env_use="No",AND(I58&lt;=L_bldg,J58&lt;=W_bldg),AND(I58&lt;=W_bldg,J58&lt;=L_bldg))),1,0)</f>
        <v>0</v>
      </c>
      <c r="AF58" s="48" t="n">
        <f aca="false">IF(obj_mode="Total cost",Z58,IF(obj_mode="Shuttle cycle",O58,T58))</f>
        <v>2295136.05</v>
      </c>
      <c r="AG58" s="3" t="n">
        <f aca="false">IF(AE58=1,AF58*(1+A58*0.0000000001),1E+099)</f>
        <v>1E+099</v>
      </c>
      <c r="AH58" s="3" t="str">
        <f aca="false">IF(AE58=1,"",IF(K58&gt;H_max,"height",IF(AND(lane_policy&lt;&gt;"Free (optimize N_C)",B58&lt;&gt;sku_pal),"lane policy","footprint")))</f>
        <v>height</v>
      </c>
    </row>
    <row r="59" customFormat="false" ht="15" hidden="false" customHeight="true" outlineLevel="0" collapsed="false">
      <c r="A59" s="3" t="n">
        <v>52</v>
      </c>
      <c r="B59" s="3" t="n">
        <f aca="false">$D$3</f>
        <v>4</v>
      </c>
      <c r="C59" s="3" t="n">
        <v>12</v>
      </c>
      <c r="D59" s="46" t="n">
        <f aca="false">INDEX(Tc_pl,C59)</f>
        <v>0.6</v>
      </c>
      <c r="E59" s="47" t="n">
        <f aca="false">INDEX(Tc_S,C59)</f>
        <v>45.8154761904762</v>
      </c>
      <c r="F59" s="34" t="n">
        <f aca="false">lam_total*D59*E59/3600</f>
        <v>0.76359126984127</v>
      </c>
      <c r="G59" s="3" t="n">
        <f aca="false">IF(F59&lt;=0.000000000001,0,MAX(ROUNDUP(F59/rho_max-0.000000001,0),IF(redund="Yes",ROUNDUP(F59/rho_fail-0.000000001,0)+1,0)))</f>
        <v>2</v>
      </c>
      <c r="H59" s="3" t="n">
        <f aca="false">MAX(1,ROUNDUP((P_req/(B59*C59)+G59*lpl)/2-0.000000001,0))</f>
        <v>53</v>
      </c>
      <c r="I59" s="47" t="n">
        <f aca="false">H59*u_w</f>
        <v>53</v>
      </c>
      <c r="J59" s="47" t="n">
        <f aca="false">2*B59*u_d+aisle_w</f>
        <v>11.7</v>
      </c>
      <c r="K59" s="47" t="n">
        <f aca="false">C59*u_h</f>
        <v>25.8</v>
      </c>
      <c r="L59" s="47" t="n">
        <f aca="false">IF(G59=0,I59,I59/(2*G59))</f>
        <v>13.25</v>
      </c>
      <c r="M59" s="34" t="n">
        <f aca="false">((IF((lane_off+(L59))&lt;=(v_sh^2/a_sh),(4/3)*(lane_off+(L59))^1.5/SQRT(a_sh),(4/3)*(v_sh^2/a_sh)^1.5/SQRT(a_sh)+((lane_off+(L59))^2-(v_sh^2/a_sh)^2)/(2*v_sh)+(v_sh/a_sh)*((lane_off+(L59))-(v_sh^2/a_sh))))-(IF((lane_off)&lt;=(v_sh^2/a_sh),(4/3)*(lane_off)^1.5/SQRT(a_sh),(4/3)*(v_sh^2/a_sh)^1.5/SQRT(a_sh)+((lane_off)^2-(v_sh^2/a_sh)^2)/(2*v_sh)+(v_sh/a_sh)*((lane_off)-(v_sh^2/a_sh)))))/(L59)</f>
        <v>8.43198387634281</v>
      </c>
      <c r="N59" s="34" t="n">
        <f aca="false">IF(((B59-1)*u_d/2*(1+f_hc)+lane_off)&lt;=0,0,IF(((B59-1)*u_d/2*(1+f_hc)+lane_off)&gt;=v_sh^2/a_sh,((B59-1)*u_d/2*(1+f_hc)+lane_off)/v_sh+v_sh/a_sh,2*SQRT(((B59-1)*u_d/2*(1+f_hc)+lane_off)/a_sh)))</f>
        <v>5.39629502529282</v>
      </c>
      <c r="O59" s="47" t="n">
        <f aca="false">2*t_sh+2*t_turn+2*M59+2*N59</f>
        <v>85.6565578032713</v>
      </c>
      <c r="P59" s="47" t="n">
        <f aca="false">SUMPRODUCT((Tc_idx&lt;=C59)*(ROUNDUP(lam_total*INDEX(Tc_P,C59,0)*O59/(3600*rho_max)-0.000000001,0)+(ROUNDUP(lam_total*INDEX(Tc_P,C59,0)*O59/(3600*rho_max)-0.000000001,0)&lt;min_sh)*(min_sh-ROUNDUP(lam_total*INDEX(Tc_P,C59,0)*O59/(3600*rho_max)-0.000000001,0))))</f>
        <v>14</v>
      </c>
      <c r="Q59" s="3" t="n">
        <f aca="false">ROUNDUP(P59-0.000000001,0)+spares</f>
        <v>16</v>
      </c>
      <c r="R59" s="45" t="n">
        <f aca="false">B59*C59*(2*H59-G59*lpl)</f>
        <v>4800</v>
      </c>
      <c r="S59" s="45" t="n">
        <f aca="false">R59*fill</f>
        <v>4080</v>
      </c>
      <c r="T59" s="45" t="n">
        <f aca="false">I59*J59</f>
        <v>620.1</v>
      </c>
      <c r="U59" s="45" t="n">
        <f aca="false">T59*(K59+headroom)</f>
        <v>16928.73</v>
      </c>
      <c r="V59" s="45" t="n">
        <f aca="false">G59*c_lift</f>
        <v>300000</v>
      </c>
      <c r="W59" s="45" t="n">
        <f aca="false">Q59*c_shut</f>
        <v>800000</v>
      </c>
      <c r="X59" s="45" t="n">
        <f aca="false">R59*c_pos</f>
        <v>480000</v>
      </c>
      <c r="Y59" s="45" t="n">
        <f aca="false">T59*c_m2+U59*c_m3</f>
        <v>755901.9</v>
      </c>
      <c r="Z59" s="45" t="n">
        <f aca="false">SUM(V59:Y59)</f>
        <v>2335901.9</v>
      </c>
      <c r="AA59" s="34" t="n">
        <f aca="false">B59*u_d/(H59*u_w)</f>
        <v>0.0981132075471698</v>
      </c>
      <c r="AB59" s="46" t="n">
        <f aca="false">IF(G59=0,0,F59/G59)</f>
        <v>0.381795634920635</v>
      </c>
      <c r="AC59" s="46" t="n">
        <f aca="false">IF(G59&gt;1,F59/(G59-1),"n/a")</f>
        <v>0.76359126984127</v>
      </c>
      <c r="AD59" s="47" t="n">
        <f aca="false">moves_day*m_pallet*9.81*INDEX(Tc_mh,C59)/3600000</f>
        <v>14.061</v>
      </c>
      <c r="AE59" s="3" t="n">
        <f aca="false">IF(AND(K59&lt;=H_max,H59&lt;=300,OR(lane_policy="Free (optimize N_C)",B59=sku_pal),OR(env_use="No",AND(I59&lt;=L_bldg,J59&lt;=W_bldg),AND(I59&lt;=W_bldg,J59&lt;=L_bldg))),1,0)</f>
        <v>0</v>
      </c>
      <c r="AF59" s="48" t="n">
        <f aca="false">IF(obj_mode="Total cost",Z59,IF(obj_mode="Shuttle cycle",O59,T59))</f>
        <v>2335901.9</v>
      </c>
      <c r="AG59" s="3" t="n">
        <f aca="false">IF(AE59=1,AF59*(1+A59*0.0000000001),1E+099)</f>
        <v>1E+099</v>
      </c>
      <c r="AH59" s="3" t="str">
        <f aca="false">IF(AE59=1,"",IF(K59&gt;H_max,"height",IF(AND(lane_policy&lt;&gt;"Free (optimize N_C)",B59&lt;&gt;sku_pal),"lane policy","footprint")))</f>
        <v>height</v>
      </c>
    </row>
    <row r="60" customFormat="false" ht="15" hidden="false" customHeight="true" outlineLevel="0" collapsed="false">
      <c r="A60" s="3" t="n">
        <v>53</v>
      </c>
      <c r="B60" s="3" t="n">
        <f aca="false">$D$3</f>
        <v>4</v>
      </c>
      <c r="C60" s="3" t="n">
        <v>13</v>
      </c>
      <c r="D60" s="46" t="n">
        <f aca="false">INDEX(Tc_pl,C60)</f>
        <v>0.6</v>
      </c>
      <c r="E60" s="47" t="n">
        <f aca="false">INDEX(Tc_S,C60)</f>
        <v>45.9946428571429</v>
      </c>
      <c r="F60" s="34" t="n">
        <f aca="false">lam_total*D60*E60/3600</f>
        <v>0.766577380952381</v>
      </c>
      <c r="G60" s="3" t="n">
        <f aca="false">IF(F60&lt;=0.000000000001,0,MAX(ROUNDUP(F60/rho_max-0.000000001,0),IF(redund="Yes",ROUNDUP(F60/rho_fail-0.000000001,0)+1,0)))</f>
        <v>2</v>
      </c>
      <c r="H60" s="3" t="n">
        <f aca="false">MAX(1,ROUNDUP((P_req/(B60*C60)+G60*lpl)/2-0.000000001,0))</f>
        <v>49</v>
      </c>
      <c r="I60" s="47" t="n">
        <f aca="false">H60*u_w</f>
        <v>49</v>
      </c>
      <c r="J60" s="47" t="n">
        <f aca="false">2*B60*u_d+aisle_w</f>
        <v>11.7</v>
      </c>
      <c r="K60" s="47" t="n">
        <f aca="false">C60*u_h</f>
        <v>27.95</v>
      </c>
      <c r="L60" s="47" t="n">
        <f aca="false">IF(G60=0,I60,I60/(2*G60))</f>
        <v>12.25</v>
      </c>
      <c r="M60" s="34" t="n">
        <f aca="false">((IF((lane_off+(L60))&lt;=(v_sh^2/a_sh),(4/3)*(lane_off+(L60))^1.5/SQRT(a_sh),(4/3)*(v_sh^2/a_sh)^1.5/SQRT(a_sh)+((lane_off+(L60))^2-(v_sh^2/a_sh)^2)/(2*v_sh)+(v_sh/a_sh)*((lane_off+(L60))-(v_sh^2/a_sh))))-(IF((lane_off)&lt;=(v_sh^2/a_sh),(4/3)*(lane_off)^1.5/SQRT(a_sh),(4/3)*(v_sh^2/a_sh)^1.5/SQRT(a_sh)+((lane_off)^2-(v_sh^2/a_sh)^2)/(2*v_sh)+(v_sh/a_sh)*((lane_off)-(v_sh^2/a_sh)))))/(L60)</f>
        <v>8.07249567965942</v>
      </c>
      <c r="N60" s="34" t="n">
        <f aca="false">IF(((B60-1)*u_d/2*(1+f_hc)+lane_off)&lt;=0,0,IF(((B60-1)*u_d/2*(1+f_hc)+lane_off)&gt;=v_sh^2/a_sh,((B60-1)*u_d/2*(1+f_hc)+lane_off)/v_sh+v_sh/a_sh,2*SQRT(((B60-1)*u_d/2*(1+f_hc)+lane_off)/a_sh)))</f>
        <v>5.39629502529282</v>
      </c>
      <c r="O60" s="47" t="n">
        <f aca="false">2*t_sh+2*t_turn+2*M60+2*N60</f>
        <v>84.9375814099045</v>
      </c>
      <c r="P60" s="47" t="n">
        <f aca="false">SUMPRODUCT((Tc_idx&lt;=C60)*(ROUNDUP(lam_total*INDEX(Tc_P,C60,0)*O60/(3600*rho_max)-0.000000001,0)+(ROUNDUP(lam_total*INDEX(Tc_P,C60,0)*O60/(3600*rho_max)-0.000000001,0)&lt;min_sh)*(min_sh-ROUNDUP(lam_total*INDEX(Tc_P,C60,0)*O60/(3600*rho_max)-0.000000001,0))))</f>
        <v>15</v>
      </c>
      <c r="Q60" s="3" t="n">
        <f aca="false">ROUNDUP(P60-0.000000001,0)+spares</f>
        <v>17</v>
      </c>
      <c r="R60" s="45" t="n">
        <f aca="false">B60*C60*(2*H60-G60*lpl)</f>
        <v>4784</v>
      </c>
      <c r="S60" s="45" t="n">
        <f aca="false">R60*fill</f>
        <v>4066.4</v>
      </c>
      <c r="T60" s="45" t="n">
        <f aca="false">I60*J60</f>
        <v>573.3</v>
      </c>
      <c r="U60" s="45" t="n">
        <f aca="false">T60*(K60+headroom)</f>
        <v>16883.685</v>
      </c>
      <c r="V60" s="45" t="n">
        <f aca="false">G60*c_lift</f>
        <v>300000</v>
      </c>
      <c r="W60" s="45" t="n">
        <f aca="false">Q60*c_shut</f>
        <v>850000</v>
      </c>
      <c r="X60" s="45" t="n">
        <f aca="false">R60*c_pos</f>
        <v>478400</v>
      </c>
      <c r="Y60" s="45" t="n">
        <f aca="false">T60*c_m2+U60*c_m3</f>
        <v>735830.55</v>
      </c>
      <c r="Z60" s="45" t="n">
        <f aca="false">SUM(V60:Y60)</f>
        <v>2364230.55</v>
      </c>
      <c r="AA60" s="34" t="n">
        <f aca="false">B60*u_d/(H60*u_w)</f>
        <v>0.106122448979592</v>
      </c>
      <c r="AB60" s="46" t="n">
        <f aca="false">IF(G60=0,0,F60/G60)</f>
        <v>0.383288690476191</v>
      </c>
      <c r="AC60" s="46" t="n">
        <f aca="false">IF(G60&gt;1,F60/(G60-1),"n/a")</f>
        <v>0.766577380952381</v>
      </c>
      <c r="AD60" s="47" t="n">
        <f aca="false">moves_day*m_pallet*9.81*INDEX(Tc_mh,C60)/3600000</f>
        <v>14.34222</v>
      </c>
      <c r="AE60" s="3" t="n">
        <f aca="false">IF(AND(K60&lt;=H_max,H60&lt;=300,OR(lane_policy="Free (optimize N_C)",B60=sku_pal),OR(env_use="No",AND(I60&lt;=L_bldg,J60&lt;=W_bldg),AND(I60&lt;=W_bldg,J60&lt;=L_bldg))),1,0)</f>
        <v>0</v>
      </c>
      <c r="AF60" s="48" t="n">
        <f aca="false">IF(obj_mode="Total cost",Z60,IF(obj_mode="Shuttle cycle",O60,T60))</f>
        <v>2364230.55</v>
      </c>
      <c r="AG60" s="3" t="n">
        <f aca="false">IF(AE60=1,AF60*(1+A60*0.0000000001),1E+099)</f>
        <v>1E+099</v>
      </c>
      <c r="AH60" s="3" t="str">
        <f aca="false">IF(AE60=1,"",IF(K60&gt;H_max,"height",IF(AND(lane_policy&lt;&gt;"Free (optimize N_C)",B60&lt;&gt;sku_pal),"lane policy","footprint")))</f>
        <v>height</v>
      </c>
    </row>
    <row r="61" customFormat="false" ht="15" hidden="false" customHeight="true" outlineLevel="0" collapsed="false">
      <c r="A61" s="3" t="n">
        <v>54</v>
      </c>
      <c r="B61" s="3" t="n">
        <f aca="false">$D$3</f>
        <v>4</v>
      </c>
      <c r="C61" s="3" t="n">
        <v>14</v>
      </c>
      <c r="D61" s="46" t="n">
        <f aca="false">INDEX(Tc_pl,C61)</f>
        <v>0.6</v>
      </c>
      <c r="E61" s="47" t="n">
        <f aca="false">INDEX(Tc_S,C61)</f>
        <v>46.1738095238095</v>
      </c>
      <c r="F61" s="34" t="n">
        <f aca="false">lam_total*D61*E61/3600</f>
        <v>0.769563492063492</v>
      </c>
      <c r="G61" s="3" t="n">
        <f aca="false">IF(F61&lt;=0.000000000001,0,MAX(ROUNDUP(F61/rho_max-0.000000001,0),IF(redund="Yes",ROUNDUP(F61/rho_fail-0.000000001,0)+1,0)))</f>
        <v>2</v>
      </c>
      <c r="H61" s="3" t="n">
        <f aca="false">MAX(1,ROUNDUP((P_req/(B61*C61)+G61*lpl)/2-0.000000001,0))</f>
        <v>46</v>
      </c>
      <c r="I61" s="47" t="n">
        <f aca="false">H61*u_w</f>
        <v>46</v>
      </c>
      <c r="J61" s="47" t="n">
        <f aca="false">2*B61*u_d+aisle_w</f>
        <v>11.7</v>
      </c>
      <c r="K61" s="47" t="n">
        <f aca="false">C61*u_h</f>
        <v>30.1</v>
      </c>
      <c r="L61" s="47" t="n">
        <f aca="false">IF(G61=0,I61,I61/(2*G61))</f>
        <v>11.5</v>
      </c>
      <c r="M61" s="34" t="n">
        <f aca="false">((IF((lane_off+(L61))&lt;=(v_sh^2/a_sh),(4/3)*(lane_off+(L61))^1.5/SQRT(a_sh),(4/3)*(v_sh^2/a_sh)^1.5/SQRT(a_sh)+((lane_off+(L61))^2-(v_sh^2/a_sh)^2)/(2*v_sh)+(v_sh/a_sh)*((lane_off+(L61))-(v_sh^2/a_sh))))-(IF((lane_off)&lt;=(v_sh^2/a_sh),(4/3)*(lane_off)^1.5/SQRT(a_sh),(4/3)*(v_sh^2/a_sh)^1.5/SQRT(a_sh)+((lane_off)^2-(v_sh^2/a_sh)^2)/(2*v_sh)+(v_sh/a_sh)*((lane_off)-(v_sh^2/a_sh)))))/(L61)</f>
        <v>7.80261185752541</v>
      </c>
      <c r="N61" s="34" t="n">
        <f aca="false">IF(((B61-1)*u_d/2*(1+f_hc)+lane_off)&lt;=0,0,IF(((B61-1)*u_d/2*(1+f_hc)+lane_off)&gt;=v_sh^2/a_sh,((B61-1)*u_d/2*(1+f_hc)+lane_off)/v_sh+v_sh/a_sh,2*SQRT(((B61-1)*u_d/2*(1+f_hc)+lane_off)/a_sh)))</f>
        <v>5.39629502529282</v>
      </c>
      <c r="O61" s="47" t="n">
        <f aca="false">2*t_sh+2*t_turn+2*M61+2*N61</f>
        <v>84.3978137656365</v>
      </c>
      <c r="P61" s="47" t="n">
        <f aca="false">SUMPRODUCT((Tc_idx&lt;=C61)*(ROUNDUP(lam_total*INDEX(Tc_P,C61,0)*O61/(3600*rho_max)-0.000000001,0)+(ROUNDUP(lam_total*INDEX(Tc_P,C61,0)*O61/(3600*rho_max)-0.000000001,0)&lt;min_sh)*(min_sh-ROUNDUP(lam_total*INDEX(Tc_P,C61,0)*O61/(3600*rho_max)-0.000000001,0))))</f>
        <v>16</v>
      </c>
      <c r="Q61" s="3" t="n">
        <f aca="false">ROUNDUP(P61-0.000000001,0)+spares</f>
        <v>18</v>
      </c>
      <c r="R61" s="45" t="n">
        <f aca="false">B61*C61*(2*H61-G61*lpl)</f>
        <v>4816</v>
      </c>
      <c r="S61" s="45" t="n">
        <f aca="false">R61*fill</f>
        <v>4093.6</v>
      </c>
      <c r="T61" s="45" t="n">
        <f aca="false">I61*J61</f>
        <v>538.2</v>
      </c>
      <c r="U61" s="45" t="n">
        <f aca="false">T61*(K61+headroom)</f>
        <v>17007.12</v>
      </c>
      <c r="V61" s="45" t="n">
        <f aca="false">G61*c_lift</f>
        <v>300000</v>
      </c>
      <c r="W61" s="45" t="n">
        <f aca="false">Q61*c_shut</f>
        <v>900000</v>
      </c>
      <c r="X61" s="45" t="n">
        <f aca="false">R61*c_pos</f>
        <v>481600</v>
      </c>
      <c r="Y61" s="45" t="n">
        <f aca="false">T61*c_m2+U61*c_m3</f>
        <v>725493.6</v>
      </c>
      <c r="Z61" s="45" t="n">
        <f aca="false">SUM(V61:Y61)</f>
        <v>2407093.6</v>
      </c>
      <c r="AA61" s="34" t="n">
        <f aca="false">B61*u_d/(H61*u_w)</f>
        <v>0.11304347826087</v>
      </c>
      <c r="AB61" s="46" t="n">
        <f aca="false">IF(G61=0,0,F61/G61)</f>
        <v>0.384781746031746</v>
      </c>
      <c r="AC61" s="46" t="n">
        <f aca="false">IF(G61&gt;1,F61/(G61-1),"n/a")</f>
        <v>0.769563492063492</v>
      </c>
      <c r="AD61" s="47" t="n">
        <f aca="false">moves_day*m_pallet*9.81*INDEX(Tc_mh,C61)/3600000</f>
        <v>14.62344</v>
      </c>
      <c r="AE61" s="3" t="n">
        <f aca="false">IF(AND(K61&lt;=H_max,H61&lt;=300,OR(lane_policy="Free (optimize N_C)",B61=sku_pal),OR(env_use="No",AND(I61&lt;=L_bldg,J61&lt;=W_bldg),AND(I61&lt;=W_bldg,J61&lt;=L_bldg))),1,0)</f>
        <v>0</v>
      </c>
      <c r="AF61" s="48" t="n">
        <f aca="false">IF(obj_mode="Total cost",Z61,IF(obj_mode="Shuttle cycle",O61,T61))</f>
        <v>2407093.6</v>
      </c>
      <c r="AG61" s="3" t="n">
        <f aca="false">IF(AE61=1,AF61*(1+A61*0.0000000001),1E+099)</f>
        <v>1E+099</v>
      </c>
      <c r="AH61" s="3" t="str">
        <f aca="false">IF(AE61=1,"",IF(K61&gt;H_max,"height",IF(AND(lane_policy&lt;&gt;"Free (optimize N_C)",B61&lt;&gt;sku_pal),"lane policy","footprint")))</f>
        <v>height</v>
      </c>
    </row>
    <row r="62" customFormat="false" ht="15" hidden="false" customHeight="true" outlineLevel="0" collapsed="false">
      <c r="A62" s="3" t="n">
        <v>55</v>
      </c>
      <c r="B62" s="3" t="n">
        <f aca="false">$D$3</f>
        <v>4</v>
      </c>
      <c r="C62" s="3" t="n">
        <v>15</v>
      </c>
      <c r="D62" s="46" t="n">
        <f aca="false">INDEX(Tc_pl,C62)</f>
        <v>0.6</v>
      </c>
      <c r="E62" s="47" t="n">
        <f aca="false">INDEX(Tc_S,C62)</f>
        <v>46.3529761904762</v>
      </c>
      <c r="F62" s="34" t="n">
        <f aca="false">lam_total*D62*E62/3600</f>
        <v>0.772549603174603</v>
      </c>
      <c r="G62" s="3" t="n">
        <f aca="false">IF(F62&lt;=0.000000000001,0,MAX(ROUNDUP(F62/rho_max-0.000000001,0),IF(redund="Yes",ROUNDUP(F62/rho_fail-0.000000001,0)+1,0)))</f>
        <v>2</v>
      </c>
      <c r="H62" s="3" t="n">
        <f aca="false">MAX(1,ROUNDUP((P_req/(B62*C62)+G62*lpl)/2-0.000000001,0))</f>
        <v>43</v>
      </c>
      <c r="I62" s="47" t="n">
        <f aca="false">H62*u_w</f>
        <v>43</v>
      </c>
      <c r="J62" s="47" t="n">
        <f aca="false">2*B62*u_d+aisle_w</f>
        <v>11.7</v>
      </c>
      <c r="K62" s="47" t="n">
        <f aca="false">C62*u_h</f>
        <v>32.25</v>
      </c>
      <c r="L62" s="47" t="n">
        <f aca="false">IF(G62=0,I62,I62/(2*G62))</f>
        <v>10.75</v>
      </c>
      <c r="M62" s="34" t="n">
        <f aca="false">((IF((lane_off+(L62))&lt;=(v_sh^2/a_sh),(4/3)*(lane_off+(L62))^1.5/SQRT(a_sh),(4/3)*(v_sh^2/a_sh)^1.5/SQRT(a_sh)+((lane_off+(L62))^2-(v_sh^2/a_sh)^2)/(2*v_sh)+(v_sh/a_sh)*((lane_off+(L62))-(v_sh^2/a_sh))))-(IF((lane_off)&lt;=(v_sh^2/a_sh),(4/3)*(lane_off)^1.5/SQRT(a_sh),(4/3)*(v_sh^2/a_sh)^1.5/SQRT(a_sh)+((lane_off)^2-(v_sh^2/a_sh)^2)/(2*v_sh)+(v_sh/a_sh)*((lane_off)-(v_sh^2/a_sh)))))/(L62)</f>
        <v>7.53244524293416</v>
      </c>
      <c r="N62" s="34" t="n">
        <f aca="false">IF(((B62-1)*u_d/2*(1+f_hc)+lane_off)&lt;=0,0,IF(((B62-1)*u_d/2*(1+f_hc)+lane_off)&gt;=v_sh^2/a_sh,((B62-1)*u_d/2*(1+f_hc)+lane_off)/v_sh+v_sh/a_sh,2*SQRT(((B62-1)*u_d/2*(1+f_hc)+lane_off)/a_sh)))</f>
        <v>5.39629502529282</v>
      </c>
      <c r="O62" s="47" t="n">
        <f aca="false">2*t_sh+2*t_turn+2*M62+2*N62</f>
        <v>83.857480536454</v>
      </c>
      <c r="P62" s="47" t="n">
        <f aca="false">SUMPRODUCT((Tc_idx&lt;=C62)*(ROUNDUP(lam_total*INDEX(Tc_P,C62,0)*O62/(3600*rho_max)-0.000000001,0)+(ROUNDUP(lam_total*INDEX(Tc_P,C62,0)*O62/(3600*rho_max)-0.000000001,0)&lt;min_sh)*(min_sh-ROUNDUP(lam_total*INDEX(Tc_P,C62,0)*O62/(3600*rho_max)-0.000000001,0))))</f>
        <v>17</v>
      </c>
      <c r="Q62" s="3" t="n">
        <f aca="false">ROUNDUP(P62-0.000000001,0)+spares</f>
        <v>19</v>
      </c>
      <c r="R62" s="45" t="n">
        <f aca="false">B62*C62*(2*H62-G62*lpl)</f>
        <v>4800</v>
      </c>
      <c r="S62" s="45" t="n">
        <f aca="false">R62*fill</f>
        <v>4080</v>
      </c>
      <c r="T62" s="45" t="n">
        <f aca="false">I62*J62</f>
        <v>503.1</v>
      </c>
      <c r="U62" s="45" t="n">
        <f aca="false">T62*(K62+headroom)</f>
        <v>16979.625</v>
      </c>
      <c r="V62" s="45" t="n">
        <f aca="false">G62*c_lift</f>
        <v>300000</v>
      </c>
      <c r="W62" s="45" t="n">
        <f aca="false">Q62*c_shut</f>
        <v>950000</v>
      </c>
      <c r="X62" s="45" t="n">
        <f aca="false">R62*c_pos</f>
        <v>480000</v>
      </c>
      <c r="Y62" s="45" t="n">
        <f aca="false">T62*c_m2+U62*c_m3</f>
        <v>710628.75</v>
      </c>
      <c r="Z62" s="45" t="n">
        <f aca="false">SUM(V62:Y62)</f>
        <v>2440628.75</v>
      </c>
      <c r="AA62" s="34" t="n">
        <f aca="false">B62*u_d/(H62*u_w)</f>
        <v>0.12093023255814</v>
      </c>
      <c r="AB62" s="46" t="n">
        <f aca="false">IF(G62=0,0,F62/G62)</f>
        <v>0.386274801587302</v>
      </c>
      <c r="AC62" s="46" t="n">
        <f aca="false">IF(G62&gt;1,F62/(G62-1),"n/a")</f>
        <v>0.772549603174603</v>
      </c>
      <c r="AD62" s="47" t="n">
        <f aca="false">moves_day*m_pallet*9.81*INDEX(Tc_mh,C62)/3600000</f>
        <v>14.90466</v>
      </c>
      <c r="AE62" s="3" t="n">
        <f aca="false">IF(AND(K62&lt;=H_max,H62&lt;=300,OR(lane_policy="Free (optimize N_C)",B62=sku_pal),OR(env_use="No",AND(I62&lt;=L_bldg,J62&lt;=W_bldg),AND(I62&lt;=W_bldg,J62&lt;=L_bldg))),1,0)</f>
        <v>0</v>
      </c>
      <c r="AF62" s="48" t="n">
        <f aca="false">IF(obj_mode="Total cost",Z62,IF(obj_mode="Shuttle cycle",O62,T62))</f>
        <v>2440628.75</v>
      </c>
      <c r="AG62" s="3" t="n">
        <f aca="false">IF(AE62=1,AF62*(1+A62*0.0000000001),1E+099)</f>
        <v>1E+099</v>
      </c>
      <c r="AH62" s="3" t="str">
        <f aca="false">IF(AE62=1,"",IF(K62&gt;H_max,"height",IF(AND(lane_policy&lt;&gt;"Free (optimize N_C)",B62&lt;&gt;sku_pal),"lane policy","footprint")))</f>
        <v>height</v>
      </c>
    </row>
    <row r="63" customFormat="false" ht="15" hidden="false" customHeight="true" outlineLevel="0" collapsed="false">
      <c r="A63" s="3" t="n">
        <v>56</v>
      </c>
      <c r="B63" s="3" t="n">
        <f aca="false">$D$3</f>
        <v>4</v>
      </c>
      <c r="C63" s="3" t="n">
        <v>16</v>
      </c>
      <c r="D63" s="46" t="n">
        <f aca="false">INDEX(Tc_pl,C63)</f>
        <v>0.6</v>
      </c>
      <c r="E63" s="47" t="n">
        <f aca="false">INDEX(Tc_S,C63)</f>
        <v>46.5321428571429</v>
      </c>
      <c r="F63" s="34" t="n">
        <f aca="false">lam_total*D63*E63/3600</f>
        <v>0.775535714285714</v>
      </c>
      <c r="G63" s="3" t="n">
        <f aca="false">IF(F63&lt;=0.000000000001,0,MAX(ROUNDUP(F63/rho_max-0.000000001,0),IF(redund="Yes",ROUNDUP(F63/rho_fail-0.000000001,0)+1,0)))</f>
        <v>2</v>
      </c>
      <c r="H63" s="3" t="n">
        <f aca="false">MAX(1,ROUNDUP((P_req/(B63*C63)+G63*lpl)/2-0.000000001,0))</f>
        <v>40</v>
      </c>
      <c r="I63" s="47" t="n">
        <f aca="false">H63*u_w</f>
        <v>40</v>
      </c>
      <c r="J63" s="47" t="n">
        <f aca="false">2*B63*u_d+aisle_w</f>
        <v>11.7</v>
      </c>
      <c r="K63" s="47" t="n">
        <f aca="false">C63*u_h</f>
        <v>34.4</v>
      </c>
      <c r="L63" s="47" t="n">
        <f aca="false">IF(G63=0,I63,I63/(2*G63))</f>
        <v>10</v>
      </c>
      <c r="M63" s="34" t="n">
        <f aca="false">((IF((lane_off+(L63))&lt;=(v_sh^2/a_sh),(4/3)*(lane_off+(L63))^1.5/SQRT(a_sh),(4/3)*(v_sh^2/a_sh)^1.5/SQRT(a_sh)+((lane_off+(L63))^2-(v_sh^2/a_sh)^2)/(2*v_sh)+(v_sh/a_sh)*((lane_off+(L63))-(v_sh^2/a_sh))))-(IF((lane_off)&lt;=(v_sh^2/a_sh),(4/3)*(lane_off)^1.5/SQRT(a_sh),(4/3)*(v_sh^2/a_sh)^1.5/SQRT(a_sh)+((lane_off)^2-(v_sh^2/a_sh)^2)/(2*v_sh)+(v_sh/a_sh)*((lane_off)-(v_sh^2/a_sh)))))/(L63)</f>
        <v>7.26193220758279</v>
      </c>
      <c r="N63" s="34" t="n">
        <f aca="false">IF(((B63-1)*u_d/2*(1+f_hc)+lane_off)&lt;=0,0,IF(((B63-1)*u_d/2*(1+f_hc)+lane_off)&gt;=v_sh^2/a_sh,((B63-1)*u_d/2*(1+f_hc)+lane_off)/v_sh+v_sh/a_sh,2*SQRT(((B63-1)*u_d/2*(1+f_hc)+lane_off)/a_sh)))</f>
        <v>5.39629502529282</v>
      </c>
      <c r="O63" s="47" t="n">
        <f aca="false">2*t_sh+2*t_turn+2*M63+2*N63</f>
        <v>83.3164544657512</v>
      </c>
      <c r="P63" s="47" t="n">
        <f aca="false">SUMPRODUCT((Tc_idx&lt;=C63)*(ROUNDUP(lam_total*INDEX(Tc_P,C63,0)*O63/(3600*rho_max)-0.000000001,0)+(ROUNDUP(lam_total*INDEX(Tc_P,C63,0)*O63/(3600*rho_max)-0.000000001,0)&lt;min_sh)*(min_sh-ROUNDUP(lam_total*INDEX(Tc_P,C63,0)*O63/(3600*rho_max)-0.000000001,0))))</f>
        <v>18</v>
      </c>
      <c r="Q63" s="3" t="n">
        <f aca="false">ROUNDUP(P63-0.000000001,0)+spares</f>
        <v>20</v>
      </c>
      <c r="R63" s="45" t="n">
        <f aca="false">B63*C63*(2*H63-G63*lpl)</f>
        <v>4736</v>
      </c>
      <c r="S63" s="45" t="n">
        <f aca="false">R63*fill</f>
        <v>4025.6</v>
      </c>
      <c r="T63" s="45" t="n">
        <f aca="false">I63*J63</f>
        <v>468</v>
      </c>
      <c r="U63" s="45" t="n">
        <f aca="false">T63*(K63+headroom)</f>
        <v>16801.2</v>
      </c>
      <c r="V63" s="45" t="n">
        <f aca="false">G63*c_lift</f>
        <v>300000</v>
      </c>
      <c r="W63" s="45" t="n">
        <f aca="false">Q63*c_shut</f>
        <v>1000000</v>
      </c>
      <c r="X63" s="45" t="n">
        <f aca="false">R63*c_pos</f>
        <v>473600</v>
      </c>
      <c r="Y63" s="45" t="n">
        <f aca="false">T63*c_m2+U63*c_m3</f>
        <v>691236</v>
      </c>
      <c r="Z63" s="45" t="n">
        <f aca="false">SUM(V63:Y63)</f>
        <v>2464836</v>
      </c>
      <c r="AA63" s="34" t="n">
        <f aca="false">B63*u_d/(H63*u_w)</f>
        <v>0.13</v>
      </c>
      <c r="AB63" s="46" t="n">
        <f aca="false">IF(G63=0,0,F63/G63)</f>
        <v>0.387767857142857</v>
      </c>
      <c r="AC63" s="46" t="n">
        <f aca="false">IF(G63&gt;1,F63/(G63-1),"n/a")</f>
        <v>0.775535714285714</v>
      </c>
      <c r="AD63" s="47" t="n">
        <f aca="false">moves_day*m_pallet*9.81*INDEX(Tc_mh,C63)/3600000</f>
        <v>15.18588</v>
      </c>
      <c r="AE63" s="3" t="n">
        <f aca="false">IF(AND(K63&lt;=H_max,H63&lt;=300,OR(lane_policy="Free (optimize N_C)",B63=sku_pal),OR(env_use="No",AND(I63&lt;=L_bldg,J63&lt;=W_bldg),AND(I63&lt;=W_bldg,J63&lt;=L_bldg))),1,0)</f>
        <v>0</v>
      </c>
      <c r="AF63" s="48" t="n">
        <f aca="false">IF(obj_mode="Total cost",Z63,IF(obj_mode="Shuttle cycle",O63,T63))</f>
        <v>2464836</v>
      </c>
      <c r="AG63" s="3" t="n">
        <f aca="false">IF(AE63=1,AF63*(1+A63*0.0000000001),1E+099)</f>
        <v>1E+099</v>
      </c>
      <c r="AH63" s="3" t="str">
        <f aca="false">IF(AE63=1,"",IF(K63&gt;H_max,"height",IF(AND(lane_policy&lt;&gt;"Free (optimize N_C)",B63&lt;&gt;sku_pal),"lane policy","footprint")))</f>
        <v>height</v>
      </c>
    </row>
    <row r="64" customFormat="false" ht="15" hidden="false" customHeight="true" outlineLevel="0" collapsed="false">
      <c r="A64" s="3" t="n">
        <v>57</v>
      </c>
      <c r="B64" s="3" t="n">
        <f aca="false">$D$3</f>
        <v>4</v>
      </c>
      <c r="C64" s="3" t="n">
        <v>17</v>
      </c>
      <c r="D64" s="46" t="n">
        <f aca="false">INDEX(Tc_pl,C64)</f>
        <v>0.6</v>
      </c>
      <c r="E64" s="47" t="n">
        <f aca="false">INDEX(Tc_S,C64)</f>
        <v>46.7113095238095</v>
      </c>
      <c r="F64" s="34" t="n">
        <f aca="false">lam_total*D64*E64/3600</f>
        <v>0.778521825396825</v>
      </c>
      <c r="G64" s="3" t="n">
        <f aca="false">IF(F64&lt;=0.000000000001,0,MAX(ROUNDUP(F64/rho_max-0.000000001,0),IF(redund="Yes",ROUNDUP(F64/rho_fail-0.000000001,0)+1,0)))</f>
        <v>2</v>
      </c>
      <c r="H64" s="3" t="n">
        <f aca="false">MAX(1,ROUNDUP((P_req/(B64*C64)+G64*lpl)/2-0.000000001,0))</f>
        <v>38</v>
      </c>
      <c r="I64" s="47" t="n">
        <f aca="false">H64*u_w</f>
        <v>38</v>
      </c>
      <c r="J64" s="47" t="n">
        <f aca="false">2*B64*u_d+aisle_w</f>
        <v>11.7</v>
      </c>
      <c r="K64" s="47" t="n">
        <f aca="false">C64*u_h</f>
        <v>36.55</v>
      </c>
      <c r="L64" s="47" t="n">
        <f aca="false">IF(G64=0,I64,I64/(2*G64))</f>
        <v>9.5</v>
      </c>
      <c r="M64" s="34" t="n">
        <f aca="false">((IF((lane_off+(L64))&lt;=(v_sh^2/a_sh),(4/3)*(lane_off+(L64))^1.5/SQRT(a_sh),(4/3)*(v_sh^2/a_sh)^1.5/SQRT(a_sh)+((lane_off+(L64))^2-(v_sh^2/a_sh)^2)/(2*v_sh)+(v_sh/a_sh)*((lane_off+(L64))-(v_sh^2/a_sh))))-(IF((lane_off)&lt;=(v_sh^2/a_sh),(4/3)*(lane_off)^1.5/SQRT(a_sh),(4/3)*(v_sh^2/a_sh)^1.5/SQRT(a_sh)+((lane_off)^2-(v_sh^2/a_sh)^2)/(2*v_sh)+(v_sh/a_sh)*((lane_off)-(v_sh^2/a_sh)))))/(L64)</f>
        <v>7.08135721098941</v>
      </c>
      <c r="N64" s="34" t="n">
        <f aca="false">IF(((B64-1)*u_d/2*(1+f_hc)+lane_off)&lt;=0,0,IF(((B64-1)*u_d/2*(1+f_hc)+lane_off)&gt;=v_sh^2/a_sh,((B64-1)*u_d/2*(1+f_hc)+lane_off)/v_sh+v_sh/a_sh,2*SQRT(((B64-1)*u_d/2*(1+f_hc)+lane_off)/a_sh)))</f>
        <v>5.39629502529282</v>
      </c>
      <c r="O64" s="47" t="n">
        <f aca="false">2*t_sh+2*t_turn+2*M64+2*N64</f>
        <v>82.9553044725645</v>
      </c>
      <c r="P64" s="47" t="n">
        <f aca="false">SUMPRODUCT((Tc_idx&lt;=C64)*(ROUNDUP(lam_total*INDEX(Tc_P,C64,0)*O64/(3600*rho_max)-0.000000001,0)+(ROUNDUP(lam_total*INDEX(Tc_P,C64,0)*O64/(3600*rho_max)-0.000000001,0)&lt;min_sh)*(min_sh-ROUNDUP(lam_total*INDEX(Tc_P,C64,0)*O64/(3600*rho_max)-0.000000001,0))))</f>
        <v>19</v>
      </c>
      <c r="Q64" s="3" t="n">
        <f aca="false">ROUNDUP(P64-0.000000001,0)+spares</f>
        <v>21</v>
      </c>
      <c r="R64" s="45" t="n">
        <f aca="false">B64*C64*(2*H64-G64*lpl)</f>
        <v>4760</v>
      </c>
      <c r="S64" s="45" t="n">
        <f aca="false">R64*fill</f>
        <v>4046</v>
      </c>
      <c r="T64" s="45" t="n">
        <f aca="false">I64*J64</f>
        <v>444.6</v>
      </c>
      <c r="U64" s="45" t="n">
        <f aca="false">T64*(K64+headroom)</f>
        <v>16917.03</v>
      </c>
      <c r="V64" s="45" t="n">
        <f aca="false">G64*c_lift</f>
        <v>300000</v>
      </c>
      <c r="W64" s="45" t="n">
        <f aca="false">Q64*c_shut</f>
        <v>1050000</v>
      </c>
      <c r="X64" s="45" t="n">
        <f aca="false">R64*c_pos</f>
        <v>476000</v>
      </c>
      <c r="Y64" s="45" t="n">
        <f aca="false">T64*c_m2+U64*c_m3</f>
        <v>685350.9</v>
      </c>
      <c r="Z64" s="45" t="n">
        <f aca="false">SUM(V64:Y64)</f>
        <v>2511350.9</v>
      </c>
      <c r="AA64" s="34" t="n">
        <f aca="false">B64*u_d/(H64*u_w)</f>
        <v>0.136842105263158</v>
      </c>
      <c r="AB64" s="46" t="n">
        <f aca="false">IF(G64=0,0,F64/G64)</f>
        <v>0.389260912698413</v>
      </c>
      <c r="AC64" s="46" t="n">
        <f aca="false">IF(G64&gt;1,F64/(G64-1),"n/a")</f>
        <v>0.778521825396825</v>
      </c>
      <c r="AD64" s="47" t="n">
        <f aca="false">moves_day*m_pallet*9.81*INDEX(Tc_mh,C64)/3600000</f>
        <v>15.4671</v>
      </c>
      <c r="AE64" s="3" t="n">
        <f aca="false">IF(AND(K64&lt;=H_max,H64&lt;=300,OR(lane_policy="Free (optimize N_C)",B64=sku_pal),OR(env_use="No",AND(I64&lt;=L_bldg,J64&lt;=W_bldg),AND(I64&lt;=W_bldg,J64&lt;=L_bldg))),1,0)</f>
        <v>0</v>
      </c>
      <c r="AF64" s="48" t="n">
        <f aca="false">IF(obj_mode="Total cost",Z64,IF(obj_mode="Shuttle cycle",O64,T64))</f>
        <v>2511350.9</v>
      </c>
      <c r="AG64" s="3" t="n">
        <f aca="false">IF(AE64=1,AF64*(1+A64*0.0000000001),1E+099)</f>
        <v>1E+099</v>
      </c>
      <c r="AH64" s="3" t="str">
        <f aca="false">IF(AE64=1,"",IF(K64&gt;H_max,"height",IF(AND(lane_policy&lt;&gt;"Free (optimize N_C)",B64&lt;&gt;sku_pal),"lane policy","footprint")))</f>
        <v>height</v>
      </c>
    </row>
    <row r="65" customFormat="false" ht="15" hidden="false" customHeight="true" outlineLevel="0" collapsed="false">
      <c r="A65" s="3" t="n">
        <v>58</v>
      </c>
      <c r="B65" s="3" t="n">
        <f aca="false">$D$3</f>
        <v>4</v>
      </c>
      <c r="C65" s="3" t="n">
        <v>18</v>
      </c>
      <c r="D65" s="46" t="n">
        <f aca="false">INDEX(Tc_pl,C65)</f>
        <v>0.6</v>
      </c>
      <c r="E65" s="47" t="n">
        <f aca="false">INDEX(Tc_S,C65)</f>
        <v>46.8904761904762</v>
      </c>
      <c r="F65" s="34" t="n">
        <f aca="false">lam_total*D65*E65/3600</f>
        <v>0.781507936507937</v>
      </c>
      <c r="G65" s="3" t="n">
        <f aca="false">IF(F65&lt;=0.000000000001,0,MAX(ROUNDUP(F65/rho_max-0.000000001,0),IF(redund="Yes",ROUNDUP(F65/rho_fail-0.000000001,0)+1,0)))</f>
        <v>2</v>
      </c>
      <c r="H65" s="3" t="n">
        <f aca="false">MAX(1,ROUNDUP((P_req/(B65*C65)+G65*lpl)/2-0.000000001,0))</f>
        <v>36</v>
      </c>
      <c r="I65" s="47" t="n">
        <f aca="false">H65*u_w</f>
        <v>36</v>
      </c>
      <c r="J65" s="47" t="n">
        <f aca="false">2*B65*u_d+aisle_w</f>
        <v>11.7</v>
      </c>
      <c r="K65" s="47" t="n">
        <f aca="false">C65*u_h</f>
        <v>38.7</v>
      </c>
      <c r="L65" s="47" t="n">
        <f aca="false">IF(G65=0,I65,I65/(2*G65))</f>
        <v>9</v>
      </c>
      <c r="M65" s="34" t="n">
        <f aca="false">((IF((lane_off+(L65))&lt;=(v_sh^2/a_sh),(4/3)*(lane_off+(L65))^1.5/SQRT(a_sh),(4/3)*(v_sh^2/a_sh)^1.5/SQRT(a_sh)+((lane_off+(L65))^2-(v_sh^2/a_sh)^2)/(2*v_sh)+(v_sh/a_sh)*((lane_off+(L65))-(v_sh^2/a_sh))))-(IF((lane_off)&lt;=(v_sh^2/a_sh),(4/3)*(lane_off)^1.5/SQRT(a_sh),(4/3)*(v_sh^2/a_sh)^1.5/SQRT(a_sh)+((lane_off)^2-(v_sh^2/a_sh)^2)/(2*v_sh)+(v_sh/a_sh)*((lane_off)-(v_sh^2/a_sh)))))/(L65)</f>
        <v>6.90055959572691</v>
      </c>
      <c r="N65" s="34" t="n">
        <f aca="false">IF(((B65-1)*u_d/2*(1+f_hc)+lane_off)&lt;=0,0,IF(((B65-1)*u_d/2*(1+f_hc)+lane_off)&gt;=v_sh^2/a_sh,((B65-1)*u_d/2*(1+f_hc)+lane_off)/v_sh+v_sh/a_sh,2*SQRT(((B65-1)*u_d/2*(1+f_hc)+lane_off)/a_sh)))</f>
        <v>5.39629502529282</v>
      </c>
      <c r="O65" s="47" t="n">
        <f aca="false">2*t_sh+2*t_turn+2*M65+2*N65</f>
        <v>82.5937092420395</v>
      </c>
      <c r="P65" s="47" t="n">
        <f aca="false">SUMPRODUCT((Tc_idx&lt;=C65)*(ROUNDUP(lam_total*INDEX(Tc_P,C65,0)*O65/(3600*rho_max)-0.000000001,0)+(ROUNDUP(lam_total*INDEX(Tc_P,C65,0)*O65/(3600*rho_max)-0.000000001,0)&lt;min_sh)*(min_sh-ROUNDUP(lam_total*INDEX(Tc_P,C65,0)*O65/(3600*rho_max)-0.000000001,0))))</f>
        <v>20</v>
      </c>
      <c r="Q65" s="3" t="n">
        <f aca="false">ROUNDUP(P65-0.000000001,0)+spares</f>
        <v>22</v>
      </c>
      <c r="R65" s="45" t="n">
        <f aca="false">B65*C65*(2*H65-G65*lpl)</f>
        <v>4752</v>
      </c>
      <c r="S65" s="45" t="n">
        <f aca="false">R65*fill</f>
        <v>4039.2</v>
      </c>
      <c r="T65" s="45" t="n">
        <f aca="false">I65*J65</f>
        <v>421.2</v>
      </c>
      <c r="U65" s="45" t="n">
        <f aca="false">T65*(K65+headroom)</f>
        <v>16932.24</v>
      </c>
      <c r="V65" s="45" t="n">
        <f aca="false">G65*c_lift</f>
        <v>300000</v>
      </c>
      <c r="W65" s="45" t="n">
        <f aca="false">Q65*c_shut</f>
        <v>1100000</v>
      </c>
      <c r="X65" s="45" t="n">
        <f aca="false">R65*c_pos</f>
        <v>475200</v>
      </c>
      <c r="Y65" s="45" t="n">
        <f aca="false">T65*c_m2+U65*c_m3</f>
        <v>676447.2</v>
      </c>
      <c r="Z65" s="45" t="n">
        <f aca="false">SUM(V65:Y65)</f>
        <v>2551647.2</v>
      </c>
      <c r="AA65" s="34" t="n">
        <f aca="false">B65*u_d/(H65*u_w)</f>
        <v>0.144444444444444</v>
      </c>
      <c r="AB65" s="46" t="n">
        <f aca="false">IF(G65=0,0,F65/G65)</f>
        <v>0.390753968253968</v>
      </c>
      <c r="AC65" s="46" t="n">
        <f aca="false">IF(G65&gt;1,F65/(G65-1),"n/a")</f>
        <v>0.781507936507937</v>
      </c>
      <c r="AD65" s="47" t="n">
        <f aca="false">moves_day*m_pallet*9.81*INDEX(Tc_mh,C65)/3600000</f>
        <v>15.74832</v>
      </c>
      <c r="AE65" s="3" t="n">
        <f aca="false">IF(AND(K65&lt;=H_max,H65&lt;=300,OR(lane_policy="Free (optimize N_C)",B65=sku_pal),OR(env_use="No",AND(I65&lt;=L_bldg,J65&lt;=W_bldg),AND(I65&lt;=W_bldg,J65&lt;=L_bldg))),1,0)</f>
        <v>0</v>
      </c>
      <c r="AF65" s="48" t="n">
        <f aca="false">IF(obj_mode="Total cost",Z65,IF(obj_mode="Shuttle cycle",O65,T65))</f>
        <v>2551647.2</v>
      </c>
      <c r="AG65" s="3" t="n">
        <f aca="false">IF(AE65=1,AF65*(1+A65*0.0000000001),1E+099)</f>
        <v>1E+099</v>
      </c>
      <c r="AH65" s="3" t="str">
        <f aca="false">IF(AE65=1,"",IF(K65&gt;H_max,"height",IF(AND(lane_policy&lt;&gt;"Free (optimize N_C)",B65&lt;&gt;sku_pal),"lane policy","footprint")))</f>
        <v>height</v>
      </c>
    </row>
    <row r="66" customFormat="false" ht="15" hidden="false" customHeight="true" outlineLevel="0" collapsed="false">
      <c r="A66" s="3" t="n">
        <v>59</v>
      </c>
      <c r="B66" s="3" t="n">
        <f aca="false">$D$3</f>
        <v>4</v>
      </c>
      <c r="C66" s="3" t="n">
        <v>19</v>
      </c>
      <c r="D66" s="46" t="n">
        <f aca="false">INDEX(Tc_pl,C66)</f>
        <v>0.6</v>
      </c>
      <c r="E66" s="47" t="n">
        <f aca="false">INDEX(Tc_S,C66)</f>
        <v>47.0696428571429</v>
      </c>
      <c r="F66" s="34" t="n">
        <f aca="false">lam_total*D66*E66/3600</f>
        <v>0.784494047619048</v>
      </c>
      <c r="G66" s="3" t="n">
        <f aca="false">IF(F66&lt;=0.000000000001,0,MAX(ROUNDUP(F66/rho_max-0.000000001,0),IF(redund="Yes",ROUNDUP(F66/rho_fail-0.000000001,0)+1,0)))</f>
        <v>2</v>
      </c>
      <c r="H66" s="3" t="n">
        <f aca="false">MAX(1,ROUNDUP((P_req/(B66*C66)+G66*lpl)/2-0.000000001,0))</f>
        <v>34</v>
      </c>
      <c r="I66" s="47" t="n">
        <f aca="false">H66*u_w</f>
        <v>34</v>
      </c>
      <c r="J66" s="47" t="n">
        <f aca="false">2*B66*u_d+aisle_w</f>
        <v>11.7</v>
      </c>
      <c r="K66" s="47" t="n">
        <f aca="false">C66*u_h</f>
        <v>40.85</v>
      </c>
      <c r="L66" s="47" t="n">
        <f aca="false">IF(G66=0,I66,I66/(2*G66))</f>
        <v>8.5</v>
      </c>
      <c r="M66" s="34" t="n">
        <f aca="false">((IF((lane_off+(L66))&lt;=(v_sh^2/a_sh),(4/3)*(lane_off+(L66))^1.5/SQRT(a_sh),(4/3)*(v_sh^2/a_sh)^1.5/SQRT(a_sh)+((lane_off+(L66))^2-(v_sh^2/a_sh)^2)/(2*v_sh)+(v_sh/a_sh)*((lane_off+(L66))-(v_sh^2/a_sh))))-(IF((lane_off)&lt;=(v_sh^2/a_sh),(4/3)*(lane_off)^1.5/SQRT(a_sh),(4/3)*(v_sh^2/a_sh)^1.5/SQRT(a_sh)+((lane_off)^2-(v_sh^2/a_sh)^2)/(2*v_sh)+(v_sh/a_sh)*((lane_off)-(v_sh^2/a_sh)))))/(L66)</f>
        <v>6.71950007614782</v>
      </c>
      <c r="N66" s="34" t="n">
        <f aca="false">IF(((B66-1)*u_d/2*(1+f_hc)+lane_off)&lt;=0,0,IF(((B66-1)*u_d/2*(1+f_hc)+lane_off)&gt;=v_sh^2/a_sh,((B66-1)*u_d/2*(1+f_hc)+lane_off)/v_sh+v_sh/a_sh,2*SQRT(((B66-1)*u_d/2*(1+f_hc)+lane_off)/a_sh)))</f>
        <v>5.39629502529282</v>
      </c>
      <c r="O66" s="47" t="n">
        <f aca="false">2*t_sh+2*t_turn+2*M66+2*N66</f>
        <v>82.2315902028813</v>
      </c>
      <c r="P66" s="47" t="n">
        <f aca="false">SUMPRODUCT((Tc_idx&lt;=C66)*(ROUNDUP(lam_total*INDEX(Tc_P,C66,0)*O66/(3600*rho_max)-0.000000001,0)+(ROUNDUP(lam_total*INDEX(Tc_P,C66,0)*O66/(3600*rho_max)-0.000000001,0)&lt;min_sh)*(min_sh-ROUNDUP(lam_total*INDEX(Tc_P,C66,0)*O66/(3600*rho_max)-0.000000001,0))))</f>
        <v>21</v>
      </c>
      <c r="Q66" s="3" t="n">
        <f aca="false">ROUNDUP(P66-0.000000001,0)+spares</f>
        <v>23</v>
      </c>
      <c r="R66" s="45" t="n">
        <f aca="false">B66*C66*(2*H66-G66*lpl)</f>
        <v>4712</v>
      </c>
      <c r="S66" s="45" t="n">
        <f aca="false">R66*fill</f>
        <v>4005.2</v>
      </c>
      <c r="T66" s="45" t="n">
        <f aca="false">I66*J66</f>
        <v>397.8</v>
      </c>
      <c r="U66" s="45" t="n">
        <f aca="false">T66*(K66+headroom)</f>
        <v>16846.83</v>
      </c>
      <c r="V66" s="45" t="n">
        <f aca="false">G66*c_lift</f>
        <v>300000</v>
      </c>
      <c r="W66" s="45" t="n">
        <f aca="false">Q66*c_shut</f>
        <v>1150000</v>
      </c>
      <c r="X66" s="45" t="n">
        <f aca="false">R66*c_pos</f>
        <v>471200</v>
      </c>
      <c r="Y66" s="45" t="n">
        <f aca="false">T66*c_m2+U66*c_m3</f>
        <v>664524.9</v>
      </c>
      <c r="Z66" s="45" t="n">
        <f aca="false">SUM(V66:Y66)</f>
        <v>2585724.9</v>
      </c>
      <c r="AA66" s="34" t="n">
        <f aca="false">B66*u_d/(H66*u_w)</f>
        <v>0.152941176470588</v>
      </c>
      <c r="AB66" s="46" t="n">
        <f aca="false">IF(G66=0,0,F66/G66)</f>
        <v>0.392247023809524</v>
      </c>
      <c r="AC66" s="46" t="n">
        <f aca="false">IF(G66&gt;1,F66/(G66-1),"n/a")</f>
        <v>0.784494047619048</v>
      </c>
      <c r="AD66" s="47" t="n">
        <f aca="false">moves_day*m_pallet*9.81*INDEX(Tc_mh,C66)/3600000</f>
        <v>16.02954</v>
      </c>
      <c r="AE66" s="3" t="n">
        <f aca="false">IF(AND(K66&lt;=H_max,H66&lt;=300,OR(lane_policy="Free (optimize N_C)",B66=sku_pal),OR(env_use="No",AND(I66&lt;=L_bldg,J66&lt;=W_bldg),AND(I66&lt;=W_bldg,J66&lt;=L_bldg))),1,0)</f>
        <v>0</v>
      </c>
      <c r="AF66" s="48" t="n">
        <f aca="false">IF(obj_mode="Total cost",Z66,IF(obj_mode="Shuttle cycle",O66,T66))</f>
        <v>2585724.9</v>
      </c>
      <c r="AG66" s="3" t="n">
        <f aca="false">IF(AE66=1,AF66*(1+A66*0.0000000001),1E+099)</f>
        <v>1E+099</v>
      </c>
      <c r="AH66" s="3" t="str">
        <f aca="false">IF(AE66=1,"",IF(K66&gt;H_max,"height",IF(AND(lane_policy&lt;&gt;"Free (optimize N_C)",B66&lt;&gt;sku_pal),"lane policy","footprint")))</f>
        <v>height</v>
      </c>
    </row>
    <row r="67" customFormat="false" ht="15" hidden="false" customHeight="true" outlineLevel="0" collapsed="false">
      <c r="A67" s="3" t="n">
        <v>60</v>
      </c>
      <c r="B67" s="3" t="n">
        <f aca="false">$D$3</f>
        <v>4</v>
      </c>
      <c r="C67" s="3" t="n">
        <v>20</v>
      </c>
      <c r="D67" s="46" t="n">
        <f aca="false">INDEX(Tc_pl,C67)</f>
        <v>0.6</v>
      </c>
      <c r="E67" s="47" t="n">
        <f aca="false">INDEX(Tc_S,C67)</f>
        <v>47.2488095238095</v>
      </c>
      <c r="F67" s="34" t="n">
        <f aca="false">lam_total*D67*E67/3600</f>
        <v>0.787480158730159</v>
      </c>
      <c r="G67" s="3" t="n">
        <f aca="false">IF(F67&lt;=0.000000000001,0,MAX(ROUNDUP(F67/rho_max-0.000000001,0),IF(redund="Yes",ROUNDUP(F67/rho_fail-0.000000001,0)+1,0)))</f>
        <v>2</v>
      </c>
      <c r="H67" s="3" t="n">
        <f aca="false">MAX(1,ROUNDUP((P_req/(B67*C67)+G67*lpl)/2-0.000000001,0))</f>
        <v>33</v>
      </c>
      <c r="I67" s="47" t="n">
        <f aca="false">H67*u_w</f>
        <v>33</v>
      </c>
      <c r="J67" s="47" t="n">
        <f aca="false">2*B67*u_d+aisle_w</f>
        <v>11.7</v>
      </c>
      <c r="K67" s="47" t="n">
        <f aca="false">C67*u_h</f>
        <v>43</v>
      </c>
      <c r="L67" s="47" t="n">
        <f aca="false">IF(G67=0,I67,I67/(2*G67))</f>
        <v>8.25</v>
      </c>
      <c r="M67" s="34" t="n">
        <f aca="false">((IF((lane_off+(L67))&lt;=(v_sh^2/a_sh),(4/3)*(lane_off+(L67))^1.5/SQRT(a_sh),(4/3)*(v_sh^2/a_sh)^1.5/SQRT(a_sh)+((lane_off+(L67))^2-(v_sh^2/a_sh)^2)/(2*v_sh)+(v_sh/a_sh)*((lane_off+(L67))-(v_sh^2/a_sh))))-(IF((lane_off)&lt;=(v_sh^2/a_sh),(4/3)*(lane_off)^1.5/SQRT(a_sh),(4/3)*(v_sh^2/a_sh)^1.5/SQRT(a_sh)+((lane_off)^2-(v_sh^2/a_sh)^2)/(2*v_sh)+(v_sh/a_sh)*((lane_off)-(v_sh^2/a_sh)))))/(L67)</f>
        <v>6.62885722131248</v>
      </c>
      <c r="N67" s="34" t="n">
        <f aca="false">IF(((B67-1)*u_d/2*(1+f_hc)+lane_off)&lt;=0,0,IF(((B67-1)*u_d/2*(1+f_hc)+lane_off)&gt;=v_sh^2/a_sh,((B67-1)*u_d/2*(1+f_hc)+lane_off)/v_sh+v_sh/a_sh,2*SQRT(((B67-1)*u_d/2*(1+f_hc)+lane_off)/a_sh)))</f>
        <v>5.39629502529282</v>
      </c>
      <c r="O67" s="47" t="n">
        <f aca="false">2*t_sh+2*t_turn+2*M67+2*N67</f>
        <v>82.0503044932106</v>
      </c>
      <c r="P67" s="47" t="n">
        <f aca="false">SUMPRODUCT((Tc_idx&lt;=C67)*(ROUNDUP(lam_total*INDEX(Tc_P,C67,0)*O67/(3600*rho_max)-0.000000001,0)+(ROUNDUP(lam_total*INDEX(Tc_P,C67,0)*O67/(3600*rho_max)-0.000000001,0)&lt;min_sh)*(min_sh-ROUNDUP(lam_total*INDEX(Tc_P,C67,0)*O67/(3600*rho_max)-0.000000001,0))))</f>
        <v>22</v>
      </c>
      <c r="Q67" s="3" t="n">
        <f aca="false">ROUNDUP(P67-0.000000001,0)+spares</f>
        <v>24</v>
      </c>
      <c r="R67" s="45" t="n">
        <f aca="false">B67*C67*(2*H67-G67*lpl)</f>
        <v>4800</v>
      </c>
      <c r="S67" s="45" t="n">
        <f aca="false">R67*fill</f>
        <v>4080</v>
      </c>
      <c r="T67" s="45" t="n">
        <f aca="false">I67*J67</f>
        <v>386.1</v>
      </c>
      <c r="U67" s="45" t="n">
        <f aca="false">T67*(K67+headroom)</f>
        <v>17181.45</v>
      </c>
      <c r="V67" s="45" t="n">
        <f aca="false">G67*c_lift</f>
        <v>300000</v>
      </c>
      <c r="W67" s="45" t="n">
        <f aca="false">Q67*c_shut</f>
        <v>1200000</v>
      </c>
      <c r="X67" s="45" t="n">
        <f aca="false">R67*c_pos</f>
        <v>480000</v>
      </c>
      <c r="Y67" s="45" t="n">
        <f aca="false">T67*c_m2+U67*c_m3</f>
        <v>669883.5</v>
      </c>
      <c r="Z67" s="45" t="n">
        <f aca="false">SUM(V67:Y67)</f>
        <v>2649883.5</v>
      </c>
      <c r="AA67" s="34" t="n">
        <f aca="false">B67*u_d/(H67*u_w)</f>
        <v>0.157575757575758</v>
      </c>
      <c r="AB67" s="46" t="n">
        <f aca="false">IF(G67=0,0,F67/G67)</f>
        <v>0.393740079365079</v>
      </c>
      <c r="AC67" s="46" t="n">
        <f aca="false">IF(G67&gt;1,F67/(G67-1),"n/a")</f>
        <v>0.787480158730159</v>
      </c>
      <c r="AD67" s="47" t="n">
        <f aca="false">moves_day*m_pallet*9.81*INDEX(Tc_mh,C67)/3600000</f>
        <v>16.31076</v>
      </c>
      <c r="AE67" s="3" t="n">
        <f aca="false">IF(AND(K67&lt;=H_max,H67&lt;=300,OR(lane_policy="Free (optimize N_C)",B67=sku_pal),OR(env_use="No",AND(I67&lt;=L_bldg,J67&lt;=W_bldg),AND(I67&lt;=W_bldg,J67&lt;=L_bldg))),1,0)</f>
        <v>0</v>
      </c>
      <c r="AF67" s="48" t="n">
        <f aca="false">IF(obj_mode="Total cost",Z67,IF(obj_mode="Shuttle cycle",O67,T67))</f>
        <v>2649883.5</v>
      </c>
      <c r="AG67" s="3" t="n">
        <f aca="false">IF(AE67=1,AF67*(1+A67*0.0000000001),1E+099)</f>
        <v>1E+099</v>
      </c>
      <c r="AH67" s="3" t="str">
        <f aca="false">IF(AE67=1,"",IF(K67&gt;H_max,"height",IF(AND(lane_policy&lt;&gt;"Free (optimize N_C)",B67&lt;&gt;sku_pal),"lane policy","footprint")))</f>
        <v>height</v>
      </c>
    </row>
    <row r="68" customFormat="false" ht="15" hidden="false" customHeight="true" outlineLevel="0" collapsed="false">
      <c r="A68" s="3" t="n">
        <v>61</v>
      </c>
      <c r="B68" s="3" t="n">
        <f aca="false">$E$3</f>
        <v>5</v>
      </c>
      <c r="C68" s="3" t="n">
        <v>1</v>
      </c>
      <c r="D68" s="46" t="n">
        <f aca="false">INDEX(Tc_pl,C68)</f>
        <v>0</v>
      </c>
      <c r="E68" s="47" t="n">
        <f aca="false">INDEX(Tc_S,C68)</f>
        <v>0</v>
      </c>
      <c r="F68" s="34" t="n">
        <f aca="false">lam_total*D68*E68/3600</f>
        <v>0</v>
      </c>
      <c r="G68" s="3" t="n">
        <f aca="false">IF(F68&lt;=0.000000000001,0,MAX(ROUNDUP(F68/rho_max-0.000000001,0),IF(redund="Yes",ROUNDUP(F68/rho_fail-0.000000001,0)+1,0)))</f>
        <v>0</v>
      </c>
      <c r="H68" s="3" t="n">
        <f aca="false">MAX(1,ROUNDUP((P_req/(B68*C68)+G68*lpl)/2-0.000000001,0))</f>
        <v>471</v>
      </c>
      <c r="I68" s="47" t="n">
        <f aca="false">H68*u_w</f>
        <v>471</v>
      </c>
      <c r="J68" s="47" t="n">
        <f aca="false">2*B68*u_d+aisle_w</f>
        <v>14.3</v>
      </c>
      <c r="K68" s="47" t="n">
        <f aca="false">C68*u_h</f>
        <v>2.15</v>
      </c>
      <c r="L68" s="47" t="n">
        <f aca="false">IF(G68=0,I68,I68/(2*G68))</f>
        <v>471</v>
      </c>
      <c r="M68" s="34" t="n">
        <f aca="false">((IF((lane_off+(L68))&lt;=(v_sh^2/a_sh),(4/3)*(lane_off+(L68))^1.5/SQRT(a_sh),(4/3)*(v_sh^2/a_sh)^1.5/SQRT(a_sh)+((lane_off+(L68))^2-(v_sh^2/a_sh)^2)/(2*v_sh)+(v_sh/a_sh)*((lane_off+(L68))-(v_sh^2/a_sh))))-(IF((lane_off)&lt;=(v_sh^2/a_sh),(4/3)*(lane_off)^1.5/SQRT(a_sh),(4/3)*(v_sh^2/a_sh)^1.5/SQRT(a_sh)+((lane_off)^2-(v_sh^2/a_sh)^2)/(2*v_sh)+(v_sh/a_sh)*((lane_off)-(v_sh^2/a_sh)))))/(L68)</f>
        <v>171.942048909472</v>
      </c>
      <c r="N68" s="34" t="n">
        <f aca="false">IF(((B68-1)*u_d/2*(1+f_hc)+lane_off)&lt;=0,0,IF(((B68-1)*u_d/2*(1+f_hc)+lane_off)&gt;=v_sh^2/a_sh,((B68-1)*u_d/2*(1+f_hc)+lane_off)/v_sh+v_sh/a_sh,2*SQRT(((B68-1)*u_d/2*(1+f_hc)+lane_off)/a_sh)))</f>
        <v>5.95714285714286</v>
      </c>
      <c r="O68" s="47" t="n">
        <f aca="false">2*t_sh+2*t_turn+2*M68+2*N68</f>
        <v>413.798383533231</v>
      </c>
      <c r="P68" s="47" t="n">
        <f aca="false">SUMPRODUCT((Tc_idx&lt;=C68)*(ROUNDUP(lam_total*INDEX(Tc_P,C68,0)*O68/(3600*rho_max)-0.000000001,0)+(ROUNDUP(lam_total*INDEX(Tc_P,C68,0)*O68/(3600*rho_max)-0.000000001,0)&lt;min_sh)*(min_sh-ROUNDUP(lam_total*INDEX(Tc_P,C68,0)*O68/(3600*rho_max)-0.000000001,0))))</f>
        <v>16</v>
      </c>
      <c r="Q68" s="3" t="n">
        <f aca="false">ROUNDUP(P68-0.000000001,0)+spares</f>
        <v>18</v>
      </c>
      <c r="R68" s="45" t="n">
        <f aca="false">B68*C68*(2*H68-G68*lpl)</f>
        <v>4710</v>
      </c>
      <c r="S68" s="45" t="n">
        <f aca="false">R68*fill</f>
        <v>4003.5</v>
      </c>
      <c r="T68" s="45" t="n">
        <f aca="false">I68*J68</f>
        <v>6735.3</v>
      </c>
      <c r="U68" s="45" t="n">
        <f aca="false">T68*(K68+headroom)</f>
        <v>24583.845</v>
      </c>
      <c r="V68" s="45" t="n">
        <f aca="false">G68*c_lift</f>
        <v>0</v>
      </c>
      <c r="W68" s="45" t="n">
        <f aca="false">Q68*c_shut</f>
        <v>900000</v>
      </c>
      <c r="X68" s="45" t="n">
        <f aca="false">R68*c_pos</f>
        <v>471000</v>
      </c>
      <c r="Y68" s="45" t="n">
        <f aca="false">T68*c_m2+U68*c_m3</f>
        <v>3431635.35</v>
      </c>
      <c r="Z68" s="45" t="n">
        <f aca="false">SUM(V68:Y68)</f>
        <v>4802635.35</v>
      </c>
      <c r="AA68" s="34" t="n">
        <f aca="false">B68*u_d/(H68*u_w)</f>
        <v>0.0138004246284501</v>
      </c>
      <c r="AB68" s="46" t="n">
        <f aca="false">IF(G68=0,0,F68/G68)</f>
        <v>0</v>
      </c>
      <c r="AC68" s="46" t="str">
        <f aca="false">IF(G68&gt;1,F68/(G68-1),"n/a")</f>
        <v>n/a</v>
      </c>
      <c r="AD68" s="47" t="n">
        <f aca="false">moves_day*m_pallet*9.81*INDEX(Tc_mh,C68)/3600000</f>
        <v>0</v>
      </c>
      <c r="AE68" s="3" t="n">
        <f aca="false">IF(AND(K68&lt;=H_max,H68&lt;=300,OR(lane_policy="Free (optimize N_C)",B68=sku_pal),OR(env_use="No",AND(I68&lt;=L_bldg,J68&lt;=W_bldg),AND(I68&lt;=W_bldg,J68&lt;=L_bldg))),1,0)</f>
        <v>0</v>
      </c>
      <c r="AF68" s="48" t="n">
        <f aca="false">IF(obj_mode="Total cost",Z68,IF(obj_mode="Shuttle cycle",O68,T68))</f>
        <v>4802635.35</v>
      </c>
      <c r="AG68" s="3" t="n">
        <f aca="false">IF(AE68=1,AF68*(1+A68*0.0000000001),1E+099)</f>
        <v>1E+099</v>
      </c>
      <c r="AH68" s="3" t="str">
        <f aca="false">IF(AE68=1,"",IF(K68&gt;H_max,"height",IF(AND(lane_policy&lt;&gt;"Free (optimize N_C)",B68&lt;&gt;sku_pal),"lane policy","footprint")))</f>
        <v>footprint</v>
      </c>
    </row>
    <row r="69" customFormat="false" ht="15" hidden="false" customHeight="true" outlineLevel="0" collapsed="false">
      <c r="A69" s="3" t="n">
        <v>62</v>
      </c>
      <c r="B69" s="3" t="n">
        <f aca="false">$E$3</f>
        <v>5</v>
      </c>
      <c r="C69" s="3" t="n">
        <v>2</v>
      </c>
      <c r="D69" s="46" t="n">
        <f aca="false">INDEX(Tc_pl,C69)</f>
        <v>0.5</v>
      </c>
      <c r="E69" s="47" t="n">
        <f aca="false">INDEX(Tc_S,C69)</f>
        <v>41.1571428571429</v>
      </c>
      <c r="F69" s="34" t="n">
        <f aca="false">lam_total*D69*E69/3600</f>
        <v>0.571626984126984</v>
      </c>
      <c r="G69" s="3" t="n">
        <f aca="false">IF(F69&lt;=0.000000000001,0,MAX(ROUNDUP(F69/rho_max-0.000000001,0),IF(redund="Yes",ROUNDUP(F69/rho_fail-0.000000001,0)+1,0)))</f>
        <v>2</v>
      </c>
      <c r="H69" s="3" t="n">
        <f aca="false">MAX(1,ROUNDUP((P_req/(B69*C69)+G69*lpl)/2-0.000000001,0))</f>
        <v>239</v>
      </c>
      <c r="I69" s="47" t="n">
        <f aca="false">H69*u_w</f>
        <v>239</v>
      </c>
      <c r="J69" s="47" t="n">
        <f aca="false">2*B69*u_d+aisle_w</f>
        <v>14.3</v>
      </c>
      <c r="K69" s="47" t="n">
        <f aca="false">C69*u_h</f>
        <v>4.3</v>
      </c>
      <c r="L69" s="47" t="n">
        <f aca="false">IF(G69=0,I69,I69/(2*G69))</f>
        <v>59.75</v>
      </c>
      <c r="M69" s="34" t="n">
        <f aca="false">((IF((lane_off+(L69))&lt;=(v_sh^2/a_sh),(4/3)*(lane_off+(L69))^1.5/SQRT(a_sh),(4/3)*(v_sh^2/a_sh)^1.5/SQRT(a_sh)+((lane_off+(L69))^2-(v_sh^2/a_sh)^2)/(2*v_sh)+(v_sh/a_sh)*((lane_off+(L69))-(v_sh^2/a_sh))))-(IF((lane_off)&lt;=(v_sh^2/a_sh),(4/3)*(lane_off)^1.5/SQRT(a_sh),(4/3)*(v_sh^2/a_sh)^1.5/SQRT(a_sh)+((lane_off)^2-(v_sh^2/a_sh)^2)/(2*v_sh)+(v_sh/a_sh)*((lane_off)-(v_sh^2/a_sh)))))/(L69)</f>
        <v>25.0614859642099</v>
      </c>
      <c r="N69" s="34" t="n">
        <f aca="false">IF(((B69-1)*u_d/2*(1+f_hc)+lane_off)&lt;=0,0,IF(((B69-1)*u_d/2*(1+f_hc)+lane_off)&gt;=v_sh^2/a_sh,((B69-1)*u_d/2*(1+f_hc)+lane_off)/v_sh+v_sh/a_sh,2*SQRT(((B69-1)*u_d/2*(1+f_hc)+lane_off)/a_sh)))</f>
        <v>5.95714285714286</v>
      </c>
      <c r="O69" s="47" t="n">
        <f aca="false">2*t_sh+2*t_turn+2*M69+2*N69</f>
        <v>120.037257642706</v>
      </c>
      <c r="P69" s="47" t="n">
        <f aca="false">SUMPRODUCT((Tc_idx&lt;=C69)*(ROUNDUP(lam_total*INDEX(Tc_P,C69,0)*O69/(3600*rho_max)-0.000000001,0)+(ROUNDUP(lam_total*INDEX(Tc_P,C69,0)*O69/(3600*rho_max)-0.000000001,0)&lt;min_sh)*(min_sh-ROUNDUP(lam_total*INDEX(Tc_P,C69,0)*O69/(3600*rho_max)-0.000000001,0))))</f>
        <v>6</v>
      </c>
      <c r="Q69" s="3" t="n">
        <f aca="false">ROUNDUP(P69-0.000000001,0)+spares</f>
        <v>8</v>
      </c>
      <c r="R69" s="45" t="n">
        <f aca="false">B69*C69*(2*H69-G69*lpl)</f>
        <v>4720</v>
      </c>
      <c r="S69" s="45" t="n">
        <f aca="false">R69*fill</f>
        <v>4012</v>
      </c>
      <c r="T69" s="45" t="n">
        <f aca="false">I69*J69</f>
        <v>3417.7</v>
      </c>
      <c r="U69" s="45" t="n">
        <f aca="false">T69*(K69+headroom)</f>
        <v>19822.66</v>
      </c>
      <c r="V69" s="45" t="n">
        <f aca="false">G69*c_lift</f>
        <v>300000</v>
      </c>
      <c r="W69" s="45" t="n">
        <f aca="false">Q69*c_shut</f>
        <v>400000</v>
      </c>
      <c r="X69" s="45" t="n">
        <f aca="false">R69*c_pos</f>
        <v>472000</v>
      </c>
      <c r="Y69" s="45" t="n">
        <f aca="false">T69*c_m2+U69*c_m3</f>
        <v>1961759.8</v>
      </c>
      <c r="Z69" s="45" t="n">
        <f aca="false">SUM(V69:Y69)</f>
        <v>3133759.8</v>
      </c>
      <c r="AA69" s="34" t="n">
        <f aca="false">B69*u_d/(H69*u_w)</f>
        <v>0.0271966527196653</v>
      </c>
      <c r="AB69" s="46" t="n">
        <f aca="false">IF(G69=0,0,F69/G69)</f>
        <v>0.285813492063492</v>
      </c>
      <c r="AC69" s="46" t="n">
        <f aca="false">IF(G69&gt;1,F69/(G69-1),"n/a")</f>
        <v>0.571626984126984</v>
      </c>
      <c r="AD69" s="47" t="n">
        <f aca="false">moves_day*m_pallet*9.81*INDEX(Tc_mh,C69)/3600000</f>
        <v>5.6244</v>
      </c>
      <c r="AE69" s="3" t="n">
        <f aca="false">IF(AND(K69&lt;=H_max,H69&lt;=300,OR(lane_policy="Free (optimize N_C)",B69=sku_pal),OR(env_use="No",AND(I69&lt;=L_bldg,J69&lt;=W_bldg),AND(I69&lt;=W_bldg,J69&lt;=L_bldg))),1,0)</f>
        <v>0</v>
      </c>
      <c r="AF69" s="48" t="n">
        <f aca="false">IF(obj_mode="Total cost",Z69,IF(obj_mode="Shuttle cycle",O69,T69))</f>
        <v>3133759.8</v>
      </c>
      <c r="AG69" s="3" t="n">
        <f aca="false">IF(AE69=1,AF69*(1+A69*0.0000000001),1E+099)</f>
        <v>1E+099</v>
      </c>
      <c r="AH69" s="3" t="str">
        <f aca="false">IF(AE69=1,"",IF(K69&gt;H_max,"height",IF(AND(lane_policy&lt;&gt;"Free (optimize N_C)",B69&lt;&gt;sku_pal),"lane policy","footprint")))</f>
        <v>footprint</v>
      </c>
    </row>
    <row r="70" customFormat="false" ht="15" hidden="false" customHeight="true" outlineLevel="0" collapsed="false">
      <c r="A70" s="3" t="n">
        <v>63</v>
      </c>
      <c r="B70" s="3" t="n">
        <f aca="false">$E$3</f>
        <v>5</v>
      </c>
      <c r="C70" s="3" t="n">
        <v>3</v>
      </c>
      <c r="D70" s="46" t="n">
        <f aca="false">INDEX(Tc_pl,C70)</f>
        <v>0.529411764705882</v>
      </c>
      <c r="E70" s="47" t="n">
        <f aca="false">INDEX(Tc_S,C70)</f>
        <v>41.6349206349206</v>
      </c>
      <c r="F70" s="34" t="n">
        <f aca="false">lam_total*D70*E70/3600</f>
        <v>0.612278244631186</v>
      </c>
      <c r="G70" s="3" t="n">
        <f aca="false">IF(F70&lt;=0.000000000001,0,MAX(ROUNDUP(F70/rho_max-0.000000001,0),IF(redund="Yes",ROUNDUP(F70/rho_fail-0.000000001,0)+1,0)))</f>
        <v>2</v>
      </c>
      <c r="H70" s="3" t="n">
        <f aca="false">MAX(1,ROUNDUP((P_req/(B70*C70)+G70*lpl)/2-0.000000001,0))</f>
        <v>160</v>
      </c>
      <c r="I70" s="47" t="n">
        <f aca="false">H70*u_w</f>
        <v>160</v>
      </c>
      <c r="J70" s="47" t="n">
        <f aca="false">2*B70*u_d+aisle_w</f>
        <v>14.3</v>
      </c>
      <c r="K70" s="47" t="n">
        <f aca="false">C70*u_h</f>
        <v>6.45</v>
      </c>
      <c r="L70" s="47" t="n">
        <f aca="false">IF(G70=0,I70,I70/(2*G70))</f>
        <v>40</v>
      </c>
      <c r="M70" s="34" t="n">
        <f aca="false">((IF((lane_off+(L70))&lt;=(v_sh^2/a_sh),(4/3)*(lane_off+(L70))^1.5/SQRT(a_sh),(4/3)*(v_sh^2/a_sh)^1.5/SQRT(a_sh)+((lane_off+(L70))^2-(v_sh^2/a_sh)^2)/(2*v_sh)+(v_sh/a_sh)*((lane_off+(L70))-(v_sh^2/a_sh))))-(IF((lane_off)&lt;=(v_sh^2/a_sh),(4/3)*(lane_off)^1.5/SQRT(a_sh),(4/3)*(v_sh^2/a_sh)^1.5/SQRT(a_sh)+((lane_off)^2-(v_sh^2/a_sh)^2)/(2*v_sh)+(v_sh/a_sh)*((lane_off)-(v_sh^2/a_sh)))))/(L70)</f>
        <v>18.0047687661814</v>
      </c>
      <c r="N70" s="34" t="n">
        <f aca="false">IF(((B70-1)*u_d/2*(1+f_hc)+lane_off)&lt;=0,0,IF(((B70-1)*u_d/2*(1+f_hc)+lane_off)&gt;=v_sh^2/a_sh,((B70-1)*u_d/2*(1+f_hc)+lane_off)/v_sh+v_sh/a_sh,2*SQRT(((B70-1)*u_d/2*(1+f_hc)+lane_off)/a_sh)))</f>
        <v>5.95714285714286</v>
      </c>
      <c r="O70" s="47" t="n">
        <f aca="false">2*t_sh+2*t_turn+2*M70+2*N70</f>
        <v>105.923823246649</v>
      </c>
      <c r="P70" s="47" t="n">
        <f aca="false">SUMPRODUCT((Tc_idx&lt;=C70)*(ROUNDUP(lam_total*INDEX(Tc_P,C70,0)*O70/(3600*rho_max)-0.000000001,0)+(ROUNDUP(lam_total*INDEX(Tc_P,C70,0)*O70/(3600*rho_max)-0.000000001,0)&lt;min_sh)*(min_sh-ROUNDUP(lam_total*INDEX(Tc_P,C70,0)*O70/(3600*rho_max)-0.000000001,0))))</f>
        <v>5</v>
      </c>
      <c r="Q70" s="3" t="n">
        <f aca="false">ROUNDUP(P70-0.000000001,0)+spares</f>
        <v>7</v>
      </c>
      <c r="R70" s="45" t="n">
        <f aca="false">B70*C70*(2*H70-G70*lpl)</f>
        <v>4710</v>
      </c>
      <c r="S70" s="45" t="n">
        <f aca="false">R70*fill</f>
        <v>4003.5</v>
      </c>
      <c r="T70" s="45" t="n">
        <f aca="false">I70*J70</f>
        <v>2288</v>
      </c>
      <c r="U70" s="45" t="n">
        <f aca="false">T70*(K70+headroom)</f>
        <v>18189.6</v>
      </c>
      <c r="V70" s="45" t="n">
        <f aca="false">G70*c_lift</f>
        <v>300000</v>
      </c>
      <c r="W70" s="45" t="n">
        <f aca="false">Q70*c_shut</f>
        <v>350000</v>
      </c>
      <c r="X70" s="45" t="n">
        <f aca="false">R70*c_pos</f>
        <v>471000</v>
      </c>
      <c r="Y70" s="45" t="n">
        <f aca="false">T70*c_m2+U70*c_m3</f>
        <v>1460888</v>
      </c>
      <c r="Z70" s="45" t="n">
        <f aca="false">SUM(V70:Y70)</f>
        <v>2581888</v>
      </c>
      <c r="AA70" s="34" t="n">
        <f aca="false">B70*u_d/(H70*u_w)</f>
        <v>0.040625</v>
      </c>
      <c r="AB70" s="46" t="n">
        <f aca="false">IF(G70=0,0,F70/G70)</f>
        <v>0.306139122315593</v>
      </c>
      <c r="AC70" s="46" t="n">
        <f aca="false">IF(G70&gt;1,F70/(G70-1),"n/a")</f>
        <v>0.612278244631186</v>
      </c>
      <c r="AD70" s="47" t="n">
        <f aca="false">moves_day*m_pallet*9.81*INDEX(Tc_mh,C70)/3600000</f>
        <v>6.61694117647059</v>
      </c>
      <c r="AE70" s="3" t="n">
        <f aca="false">IF(AND(K70&lt;=H_max,H70&lt;=300,OR(lane_policy="Free (optimize N_C)",B70=sku_pal),OR(env_use="No",AND(I70&lt;=L_bldg,J70&lt;=W_bldg),AND(I70&lt;=W_bldg,J70&lt;=L_bldg))),1,0)</f>
        <v>0</v>
      </c>
      <c r="AF70" s="48" t="n">
        <f aca="false">IF(obj_mode="Total cost",Z70,IF(obj_mode="Shuttle cycle",O70,T70))</f>
        <v>2581888</v>
      </c>
      <c r="AG70" s="3" t="n">
        <f aca="false">IF(AE70=1,AF70*(1+A70*0.0000000001),1E+099)</f>
        <v>1E+099</v>
      </c>
      <c r="AH70" s="3" t="str">
        <f aca="false">IF(AE70=1,"",IF(K70&gt;H_max,"height",IF(AND(lane_policy&lt;&gt;"Free (optimize N_C)",B70&lt;&gt;sku_pal),"lane policy","footprint")))</f>
        <v>footprint</v>
      </c>
    </row>
    <row r="71" customFormat="false" ht="15" hidden="false" customHeight="true" outlineLevel="0" collapsed="false">
      <c r="A71" s="3" t="n">
        <v>64</v>
      </c>
      <c r="B71" s="3" t="n">
        <f aca="false">$E$3</f>
        <v>5</v>
      </c>
      <c r="C71" s="3" t="n">
        <v>4</v>
      </c>
      <c r="D71" s="46" t="n">
        <f aca="false">INDEX(Tc_pl,C71)</f>
        <v>0.555555555555556</v>
      </c>
      <c r="E71" s="47" t="n">
        <f aca="false">INDEX(Tc_S,C71)</f>
        <v>42.4471428571429</v>
      </c>
      <c r="F71" s="34" t="n">
        <f aca="false">lam_total*D71*E71/3600</f>
        <v>0.655048500881834</v>
      </c>
      <c r="G71" s="3" t="n">
        <f aca="false">IF(F71&lt;=0.000000000001,0,MAX(ROUNDUP(F71/rho_max-0.000000001,0),IF(redund="Yes",ROUNDUP(F71/rho_fail-0.000000001,0)+1,0)))</f>
        <v>2</v>
      </c>
      <c r="H71" s="3" t="n">
        <f aca="false">MAX(1,ROUNDUP((P_req/(B71*C71)+G71*lpl)/2-0.000000001,0))</f>
        <v>121</v>
      </c>
      <c r="I71" s="47" t="n">
        <f aca="false">H71*u_w</f>
        <v>121</v>
      </c>
      <c r="J71" s="47" t="n">
        <f aca="false">2*B71*u_d+aisle_w</f>
        <v>14.3</v>
      </c>
      <c r="K71" s="47" t="n">
        <f aca="false">C71*u_h</f>
        <v>8.6</v>
      </c>
      <c r="L71" s="47" t="n">
        <f aca="false">IF(G71=0,I71,I71/(2*G71))</f>
        <v>30.25</v>
      </c>
      <c r="M71" s="34" t="n">
        <f aca="false">((IF((lane_off+(L71))&lt;=(v_sh^2/a_sh),(4/3)*(lane_off+(L71))^1.5/SQRT(a_sh),(4/3)*(v_sh^2/a_sh)^1.5/SQRT(a_sh)+((lane_off+(L71))^2-(v_sh^2/a_sh)^2)/(2*v_sh)+(v_sh/a_sh)*((lane_off+(L71))-(v_sh^2/a_sh))))-(IF((lane_off)&lt;=(v_sh^2/a_sh),(4/3)*(lane_off)^1.5/SQRT(a_sh),(4/3)*(v_sh^2/a_sh)^1.5/SQRT(a_sh)+((lane_off)^2-(v_sh^2/a_sh)^2)/(2*v_sh)+(v_sh/a_sh)*((lane_off)-(v_sh^2/a_sh)))))/(L71)</f>
        <v>14.5195584629554</v>
      </c>
      <c r="N71" s="34" t="n">
        <f aca="false">IF(((B71-1)*u_d/2*(1+f_hc)+lane_off)&lt;=0,0,IF(((B71-1)*u_d/2*(1+f_hc)+lane_off)&gt;=v_sh^2/a_sh,((B71-1)*u_d/2*(1+f_hc)+lane_off)/v_sh+v_sh/a_sh,2*SQRT(((B71-1)*u_d/2*(1+f_hc)+lane_off)/a_sh)))</f>
        <v>5.95714285714286</v>
      </c>
      <c r="O71" s="47" t="n">
        <f aca="false">2*t_sh+2*t_turn+2*M71+2*N71</f>
        <v>98.9534026401964</v>
      </c>
      <c r="P71" s="47" t="n">
        <f aca="false">SUMPRODUCT((Tc_idx&lt;=C71)*(ROUNDUP(lam_total*INDEX(Tc_P,C71,0)*O71/(3600*rho_max)-0.000000001,0)+(ROUNDUP(lam_total*INDEX(Tc_P,C71,0)*O71/(3600*rho_max)-0.000000001,0)&lt;min_sh)*(min_sh-ROUNDUP(lam_total*INDEX(Tc_P,C71,0)*O71/(3600*rho_max)-0.000000001,0))))</f>
        <v>6</v>
      </c>
      <c r="Q71" s="3" t="n">
        <f aca="false">ROUNDUP(P71-0.000000001,0)+spares</f>
        <v>8</v>
      </c>
      <c r="R71" s="45" t="n">
        <f aca="false">B71*C71*(2*H71-G71*lpl)</f>
        <v>4720</v>
      </c>
      <c r="S71" s="45" t="n">
        <f aca="false">R71*fill</f>
        <v>4012</v>
      </c>
      <c r="T71" s="45" t="n">
        <f aca="false">I71*J71</f>
        <v>1730.3</v>
      </c>
      <c r="U71" s="45" t="n">
        <f aca="false">T71*(K71+headroom)</f>
        <v>17476.03</v>
      </c>
      <c r="V71" s="45" t="n">
        <f aca="false">G71*c_lift</f>
        <v>300000</v>
      </c>
      <c r="W71" s="45" t="n">
        <f aca="false">Q71*c_shut</f>
        <v>400000</v>
      </c>
      <c r="X71" s="45" t="n">
        <f aca="false">R71*c_pos</f>
        <v>472000</v>
      </c>
      <c r="Y71" s="45" t="n">
        <f aca="false">T71*c_m2+U71*c_m3</f>
        <v>1216400.9</v>
      </c>
      <c r="Z71" s="45" t="n">
        <f aca="false">SUM(V71:Y71)</f>
        <v>2388400.9</v>
      </c>
      <c r="AA71" s="34" t="n">
        <f aca="false">B71*u_d/(H71*u_w)</f>
        <v>0.0537190082644628</v>
      </c>
      <c r="AB71" s="46" t="n">
        <f aca="false">IF(G71=0,0,F71/G71)</f>
        <v>0.327524250440917</v>
      </c>
      <c r="AC71" s="46" t="n">
        <f aca="false">IF(G71&gt;1,F71/(G71-1),"n/a")</f>
        <v>0.655048500881834</v>
      </c>
      <c r="AD71" s="47" t="n">
        <f aca="false">moves_day*m_pallet*9.81*INDEX(Tc_mh,C71)/3600000</f>
        <v>8.12413333333333</v>
      </c>
      <c r="AE71" s="3" t="n">
        <f aca="false">IF(AND(K71&lt;=H_max,H71&lt;=300,OR(lane_policy="Free (optimize N_C)",B71=sku_pal),OR(env_use="No",AND(I71&lt;=L_bldg,J71&lt;=W_bldg),AND(I71&lt;=W_bldg,J71&lt;=L_bldg))),1,0)</f>
        <v>0</v>
      </c>
      <c r="AF71" s="48" t="n">
        <f aca="false">IF(obj_mode="Total cost",Z71,IF(obj_mode="Shuttle cycle",O71,T71))</f>
        <v>2388400.9</v>
      </c>
      <c r="AG71" s="3" t="n">
        <f aca="false">IF(AE71=1,AF71*(1+A71*0.0000000001),1E+099)</f>
        <v>1E+099</v>
      </c>
      <c r="AH71" s="3" t="str">
        <f aca="false">IF(AE71=1,"",IF(K71&gt;H_max,"height",IF(AND(lane_policy&lt;&gt;"Free (optimize N_C)",B71&lt;&gt;sku_pal),"lane policy","footprint")))</f>
        <v>footprint</v>
      </c>
    </row>
    <row r="72" customFormat="false" ht="15" hidden="false" customHeight="true" outlineLevel="0" collapsed="false">
      <c r="A72" s="3" t="n">
        <v>65</v>
      </c>
      <c r="B72" s="3" t="n">
        <f aca="false">$E$3</f>
        <v>5</v>
      </c>
      <c r="C72" s="3" t="n">
        <v>5</v>
      </c>
      <c r="D72" s="46" t="n">
        <f aca="false">INDEX(Tc_pl,C72)</f>
        <v>0.578947368421053</v>
      </c>
      <c r="E72" s="47" t="n">
        <f aca="false">INDEX(Tc_S,C72)</f>
        <v>43.5025974025974</v>
      </c>
      <c r="F72" s="34" t="n">
        <f aca="false">lam_total*D72*E72/3600</f>
        <v>0.699603174603175</v>
      </c>
      <c r="G72" s="3" t="n">
        <f aca="false">IF(F72&lt;=0.000000000001,0,MAX(ROUNDUP(F72/rho_max-0.000000001,0),IF(redund="Yes",ROUNDUP(F72/rho_fail-0.000000001,0)+1,0)))</f>
        <v>2</v>
      </c>
      <c r="H72" s="3" t="n">
        <f aca="false">MAX(1,ROUNDUP((P_req/(B72*C72)+G72*lpl)/2-0.000000001,0))</f>
        <v>98</v>
      </c>
      <c r="I72" s="47" t="n">
        <f aca="false">H72*u_w</f>
        <v>98</v>
      </c>
      <c r="J72" s="47" t="n">
        <f aca="false">2*B72*u_d+aisle_w</f>
        <v>14.3</v>
      </c>
      <c r="K72" s="47" t="n">
        <f aca="false">C72*u_h</f>
        <v>10.75</v>
      </c>
      <c r="L72" s="47" t="n">
        <f aca="false">IF(G72=0,I72,I72/(2*G72))</f>
        <v>24.5</v>
      </c>
      <c r="M72" s="34" t="n">
        <f aca="false">((IF((lane_off+(L72))&lt;=(v_sh^2/a_sh),(4/3)*(lane_off+(L72))^1.5/SQRT(a_sh),(4/3)*(v_sh^2/a_sh)^1.5/SQRT(a_sh)+((lane_off+(L72))^2-(v_sh^2/a_sh)^2)/(2*v_sh)+(v_sh/a_sh)*((lane_off+(L72))-(v_sh^2/a_sh))))-(IF((lane_off)&lt;=(v_sh^2/a_sh),(4/3)*(lane_off)^1.5/SQRT(a_sh),(4/3)*(v_sh^2/a_sh)^1.5/SQRT(a_sh)+((lane_off)^2-(v_sh^2/a_sh)^2)/(2*v_sh)+(v_sh/a_sh)*((lane_off)-(v_sh^2/a_sh)))))/(L72)</f>
        <v>12.4630335541154</v>
      </c>
      <c r="N72" s="34" t="n">
        <f aca="false">IF(((B72-1)*u_d/2*(1+f_hc)+lane_off)&lt;=0,0,IF(((B72-1)*u_d/2*(1+f_hc)+lane_off)&gt;=v_sh^2/a_sh,((B72-1)*u_d/2*(1+f_hc)+lane_off)/v_sh+v_sh/a_sh,2*SQRT(((B72-1)*u_d/2*(1+f_hc)+lane_off)/a_sh)))</f>
        <v>5.95714285714286</v>
      </c>
      <c r="O72" s="47" t="n">
        <f aca="false">2*t_sh+2*t_turn+2*M72+2*N72</f>
        <v>94.8403528225166</v>
      </c>
      <c r="P72" s="47" t="n">
        <f aca="false">SUMPRODUCT((Tc_idx&lt;=C72)*(ROUNDUP(lam_total*INDEX(Tc_P,C72,0)*O72/(3600*rho_max)-0.000000001,0)+(ROUNDUP(lam_total*INDEX(Tc_P,C72,0)*O72/(3600*rho_max)-0.000000001,0)&lt;min_sh)*(min_sh-ROUNDUP(lam_total*INDEX(Tc_P,C72,0)*O72/(3600*rho_max)-0.000000001,0))))</f>
        <v>7</v>
      </c>
      <c r="Q72" s="3" t="n">
        <f aca="false">ROUNDUP(P72-0.000000001,0)+spares</f>
        <v>9</v>
      </c>
      <c r="R72" s="45" t="n">
        <f aca="false">B72*C72*(2*H72-G72*lpl)</f>
        <v>4750</v>
      </c>
      <c r="S72" s="45" t="n">
        <f aca="false">R72*fill</f>
        <v>4037.5</v>
      </c>
      <c r="T72" s="45" t="n">
        <f aca="false">I72*J72</f>
        <v>1401.4</v>
      </c>
      <c r="U72" s="45" t="n">
        <f aca="false">T72*(K72+headroom)</f>
        <v>17167.15</v>
      </c>
      <c r="V72" s="45" t="n">
        <f aca="false">G72*c_lift</f>
        <v>300000</v>
      </c>
      <c r="W72" s="45" t="n">
        <f aca="false">Q72*c_shut</f>
        <v>450000</v>
      </c>
      <c r="X72" s="45" t="n">
        <f aca="false">R72*c_pos</f>
        <v>475000</v>
      </c>
      <c r="Y72" s="45" t="n">
        <f aca="false">T72*c_m2+U72*c_m3</f>
        <v>1075574.5</v>
      </c>
      <c r="Z72" s="45" t="n">
        <f aca="false">SUM(V72:Y72)</f>
        <v>2300574.5</v>
      </c>
      <c r="AA72" s="34" t="n">
        <f aca="false">B72*u_d/(H72*u_w)</f>
        <v>0.0663265306122449</v>
      </c>
      <c r="AB72" s="46" t="n">
        <f aca="false">IF(G72=0,0,F72/G72)</f>
        <v>0.349801587301587</v>
      </c>
      <c r="AC72" s="46" t="n">
        <f aca="false">IF(G72&gt;1,F72/(G72-1),"n/a")</f>
        <v>0.699603174603175</v>
      </c>
      <c r="AD72" s="47" t="n">
        <f aca="false">moves_day*m_pallet*9.81*INDEX(Tc_mh,C72)/3600000</f>
        <v>10.0647157894737</v>
      </c>
      <c r="AE72" s="3" t="n">
        <f aca="false">IF(AND(K72&lt;=H_max,H72&lt;=300,OR(lane_policy="Free (optimize N_C)",B72=sku_pal),OR(env_use="No",AND(I72&lt;=L_bldg,J72&lt;=W_bldg),AND(I72&lt;=W_bldg,J72&lt;=L_bldg))),1,0)</f>
        <v>0</v>
      </c>
      <c r="AF72" s="48" t="n">
        <f aca="false">IF(obj_mode="Total cost",Z72,IF(obj_mode="Shuttle cycle",O72,T72))</f>
        <v>2300574.5</v>
      </c>
      <c r="AG72" s="3" t="n">
        <f aca="false">IF(AE72=1,AF72*(1+A72*0.0000000001),1E+099)</f>
        <v>1E+099</v>
      </c>
      <c r="AH72" s="3" t="str">
        <f aca="false">IF(AE72=1,"",IF(K72&gt;H_max,"height",IF(AND(lane_policy&lt;&gt;"Free (optimize N_C)",B72&lt;&gt;sku_pal),"lane policy","footprint")))</f>
        <v>footprint</v>
      </c>
    </row>
    <row r="73" customFormat="false" ht="15" hidden="false" customHeight="true" outlineLevel="0" collapsed="false">
      <c r="A73" s="3" t="n">
        <v>66</v>
      </c>
      <c r="B73" s="3" t="n">
        <f aca="false">$E$3</f>
        <v>5</v>
      </c>
      <c r="C73" s="3" t="n">
        <v>6</v>
      </c>
      <c r="D73" s="46" t="n">
        <f aca="false">INDEX(Tc_pl,C73)</f>
        <v>0.6</v>
      </c>
      <c r="E73" s="47" t="n">
        <f aca="false">INDEX(Tc_S,C73)</f>
        <v>44.7404761904762</v>
      </c>
      <c r="F73" s="34" t="n">
        <f aca="false">lam_total*D73*E73/3600</f>
        <v>0.745674603174603</v>
      </c>
      <c r="G73" s="3" t="n">
        <f aca="false">IF(F73&lt;=0.000000000001,0,MAX(ROUNDUP(F73/rho_max-0.000000001,0),IF(redund="Yes",ROUNDUP(F73/rho_fail-0.000000001,0)+1,0)))</f>
        <v>2</v>
      </c>
      <c r="H73" s="3" t="n">
        <f aca="false">MAX(1,ROUNDUP((P_req/(B73*C73)+G73*lpl)/2-0.000000001,0))</f>
        <v>82</v>
      </c>
      <c r="I73" s="47" t="n">
        <f aca="false">H73*u_w</f>
        <v>82</v>
      </c>
      <c r="J73" s="47" t="n">
        <f aca="false">2*B73*u_d+aisle_w</f>
        <v>14.3</v>
      </c>
      <c r="K73" s="47" t="n">
        <f aca="false">C73*u_h</f>
        <v>12.9</v>
      </c>
      <c r="L73" s="47" t="n">
        <f aca="false">IF(G73=0,I73,I73/(2*G73))</f>
        <v>20.5</v>
      </c>
      <c r="M73" s="34" t="n">
        <f aca="false">((IF((lane_off+(L73))&lt;=(v_sh^2/a_sh),(4/3)*(lane_off+(L73))^1.5/SQRT(a_sh),(4/3)*(v_sh^2/a_sh)^1.5/SQRT(a_sh)+((lane_off+(L73))^2-(v_sh^2/a_sh)^2)/(2*v_sh)+(v_sh/a_sh)*((lane_off+(L73))-(v_sh^2/a_sh))))-(IF((lane_off)&lt;=(v_sh^2/a_sh),(4/3)*(lane_off)^1.5/SQRT(a_sh),(4/3)*(v_sh^2/a_sh)^1.5/SQRT(a_sh)+((lane_off)^2-(v_sh^2/a_sh)^2)/(2*v_sh)+(v_sh/a_sh)*((lane_off)-(v_sh^2/a_sh)))))/(L73)</f>
        <v>11.0314303451623</v>
      </c>
      <c r="N73" s="34" t="n">
        <f aca="false">IF(((B73-1)*u_d/2*(1+f_hc)+lane_off)&lt;=0,0,IF(((B73-1)*u_d/2*(1+f_hc)+lane_off)&gt;=v_sh^2/a_sh,((B73-1)*u_d/2*(1+f_hc)+lane_off)/v_sh+v_sh/a_sh,2*SQRT(((B73-1)*u_d/2*(1+f_hc)+lane_off)/a_sh)))</f>
        <v>5.95714285714286</v>
      </c>
      <c r="O73" s="47" t="n">
        <f aca="false">2*t_sh+2*t_turn+2*M73+2*N73</f>
        <v>91.9771464046104</v>
      </c>
      <c r="P73" s="47" t="n">
        <f aca="false">SUMPRODUCT((Tc_idx&lt;=C73)*(ROUNDUP(lam_total*INDEX(Tc_P,C73,0)*O73/(3600*rho_max)-0.000000001,0)+(ROUNDUP(lam_total*INDEX(Tc_P,C73,0)*O73/(3600*rho_max)-0.000000001,0)&lt;min_sh)*(min_sh-ROUNDUP(lam_total*INDEX(Tc_P,C73,0)*O73/(3600*rho_max)-0.000000001,0))))</f>
        <v>8</v>
      </c>
      <c r="Q73" s="3" t="n">
        <f aca="false">ROUNDUP(P73-0.000000001,0)+spares</f>
        <v>10</v>
      </c>
      <c r="R73" s="45" t="n">
        <f aca="false">B73*C73*(2*H73-G73*lpl)</f>
        <v>4740</v>
      </c>
      <c r="S73" s="45" t="n">
        <f aca="false">R73*fill</f>
        <v>4029</v>
      </c>
      <c r="T73" s="45" t="n">
        <f aca="false">I73*J73</f>
        <v>1172.6</v>
      </c>
      <c r="U73" s="45" t="n">
        <f aca="false">T73*(K73+headroom)</f>
        <v>16885.44</v>
      </c>
      <c r="V73" s="45" t="n">
        <f aca="false">G73*c_lift</f>
        <v>300000</v>
      </c>
      <c r="W73" s="45" t="n">
        <f aca="false">Q73*c_shut</f>
        <v>500000</v>
      </c>
      <c r="X73" s="45" t="n">
        <f aca="false">R73*c_pos</f>
        <v>474000</v>
      </c>
      <c r="Y73" s="45" t="n">
        <f aca="false">T73*c_m2+U73*c_m3</f>
        <v>975603.2</v>
      </c>
      <c r="Z73" s="45" t="n">
        <f aca="false">SUM(V73:Y73)</f>
        <v>2249603.2</v>
      </c>
      <c r="AA73" s="34" t="n">
        <f aca="false">B73*u_d/(H73*u_w)</f>
        <v>0.0792682926829268</v>
      </c>
      <c r="AB73" s="46" t="n">
        <f aca="false">IF(G73=0,0,F73/G73)</f>
        <v>0.372837301587302</v>
      </c>
      <c r="AC73" s="46" t="n">
        <f aca="false">IF(G73&gt;1,F73/(G73-1),"n/a")</f>
        <v>0.745674603174603</v>
      </c>
      <c r="AD73" s="47" t="n">
        <f aca="false">moves_day*m_pallet*9.81*INDEX(Tc_mh,C73)/3600000</f>
        <v>12.37368</v>
      </c>
      <c r="AE73" s="3" t="n">
        <f aca="false">IF(AND(K73&lt;=H_max,H73&lt;=300,OR(lane_policy="Free (optimize N_C)",B73=sku_pal),OR(env_use="No",AND(I73&lt;=L_bldg,J73&lt;=W_bldg),AND(I73&lt;=W_bldg,J73&lt;=L_bldg))),1,0)</f>
        <v>0</v>
      </c>
      <c r="AF73" s="48" t="n">
        <f aca="false">IF(obj_mode="Total cost",Z73,IF(obj_mode="Shuttle cycle",O73,T73))</f>
        <v>2249603.2</v>
      </c>
      <c r="AG73" s="3" t="n">
        <f aca="false">IF(AE73=1,AF73*(1+A73*0.0000000001),1E+099)</f>
        <v>1E+099</v>
      </c>
      <c r="AH73" s="3" t="str">
        <f aca="false">IF(AE73=1,"",IF(K73&gt;H_max,"height",IF(AND(lane_policy&lt;&gt;"Free (optimize N_C)",B73&lt;&gt;sku_pal),"lane policy","footprint")))</f>
        <v>footprint</v>
      </c>
    </row>
    <row r="74" customFormat="false" ht="15" hidden="false" customHeight="true" outlineLevel="0" collapsed="false">
      <c r="A74" s="3" t="n">
        <v>67</v>
      </c>
      <c r="B74" s="3" t="n">
        <f aca="false">$E$3</f>
        <v>5</v>
      </c>
      <c r="C74" s="3" t="n">
        <v>7</v>
      </c>
      <c r="D74" s="46" t="n">
        <f aca="false">INDEX(Tc_pl,C74)</f>
        <v>0.6</v>
      </c>
      <c r="E74" s="47" t="n">
        <f aca="false">INDEX(Tc_S,C74)</f>
        <v>44.9196428571429</v>
      </c>
      <c r="F74" s="34" t="n">
        <f aca="false">lam_total*D74*E74/3600</f>
        <v>0.748660714285714</v>
      </c>
      <c r="G74" s="3" t="n">
        <f aca="false">IF(F74&lt;=0.000000000001,0,MAX(ROUNDUP(F74/rho_max-0.000000001,0),IF(redund="Yes",ROUNDUP(F74/rho_fail-0.000000001,0)+1,0)))</f>
        <v>2</v>
      </c>
      <c r="H74" s="3" t="n">
        <f aca="false">MAX(1,ROUNDUP((P_req/(B74*C74)+G74*lpl)/2-0.000000001,0))</f>
        <v>71</v>
      </c>
      <c r="I74" s="47" t="n">
        <f aca="false">H74*u_w</f>
        <v>71</v>
      </c>
      <c r="J74" s="47" t="n">
        <f aca="false">2*B74*u_d+aisle_w</f>
        <v>14.3</v>
      </c>
      <c r="K74" s="47" t="n">
        <f aca="false">C74*u_h</f>
        <v>15.05</v>
      </c>
      <c r="L74" s="47" t="n">
        <f aca="false">IF(G74=0,I74,I74/(2*G74))</f>
        <v>17.75</v>
      </c>
      <c r="M74" s="34" t="n">
        <f aca="false">((IF((lane_off+(L74))&lt;=(v_sh^2/a_sh),(4/3)*(lane_off+(L74))^1.5/SQRT(a_sh),(4/3)*(v_sh^2/a_sh)^1.5/SQRT(a_sh)+((lane_off+(L74))^2-(v_sh^2/a_sh)^2)/(2*v_sh)+(v_sh/a_sh)*((lane_off+(L74))-(v_sh^2/a_sh))))-(IF((lane_off)&lt;=(v_sh^2/a_sh),(4/3)*(lane_off)^1.5/SQRT(a_sh),(4/3)*(v_sh^2/a_sh)^1.5/SQRT(a_sh)+((lane_off)^2-(v_sh^2/a_sh)^2)/(2*v_sh)+(v_sh/a_sh)*((lane_off)-(v_sh^2/a_sh)))))/(L74)</f>
        <v>10.0464104992418</v>
      </c>
      <c r="N74" s="34" t="n">
        <f aca="false">IF(((B74-1)*u_d/2*(1+f_hc)+lane_off)&lt;=0,0,IF(((B74-1)*u_d/2*(1+f_hc)+lane_off)&gt;=v_sh^2/a_sh,((B74-1)*u_d/2*(1+f_hc)+lane_off)/v_sh+v_sh/a_sh,2*SQRT(((B74-1)*u_d/2*(1+f_hc)+lane_off)/a_sh)))</f>
        <v>5.95714285714286</v>
      </c>
      <c r="O74" s="47" t="n">
        <f aca="false">2*t_sh+2*t_turn+2*M74+2*N74</f>
        <v>90.0071067127693</v>
      </c>
      <c r="P74" s="47" t="n">
        <f aca="false">SUMPRODUCT((Tc_idx&lt;=C74)*(ROUNDUP(lam_total*INDEX(Tc_P,C74,0)*O74/(3600*rho_max)-0.000000001,0)+(ROUNDUP(lam_total*INDEX(Tc_P,C74,0)*O74/(3600*rho_max)-0.000000001,0)&lt;min_sh)*(min_sh-ROUNDUP(lam_total*INDEX(Tc_P,C74,0)*O74/(3600*rho_max)-0.000000001,0))))</f>
        <v>9</v>
      </c>
      <c r="Q74" s="3" t="n">
        <f aca="false">ROUNDUP(P74-0.000000001,0)+spares</f>
        <v>11</v>
      </c>
      <c r="R74" s="45" t="n">
        <f aca="false">B74*C74*(2*H74-G74*lpl)</f>
        <v>4760</v>
      </c>
      <c r="S74" s="45" t="n">
        <f aca="false">R74*fill</f>
        <v>4046</v>
      </c>
      <c r="T74" s="45" t="n">
        <f aca="false">I74*J74</f>
        <v>1015.3</v>
      </c>
      <c r="U74" s="45" t="n">
        <f aca="false">T74*(K74+headroom)</f>
        <v>16803.215</v>
      </c>
      <c r="V74" s="45" t="n">
        <f aca="false">G74*c_lift</f>
        <v>300000</v>
      </c>
      <c r="W74" s="45" t="n">
        <f aca="false">Q74*c_shut</f>
        <v>550000</v>
      </c>
      <c r="X74" s="45" t="n">
        <f aca="false">R74*c_pos</f>
        <v>476000</v>
      </c>
      <c r="Y74" s="45" t="n">
        <f aca="false">T74*c_m2+U74*c_m3</f>
        <v>910216.45</v>
      </c>
      <c r="Z74" s="45" t="n">
        <f aca="false">SUM(V74:Y74)</f>
        <v>2236216.45</v>
      </c>
      <c r="AA74" s="34" t="n">
        <f aca="false">B74*u_d/(H74*u_w)</f>
        <v>0.0915492957746479</v>
      </c>
      <c r="AB74" s="46" t="n">
        <f aca="false">IF(G74=0,0,F74/G74)</f>
        <v>0.374330357142857</v>
      </c>
      <c r="AC74" s="46" t="n">
        <f aca="false">IF(G74&gt;1,F74/(G74-1),"n/a")</f>
        <v>0.748660714285714</v>
      </c>
      <c r="AD74" s="47" t="n">
        <f aca="false">moves_day*m_pallet*9.81*INDEX(Tc_mh,C74)/3600000</f>
        <v>12.6549</v>
      </c>
      <c r="AE74" s="3" t="n">
        <f aca="false">IF(AND(K74&lt;=H_max,H74&lt;=300,OR(lane_policy="Free (optimize N_C)",B74=sku_pal),OR(env_use="No",AND(I74&lt;=L_bldg,J74&lt;=W_bldg),AND(I74&lt;=W_bldg,J74&lt;=L_bldg))),1,0)</f>
        <v>0</v>
      </c>
      <c r="AF74" s="48" t="n">
        <f aca="false">IF(obj_mode="Total cost",Z74,IF(obj_mode="Shuttle cycle",O74,T74))</f>
        <v>2236216.45</v>
      </c>
      <c r="AG74" s="3" t="n">
        <f aca="false">IF(AE74=1,AF74*(1+A74*0.0000000001),1E+099)</f>
        <v>1E+099</v>
      </c>
      <c r="AH74" s="3" t="str">
        <f aca="false">IF(AE74=1,"",IF(K74&gt;H_max,"height",IF(AND(lane_policy&lt;&gt;"Free (optimize N_C)",B74&lt;&gt;sku_pal),"lane policy","footprint")))</f>
        <v>footprint</v>
      </c>
    </row>
    <row r="75" customFormat="false" ht="15" hidden="false" customHeight="true" outlineLevel="0" collapsed="false">
      <c r="A75" s="3" t="n">
        <v>68</v>
      </c>
      <c r="B75" s="3" t="n">
        <f aca="false">$E$3</f>
        <v>5</v>
      </c>
      <c r="C75" s="3" t="n">
        <v>8</v>
      </c>
      <c r="D75" s="46" t="n">
        <f aca="false">INDEX(Tc_pl,C75)</f>
        <v>0.6</v>
      </c>
      <c r="E75" s="47" t="n">
        <f aca="false">INDEX(Tc_S,C75)</f>
        <v>45.0988095238095</v>
      </c>
      <c r="F75" s="34" t="n">
        <f aca="false">lam_total*D75*E75/3600</f>
        <v>0.751646825396826</v>
      </c>
      <c r="G75" s="3" t="n">
        <f aca="false">IF(F75&lt;=0.000000000001,0,MAX(ROUNDUP(F75/rho_max-0.000000001,0),IF(redund="Yes",ROUNDUP(F75/rho_fail-0.000000001,0)+1,0)))</f>
        <v>2</v>
      </c>
      <c r="H75" s="3" t="n">
        <f aca="false">MAX(1,ROUNDUP((P_req/(B75*C75)+G75*lpl)/2-0.000000001,0))</f>
        <v>62</v>
      </c>
      <c r="I75" s="47" t="n">
        <f aca="false">H75*u_w</f>
        <v>62</v>
      </c>
      <c r="J75" s="47" t="n">
        <f aca="false">2*B75*u_d+aisle_w</f>
        <v>14.3</v>
      </c>
      <c r="K75" s="47" t="n">
        <f aca="false">C75*u_h</f>
        <v>17.2</v>
      </c>
      <c r="L75" s="47" t="n">
        <f aca="false">IF(G75=0,I75,I75/(2*G75))</f>
        <v>15.5</v>
      </c>
      <c r="M75" s="34" t="n">
        <f aca="false">((IF((lane_off+(L75))&lt;=(v_sh^2/a_sh),(4/3)*(lane_off+(L75))^1.5/SQRT(a_sh),(4/3)*(v_sh^2/a_sh)^1.5/SQRT(a_sh)+((lane_off+(L75))^2-(v_sh^2/a_sh)^2)/(2*v_sh)+(v_sh/a_sh)*((lane_off+(L75))-(v_sh^2/a_sh))))-(IF((lane_off)&lt;=(v_sh^2/a_sh),(4/3)*(lane_off)^1.5/SQRT(a_sh),(4/3)*(v_sh^2/a_sh)^1.5/SQRT(a_sh)+((lane_off)^2-(v_sh^2/a_sh)^2)/(2*v_sh)+(v_sh/a_sh)*((lane_off)-(v_sh^2/a_sh)))))/(L75)</f>
        <v>9.2397258482101</v>
      </c>
      <c r="N75" s="34" t="n">
        <f aca="false">IF(((B75-1)*u_d/2*(1+f_hc)+lane_off)&lt;=0,0,IF(((B75-1)*u_d/2*(1+f_hc)+lane_off)&gt;=v_sh^2/a_sh,((B75-1)*u_d/2*(1+f_hc)+lane_off)/v_sh+v_sh/a_sh,2*SQRT(((B75-1)*u_d/2*(1+f_hc)+lane_off)/a_sh)))</f>
        <v>5.95714285714286</v>
      </c>
      <c r="O75" s="47" t="n">
        <f aca="false">2*t_sh+2*t_turn+2*M75+2*N75</f>
        <v>88.3937374107059</v>
      </c>
      <c r="P75" s="47" t="n">
        <f aca="false">SUMPRODUCT((Tc_idx&lt;=C75)*(ROUNDUP(lam_total*INDEX(Tc_P,C75,0)*O75/(3600*rho_max)-0.000000001,0)+(ROUNDUP(lam_total*INDEX(Tc_P,C75,0)*O75/(3600*rho_max)-0.000000001,0)&lt;min_sh)*(min_sh-ROUNDUP(lam_total*INDEX(Tc_P,C75,0)*O75/(3600*rho_max)-0.000000001,0))))</f>
        <v>10</v>
      </c>
      <c r="Q75" s="3" t="n">
        <f aca="false">ROUNDUP(P75-0.000000001,0)+spares</f>
        <v>12</v>
      </c>
      <c r="R75" s="45" t="n">
        <f aca="false">B75*C75*(2*H75-G75*lpl)</f>
        <v>4720</v>
      </c>
      <c r="S75" s="45" t="n">
        <f aca="false">R75*fill</f>
        <v>4012</v>
      </c>
      <c r="T75" s="45" t="n">
        <f aca="false">I75*J75</f>
        <v>886.6</v>
      </c>
      <c r="U75" s="45" t="n">
        <f aca="false">T75*(K75+headroom)</f>
        <v>16579.42</v>
      </c>
      <c r="V75" s="45" t="n">
        <f aca="false">G75*c_lift</f>
        <v>300000</v>
      </c>
      <c r="W75" s="45" t="n">
        <f aca="false">Q75*c_shut</f>
        <v>600000</v>
      </c>
      <c r="X75" s="45" t="n">
        <f aca="false">R75*c_pos</f>
        <v>472000</v>
      </c>
      <c r="Y75" s="45" t="n">
        <f aca="false">T75*c_m2+U75*c_m3</f>
        <v>852022.6</v>
      </c>
      <c r="Z75" s="45" t="n">
        <f aca="false">SUM(V75:Y75)</f>
        <v>2224022.6</v>
      </c>
      <c r="AA75" s="34" t="n">
        <f aca="false">B75*u_d/(H75*u_w)</f>
        <v>0.104838709677419</v>
      </c>
      <c r="AB75" s="46" t="n">
        <f aca="false">IF(G75=0,0,F75/G75)</f>
        <v>0.375823412698413</v>
      </c>
      <c r="AC75" s="46" t="n">
        <f aca="false">IF(G75&gt;1,F75/(G75-1),"n/a")</f>
        <v>0.751646825396826</v>
      </c>
      <c r="AD75" s="47" t="n">
        <f aca="false">moves_day*m_pallet*9.81*INDEX(Tc_mh,C75)/3600000</f>
        <v>12.93612</v>
      </c>
      <c r="AE75" s="3" t="n">
        <f aca="false">IF(AND(K75&lt;=H_max,H75&lt;=300,OR(lane_policy="Free (optimize N_C)",B75=sku_pal),OR(env_use="No",AND(I75&lt;=L_bldg,J75&lt;=W_bldg),AND(I75&lt;=W_bldg,J75&lt;=L_bldg))),1,0)</f>
        <v>0</v>
      </c>
      <c r="AF75" s="48" t="n">
        <f aca="false">IF(obj_mode="Total cost",Z75,IF(obj_mode="Shuttle cycle",O75,T75))</f>
        <v>2224022.6</v>
      </c>
      <c r="AG75" s="3" t="n">
        <f aca="false">IF(AE75=1,AF75*(1+A75*0.0000000001),1E+099)</f>
        <v>1E+099</v>
      </c>
      <c r="AH75" s="3" t="str">
        <f aca="false">IF(AE75=1,"",IF(K75&gt;H_max,"height",IF(AND(lane_policy&lt;&gt;"Free (optimize N_C)",B75&lt;&gt;sku_pal),"lane policy","footprint")))</f>
        <v>footprint</v>
      </c>
    </row>
    <row r="76" customFormat="false" ht="15" hidden="false" customHeight="true" outlineLevel="0" collapsed="false">
      <c r="A76" s="3" t="n">
        <v>69</v>
      </c>
      <c r="B76" s="3" t="n">
        <f aca="false">$E$3</f>
        <v>5</v>
      </c>
      <c r="C76" s="3" t="n">
        <v>9</v>
      </c>
      <c r="D76" s="46" t="n">
        <f aca="false">INDEX(Tc_pl,C76)</f>
        <v>0.6</v>
      </c>
      <c r="E76" s="47" t="n">
        <f aca="false">INDEX(Tc_S,C76)</f>
        <v>45.2779761904762</v>
      </c>
      <c r="F76" s="34" t="n">
        <f aca="false">lam_total*D76*E76/3600</f>
        <v>0.754632936507936</v>
      </c>
      <c r="G76" s="3" t="n">
        <f aca="false">IF(F76&lt;=0.000000000001,0,MAX(ROUNDUP(F76/rho_max-0.000000001,0),IF(redund="Yes",ROUNDUP(F76/rho_fail-0.000000001,0)+1,0)))</f>
        <v>2</v>
      </c>
      <c r="H76" s="3" t="n">
        <f aca="false">MAX(1,ROUNDUP((P_req/(B76*C76)+G76*lpl)/2-0.000000001,0))</f>
        <v>56</v>
      </c>
      <c r="I76" s="47" t="n">
        <f aca="false">H76*u_w</f>
        <v>56</v>
      </c>
      <c r="J76" s="47" t="n">
        <f aca="false">2*B76*u_d+aisle_w</f>
        <v>14.3</v>
      </c>
      <c r="K76" s="47" t="n">
        <f aca="false">C76*u_h</f>
        <v>19.35</v>
      </c>
      <c r="L76" s="47" t="n">
        <f aca="false">IF(G76=0,I76,I76/(2*G76))</f>
        <v>14</v>
      </c>
      <c r="M76" s="34" t="n">
        <f aca="false">((IF((lane_off+(L76))&lt;=(v_sh^2/a_sh),(4/3)*(lane_off+(L76))^1.5/SQRT(a_sh),(4/3)*(v_sh^2/a_sh)^1.5/SQRT(a_sh)+((lane_off+(L76))^2-(v_sh^2/a_sh)^2)/(2*v_sh)+(v_sh/a_sh)*((lane_off+(L76))-(v_sh^2/a_sh))))-(IF((lane_off)&lt;=(v_sh^2/a_sh),(4/3)*(lane_off)^1.5/SQRT(a_sh),(4/3)*(v_sh^2/a_sh)^1.5/SQRT(a_sh)+((lane_off)^2-(v_sh^2/a_sh)^2)/(2*v_sh)+(v_sh/a_sh)*((lane_off)-(v_sh^2/a_sh)))))/(L76)</f>
        <v>8.70138014827342</v>
      </c>
      <c r="N76" s="34" t="n">
        <f aca="false">IF(((B76-1)*u_d/2*(1+f_hc)+lane_off)&lt;=0,0,IF(((B76-1)*u_d/2*(1+f_hc)+lane_off)&gt;=v_sh^2/a_sh,((B76-1)*u_d/2*(1+f_hc)+lane_off)/v_sh+v_sh/a_sh,2*SQRT(((B76-1)*u_d/2*(1+f_hc)+lane_off)/a_sh)))</f>
        <v>5.95714285714286</v>
      </c>
      <c r="O76" s="47" t="n">
        <f aca="false">2*t_sh+2*t_turn+2*M76+2*N76</f>
        <v>87.3170460108326</v>
      </c>
      <c r="P76" s="47" t="n">
        <f aca="false">SUMPRODUCT((Tc_idx&lt;=C76)*(ROUNDUP(lam_total*INDEX(Tc_P,C76,0)*O76/(3600*rho_max)-0.000000001,0)+(ROUNDUP(lam_total*INDEX(Tc_P,C76,0)*O76/(3600*rho_max)-0.000000001,0)&lt;min_sh)*(min_sh-ROUNDUP(lam_total*INDEX(Tc_P,C76,0)*O76/(3600*rho_max)-0.000000001,0))))</f>
        <v>11</v>
      </c>
      <c r="Q76" s="3" t="n">
        <f aca="false">ROUNDUP(P76-0.000000001,0)+spares</f>
        <v>13</v>
      </c>
      <c r="R76" s="45" t="n">
        <f aca="false">B76*C76*(2*H76-G76*lpl)</f>
        <v>4770</v>
      </c>
      <c r="S76" s="45" t="n">
        <f aca="false">R76*fill</f>
        <v>4054.5</v>
      </c>
      <c r="T76" s="45" t="n">
        <f aca="false">I76*J76</f>
        <v>800.8</v>
      </c>
      <c r="U76" s="45" t="n">
        <f aca="false">T76*(K76+headroom)</f>
        <v>16696.68</v>
      </c>
      <c r="V76" s="45" t="n">
        <f aca="false">G76*c_lift</f>
        <v>300000</v>
      </c>
      <c r="W76" s="45" t="n">
        <f aca="false">Q76*c_shut</f>
        <v>650000</v>
      </c>
      <c r="X76" s="45" t="n">
        <f aca="false">R76*c_pos</f>
        <v>477000</v>
      </c>
      <c r="Y76" s="45" t="n">
        <f aca="false">T76*c_m2+U76*c_m3</f>
        <v>821220.4</v>
      </c>
      <c r="Z76" s="45" t="n">
        <f aca="false">SUM(V76:Y76)</f>
        <v>2248220.4</v>
      </c>
      <c r="AA76" s="34" t="n">
        <f aca="false">B76*u_d/(H76*u_w)</f>
        <v>0.116071428571429</v>
      </c>
      <c r="AB76" s="46" t="n">
        <f aca="false">IF(G76=0,0,F76/G76)</f>
        <v>0.377316468253968</v>
      </c>
      <c r="AC76" s="46" t="n">
        <f aca="false">IF(G76&gt;1,F76/(G76-1),"n/a")</f>
        <v>0.754632936507936</v>
      </c>
      <c r="AD76" s="47" t="n">
        <f aca="false">moves_day*m_pallet*9.81*INDEX(Tc_mh,C76)/3600000</f>
        <v>13.21734</v>
      </c>
      <c r="AE76" s="3" t="n">
        <f aca="false">IF(AND(K76&lt;=H_max,H76&lt;=300,OR(lane_policy="Free (optimize N_C)",B76=sku_pal),OR(env_use="No",AND(I76&lt;=L_bldg,J76&lt;=W_bldg),AND(I76&lt;=W_bldg,J76&lt;=L_bldg))),1,0)</f>
        <v>0</v>
      </c>
      <c r="AF76" s="48" t="n">
        <f aca="false">IF(obj_mode="Total cost",Z76,IF(obj_mode="Shuttle cycle",O76,T76))</f>
        <v>2248220.4</v>
      </c>
      <c r="AG76" s="3" t="n">
        <f aca="false">IF(AE76=1,AF76*(1+A76*0.0000000001),1E+099)</f>
        <v>1E+099</v>
      </c>
      <c r="AH76" s="3" t="str">
        <f aca="false">IF(AE76=1,"",IF(K76&gt;H_max,"height",IF(AND(lane_policy&lt;&gt;"Free (optimize N_C)",B76&lt;&gt;sku_pal),"lane policy","footprint")))</f>
        <v>footprint</v>
      </c>
    </row>
    <row r="77" customFormat="false" ht="15" hidden="false" customHeight="true" outlineLevel="0" collapsed="false">
      <c r="A77" s="3" t="n">
        <v>70</v>
      </c>
      <c r="B77" s="3" t="n">
        <f aca="false">$E$3</f>
        <v>5</v>
      </c>
      <c r="C77" s="3" t="n">
        <v>10</v>
      </c>
      <c r="D77" s="46" t="n">
        <f aca="false">INDEX(Tc_pl,C77)</f>
        <v>0.6</v>
      </c>
      <c r="E77" s="47" t="n">
        <f aca="false">INDEX(Tc_S,C77)</f>
        <v>45.4571428571429</v>
      </c>
      <c r="F77" s="34" t="n">
        <f aca="false">lam_total*D77*E77/3600</f>
        <v>0.757619047619048</v>
      </c>
      <c r="G77" s="3" t="n">
        <f aca="false">IF(F77&lt;=0.000000000001,0,MAX(ROUNDUP(F77/rho_max-0.000000001,0),IF(redund="Yes",ROUNDUP(F77/rho_fail-0.000000001,0)+1,0)))</f>
        <v>2</v>
      </c>
      <c r="H77" s="3" t="n">
        <f aca="false">MAX(1,ROUNDUP((P_req/(B77*C77)+G77*lpl)/2-0.000000001,0))</f>
        <v>51</v>
      </c>
      <c r="I77" s="47" t="n">
        <f aca="false">H77*u_w</f>
        <v>51</v>
      </c>
      <c r="J77" s="47" t="n">
        <f aca="false">2*B77*u_d+aisle_w</f>
        <v>14.3</v>
      </c>
      <c r="K77" s="47" t="n">
        <f aca="false">C77*u_h</f>
        <v>21.5</v>
      </c>
      <c r="L77" s="47" t="n">
        <f aca="false">IF(G77=0,I77,I77/(2*G77))</f>
        <v>12.75</v>
      </c>
      <c r="M77" s="34" t="n">
        <f aca="false">((IF((lane_off+(L77))&lt;=(v_sh^2/a_sh),(4/3)*(lane_off+(L77))^1.5/SQRT(a_sh),(4/3)*(v_sh^2/a_sh)^1.5/SQRT(a_sh)+((lane_off+(L77))^2-(v_sh^2/a_sh)^2)/(2*v_sh)+(v_sh/a_sh)*((lane_off+(L77))-(v_sh^2/a_sh))))-(IF((lane_off)&lt;=(v_sh^2/a_sh),(4/3)*(lane_off)^1.5/SQRT(a_sh),(4/3)*(v_sh^2/a_sh)^1.5/SQRT(a_sh)+((lane_off)^2-(v_sh^2/a_sh)^2)/(2*v_sh)+(v_sh/a_sh)*((lane_off)-(v_sh^2/a_sh)))))/(L77)</f>
        <v>8.25228576505093</v>
      </c>
      <c r="N77" s="34" t="n">
        <f aca="false">IF(((B77-1)*u_d/2*(1+f_hc)+lane_off)&lt;=0,0,IF(((B77-1)*u_d/2*(1+f_hc)+lane_off)&gt;=v_sh^2/a_sh,((B77-1)*u_d/2*(1+f_hc)+lane_off)/v_sh+v_sh/a_sh,2*SQRT(((B77-1)*u_d/2*(1+f_hc)+lane_off)/a_sh)))</f>
        <v>5.95714285714286</v>
      </c>
      <c r="O77" s="47" t="n">
        <f aca="false">2*t_sh+2*t_turn+2*M77+2*N77</f>
        <v>86.4188572443876</v>
      </c>
      <c r="P77" s="47" t="n">
        <f aca="false">SUMPRODUCT((Tc_idx&lt;=C77)*(ROUNDUP(lam_total*INDEX(Tc_P,C77,0)*O77/(3600*rho_max)-0.000000001,0)+(ROUNDUP(lam_total*INDEX(Tc_P,C77,0)*O77/(3600*rho_max)-0.000000001,0)&lt;min_sh)*(min_sh-ROUNDUP(lam_total*INDEX(Tc_P,C77,0)*O77/(3600*rho_max)-0.000000001,0))))</f>
        <v>12</v>
      </c>
      <c r="Q77" s="3" t="n">
        <f aca="false">ROUNDUP(P77-0.000000001,0)+spares</f>
        <v>14</v>
      </c>
      <c r="R77" s="45" t="n">
        <f aca="false">B77*C77*(2*H77-G77*lpl)</f>
        <v>4800</v>
      </c>
      <c r="S77" s="45" t="n">
        <f aca="false">R77*fill</f>
        <v>4080</v>
      </c>
      <c r="T77" s="45" t="n">
        <f aca="false">I77*J77</f>
        <v>729.3</v>
      </c>
      <c r="U77" s="45" t="n">
        <f aca="false">T77*(K77+headroom)</f>
        <v>16773.9</v>
      </c>
      <c r="V77" s="45" t="n">
        <f aca="false">G77*c_lift</f>
        <v>300000</v>
      </c>
      <c r="W77" s="45" t="n">
        <f aca="false">Q77*c_shut</f>
        <v>700000</v>
      </c>
      <c r="X77" s="45" t="n">
        <f aca="false">R77*c_pos</f>
        <v>480000</v>
      </c>
      <c r="Y77" s="45" t="n">
        <f aca="false">T77*c_m2+U77*c_m3</f>
        <v>794937</v>
      </c>
      <c r="Z77" s="45" t="n">
        <f aca="false">SUM(V77:Y77)</f>
        <v>2274937</v>
      </c>
      <c r="AA77" s="34" t="n">
        <f aca="false">B77*u_d/(H77*u_w)</f>
        <v>0.127450980392157</v>
      </c>
      <c r="AB77" s="46" t="n">
        <f aca="false">IF(G77=0,0,F77/G77)</f>
        <v>0.378809523809524</v>
      </c>
      <c r="AC77" s="46" t="n">
        <f aca="false">IF(G77&gt;1,F77/(G77-1),"n/a")</f>
        <v>0.757619047619048</v>
      </c>
      <c r="AD77" s="47" t="n">
        <f aca="false">moves_day*m_pallet*9.81*INDEX(Tc_mh,C77)/3600000</f>
        <v>13.49856</v>
      </c>
      <c r="AE77" s="3" t="n">
        <f aca="false">IF(AND(K77&lt;=H_max,H77&lt;=300,OR(lane_policy="Free (optimize N_C)",B77=sku_pal),OR(env_use="No",AND(I77&lt;=L_bldg,J77&lt;=W_bldg),AND(I77&lt;=W_bldg,J77&lt;=L_bldg))),1,0)</f>
        <v>0</v>
      </c>
      <c r="AF77" s="48" t="n">
        <f aca="false">IF(obj_mode="Total cost",Z77,IF(obj_mode="Shuttle cycle",O77,T77))</f>
        <v>2274937</v>
      </c>
      <c r="AG77" s="3" t="n">
        <f aca="false">IF(AE77=1,AF77*(1+A77*0.0000000001),1E+099)</f>
        <v>1E+099</v>
      </c>
      <c r="AH77" s="3" t="str">
        <f aca="false">IF(AE77=1,"",IF(K77&gt;H_max,"height",IF(AND(lane_policy&lt;&gt;"Free (optimize N_C)",B77&lt;&gt;sku_pal),"lane policy","footprint")))</f>
        <v>height</v>
      </c>
    </row>
    <row r="78" customFormat="false" ht="15" hidden="false" customHeight="true" outlineLevel="0" collapsed="false">
      <c r="A78" s="3" t="n">
        <v>71</v>
      </c>
      <c r="B78" s="3" t="n">
        <f aca="false">$E$3</f>
        <v>5</v>
      </c>
      <c r="C78" s="3" t="n">
        <v>11</v>
      </c>
      <c r="D78" s="46" t="n">
        <f aca="false">INDEX(Tc_pl,C78)</f>
        <v>0.6</v>
      </c>
      <c r="E78" s="47" t="n">
        <f aca="false">INDEX(Tc_S,C78)</f>
        <v>45.6363095238095</v>
      </c>
      <c r="F78" s="34" t="n">
        <f aca="false">lam_total*D78*E78/3600</f>
        <v>0.760605158730159</v>
      </c>
      <c r="G78" s="3" t="n">
        <f aca="false">IF(F78&lt;=0.000000000001,0,MAX(ROUNDUP(F78/rho_max-0.000000001,0),IF(redund="Yes",ROUNDUP(F78/rho_fail-0.000000001,0)+1,0)))</f>
        <v>2</v>
      </c>
      <c r="H78" s="3" t="n">
        <f aca="false">MAX(1,ROUNDUP((P_req/(B78*C78)+G78*lpl)/2-0.000000001,0))</f>
        <v>46</v>
      </c>
      <c r="I78" s="47" t="n">
        <f aca="false">H78*u_w</f>
        <v>46</v>
      </c>
      <c r="J78" s="47" t="n">
        <f aca="false">2*B78*u_d+aisle_w</f>
        <v>14.3</v>
      </c>
      <c r="K78" s="47" t="n">
        <f aca="false">C78*u_h</f>
        <v>23.65</v>
      </c>
      <c r="L78" s="47" t="n">
        <f aca="false">IF(G78=0,I78,I78/(2*G78))</f>
        <v>11.5</v>
      </c>
      <c r="M78" s="34" t="n">
        <f aca="false">((IF((lane_off+(L78))&lt;=(v_sh^2/a_sh),(4/3)*(lane_off+(L78))^1.5/SQRT(a_sh),(4/3)*(v_sh^2/a_sh)^1.5/SQRT(a_sh)+((lane_off+(L78))^2-(v_sh^2/a_sh)^2)/(2*v_sh)+(v_sh/a_sh)*((lane_off+(L78))-(v_sh^2/a_sh))))-(IF((lane_off)&lt;=(v_sh^2/a_sh),(4/3)*(lane_off)^1.5/SQRT(a_sh),(4/3)*(v_sh^2/a_sh)^1.5/SQRT(a_sh)+((lane_off)^2-(v_sh^2/a_sh)^2)/(2*v_sh)+(v_sh/a_sh)*((lane_off)-(v_sh^2/a_sh)))))/(L78)</f>
        <v>7.80261185752541</v>
      </c>
      <c r="N78" s="34" t="n">
        <f aca="false">IF(((B78-1)*u_d/2*(1+f_hc)+lane_off)&lt;=0,0,IF(((B78-1)*u_d/2*(1+f_hc)+lane_off)&gt;=v_sh^2/a_sh,((B78-1)*u_d/2*(1+f_hc)+lane_off)/v_sh+v_sh/a_sh,2*SQRT(((B78-1)*u_d/2*(1+f_hc)+lane_off)/a_sh)))</f>
        <v>5.95714285714286</v>
      </c>
      <c r="O78" s="47" t="n">
        <f aca="false">2*t_sh+2*t_turn+2*M78+2*N78</f>
        <v>85.5195094293365</v>
      </c>
      <c r="P78" s="47" t="n">
        <f aca="false">SUMPRODUCT((Tc_idx&lt;=C78)*(ROUNDUP(lam_total*INDEX(Tc_P,C78,0)*O78/(3600*rho_max)-0.000000001,0)+(ROUNDUP(lam_total*INDEX(Tc_P,C78,0)*O78/(3600*rho_max)-0.000000001,0)&lt;min_sh)*(min_sh-ROUNDUP(lam_total*INDEX(Tc_P,C78,0)*O78/(3600*rho_max)-0.000000001,0))))</f>
        <v>13</v>
      </c>
      <c r="Q78" s="3" t="n">
        <f aca="false">ROUNDUP(P78-0.000000001,0)+spares</f>
        <v>15</v>
      </c>
      <c r="R78" s="45" t="n">
        <f aca="false">B78*C78*(2*H78-G78*lpl)</f>
        <v>4730</v>
      </c>
      <c r="S78" s="45" t="n">
        <f aca="false">R78*fill</f>
        <v>4020.5</v>
      </c>
      <c r="T78" s="45" t="n">
        <f aca="false">I78*J78</f>
        <v>657.8</v>
      </c>
      <c r="U78" s="45" t="n">
        <f aca="false">T78*(K78+headroom)</f>
        <v>16543.67</v>
      </c>
      <c r="V78" s="45" t="n">
        <f aca="false">G78*c_lift</f>
        <v>300000</v>
      </c>
      <c r="W78" s="45" t="n">
        <f aca="false">Q78*c_shut</f>
        <v>750000</v>
      </c>
      <c r="X78" s="45" t="n">
        <f aca="false">R78*c_pos</f>
        <v>473000</v>
      </c>
      <c r="Y78" s="45" t="n">
        <f aca="false">T78*c_m2+U78*c_m3</f>
        <v>759430.1</v>
      </c>
      <c r="Z78" s="45" t="n">
        <f aca="false">SUM(V78:Y78)</f>
        <v>2282430.1</v>
      </c>
      <c r="AA78" s="34" t="n">
        <f aca="false">B78*u_d/(H78*u_w)</f>
        <v>0.141304347826087</v>
      </c>
      <c r="AB78" s="46" t="n">
        <f aca="false">IF(G78=0,0,F78/G78)</f>
        <v>0.380302579365079</v>
      </c>
      <c r="AC78" s="46" t="n">
        <f aca="false">IF(G78&gt;1,F78/(G78-1),"n/a")</f>
        <v>0.760605158730159</v>
      </c>
      <c r="AD78" s="47" t="n">
        <f aca="false">moves_day*m_pallet*9.81*INDEX(Tc_mh,C78)/3600000</f>
        <v>13.77978</v>
      </c>
      <c r="AE78" s="3" t="n">
        <f aca="false">IF(AND(K78&lt;=H_max,H78&lt;=300,OR(lane_policy="Free (optimize N_C)",B78=sku_pal),OR(env_use="No",AND(I78&lt;=L_bldg,J78&lt;=W_bldg),AND(I78&lt;=W_bldg,J78&lt;=L_bldg))),1,0)</f>
        <v>0</v>
      </c>
      <c r="AF78" s="48" t="n">
        <f aca="false">IF(obj_mode="Total cost",Z78,IF(obj_mode="Shuttle cycle",O78,T78))</f>
        <v>2282430.1</v>
      </c>
      <c r="AG78" s="3" t="n">
        <f aca="false">IF(AE78=1,AF78*(1+A78*0.0000000001),1E+099)</f>
        <v>1E+099</v>
      </c>
      <c r="AH78" s="3" t="str">
        <f aca="false">IF(AE78=1,"",IF(K78&gt;H_max,"height",IF(AND(lane_policy&lt;&gt;"Free (optimize N_C)",B78&lt;&gt;sku_pal),"lane policy","footprint")))</f>
        <v>height</v>
      </c>
    </row>
    <row r="79" customFormat="false" ht="15" hidden="false" customHeight="true" outlineLevel="0" collapsed="false">
      <c r="A79" s="3" t="n">
        <v>72</v>
      </c>
      <c r="B79" s="3" t="n">
        <f aca="false">$E$3</f>
        <v>5</v>
      </c>
      <c r="C79" s="3" t="n">
        <v>12</v>
      </c>
      <c r="D79" s="46" t="n">
        <f aca="false">INDEX(Tc_pl,C79)</f>
        <v>0.6</v>
      </c>
      <c r="E79" s="47" t="n">
        <f aca="false">INDEX(Tc_S,C79)</f>
        <v>45.8154761904762</v>
      </c>
      <c r="F79" s="34" t="n">
        <f aca="false">lam_total*D79*E79/3600</f>
        <v>0.76359126984127</v>
      </c>
      <c r="G79" s="3" t="n">
        <f aca="false">IF(F79&lt;=0.000000000001,0,MAX(ROUNDUP(F79/rho_max-0.000000001,0),IF(redund="Yes",ROUNDUP(F79/rho_fail-0.000000001,0)+1,0)))</f>
        <v>2</v>
      </c>
      <c r="H79" s="3" t="n">
        <f aca="false">MAX(1,ROUNDUP((P_req/(B79*C79)+G79*lpl)/2-0.000000001,0))</f>
        <v>43</v>
      </c>
      <c r="I79" s="47" t="n">
        <f aca="false">H79*u_w</f>
        <v>43</v>
      </c>
      <c r="J79" s="47" t="n">
        <f aca="false">2*B79*u_d+aisle_w</f>
        <v>14.3</v>
      </c>
      <c r="K79" s="47" t="n">
        <f aca="false">C79*u_h</f>
        <v>25.8</v>
      </c>
      <c r="L79" s="47" t="n">
        <f aca="false">IF(G79=0,I79,I79/(2*G79))</f>
        <v>10.75</v>
      </c>
      <c r="M79" s="34" t="n">
        <f aca="false">((IF((lane_off+(L79))&lt;=(v_sh^2/a_sh),(4/3)*(lane_off+(L79))^1.5/SQRT(a_sh),(4/3)*(v_sh^2/a_sh)^1.5/SQRT(a_sh)+((lane_off+(L79))^2-(v_sh^2/a_sh)^2)/(2*v_sh)+(v_sh/a_sh)*((lane_off+(L79))-(v_sh^2/a_sh))))-(IF((lane_off)&lt;=(v_sh^2/a_sh),(4/3)*(lane_off)^1.5/SQRT(a_sh),(4/3)*(v_sh^2/a_sh)^1.5/SQRT(a_sh)+((lane_off)^2-(v_sh^2/a_sh)^2)/(2*v_sh)+(v_sh/a_sh)*((lane_off)-(v_sh^2/a_sh)))))/(L79)</f>
        <v>7.53244524293416</v>
      </c>
      <c r="N79" s="34" t="n">
        <f aca="false">IF(((B79-1)*u_d/2*(1+f_hc)+lane_off)&lt;=0,0,IF(((B79-1)*u_d/2*(1+f_hc)+lane_off)&gt;=v_sh^2/a_sh,((B79-1)*u_d/2*(1+f_hc)+lane_off)/v_sh+v_sh/a_sh,2*SQRT(((B79-1)*u_d/2*(1+f_hc)+lane_off)/a_sh)))</f>
        <v>5.95714285714286</v>
      </c>
      <c r="O79" s="47" t="n">
        <f aca="false">2*t_sh+2*t_turn+2*M79+2*N79</f>
        <v>84.979176200154</v>
      </c>
      <c r="P79" s="47" t="n">
        <f aca="false">SUMPRODUCT((Tc_idx&lt;=C79)*(ROUNDUP(lam_total*INDEX(Tc_P,C79,0)*O79/(3600*rho_max)-0.000000001,0)+(ROUNDUP(lam_total*INDEX(Tc_P,C79,0)*O79/(3600*rho_max)-0.000000001,0)&lt;min_sh)*(min_sh-ROUNDUP(lam_total*INDEX(Tc_P,C79,0)*O79/(3600*rho_max)-0.000000001,0))))</f>
        <v>14</v>
      </c>
      <c r="Q79" s="3" t="n">
        <f aca="false">ROUNDUP(P79-0.000000001,0)+spares</f>
        <v>16</v>
      </c>
      <c r="R79" s="45" t="n">
        <f aca="false">B79*C79*(2*H79-G79*lpl)</f>
        <v>4800</v>
      </c>
      <c r="S79" s="45" t="n">
        <f aca="false">R79*fill</f>
        <v>4080</v>
      </c>
      <c r="T79" s="45" t="n">
        <f aca="false">I79*J79</f>
        <v>614.9</v>
      </c>
      <c r="U79" s="45" t="n">
        <f aca="false">T79*(K79+headroom)</f>
        <v>16786.77</v>
      </c>
      <c r="V79" s="45" t="n">
        <f aca="false">G79*c_lift</f>
        <v>300000</v>
      </c>
      <c r="W79" s="45" t="n">
        <f aca="false">Q79*c_shut</f>
        <v>800000</v>
      </c>
      <c r="X79" s="45" t="n">
        <f aca="false">R79*c_pos</f>
        <v>480000</v>
      </c>
      <c r="Y79" s="45" t="n">
        <f aca="false">T79*c_m2+U79*c_m3</f>
        <v>749563.1</v>
      </c>
      <c r="Z79" s="45" t="n">
        <f aca="false">SUM(V79:Y79)</f>
        <v>2329563.1</v>
      </c>
      <c r="AA79" s="34" t="n">
        <f aca="false">B79*u_d/(H79*u_w)</f>
        <v>0.151162790697674</v>
      </c>
      <c r="AB79" s="46" t="n">
        <f aca="false">IF(G79=0,0,F79/G79)</f>
        <v>0.381795634920635</v>
      </c>
      <c r="AC79" s="46" t="n">
        <f aca="false">IF(G79&gt;1,F79/(G79-1),"n/a")</f>
        <v>0.76359126984127</v>
      </c>
      <c r="AD79" s="47" t="n">
        <f aca="false">moves_day*m_pallet*9.81*INDEX(Tc_mh,C79)/3600000</f>
        <v>14.061</v>
      </c>
      <c r="AE79" s="3" t="n">
        <f aca="false">IF(AND(K79&lt;=H_max,H79&lt;=300,OR(lane_policy="Free (optimize N_C)",B79=sku_pal),OR(env_use="No",AND(I79&lt;=L_bldg,J79&lt;=W_bldg),AND(I79&lt;=W_bldg,J79&lt;=L_bldg))),1,0)</f>
        <v>0</v>
      </c>
      <c r="AF79" s="48" t="n">
        <f aca="false">IF(obj_mode="Total cost",Z79,IF(obj_mode="Shuttle cycle",O79,T79))</f>
        <v>2329563.1</v>
      </c>
      <c r="AG79" s="3" t="n">
        <f aca="false">IF(AE79=1,AF79*(1+A79*0.0000000001),1E+099)</f>
        <v>1E+099</v>
      </c>
      <c r="AH79" s="3" t="str">
        <f aca="false">IF(AE79=1,"",IF(K79&gt;H_max,"height",IF(AND(lane_policy&lt;&gt;"Free (optimize N_C)",B79&lt;&gt;sku_pal),"lane policy","footprint")))</f>
        <v>height</v>
      </c>
    </row>
    <row r="80" customFormat="false" ht="15" hidden="false" customHeight="true" outlineLevel="0" collapsed="false">
      <c r="A80" s="3" t="n">
        <v>73</v>
      </c>
      <c r="B80" s="3" t="n">
        <f aca="false">$E$3</f>
        <v>5</v>
      </c>
      <c r="C80" s="3" t="n">
        <v>13</v>
      </c>
      <c r="D80" s="46" t="n">
        <f aca="false">INDEX(Tc_pl,C80)</f>
        <v>0.6</v>
      </c>
      <c r="E80" s="47" t="n">
        <f aca="false">INDEX(Tc_S,C80)</f>
        <v>45.9946428571429</v>
      </c>
      <c r="F80" s="34" t="n">
        <f aca="false">lam_total*D80*E80/3600</f>
        <v>0.766577380952381</v>
      </c>
      <c r="G80" s="3" t="n">
        <f aca="false">IF(F80&lt;=0.000000000001,0,MAX(ROUNDUP(F80/rho_max-0.000000001,0),IF(redund="Yes",ROUNDUP(F80/rho_fail-0.000000001,0)+1,0)))</f>
        <v>2</v>
      </c>
      <c r="H80" s="3" t="n">
        <f aca="false">MAX(1,ROUNDUP((P_req/(B80*C80)+G80*lpl)/2-0.000000001,0))</f>
        <v>40</v>
      </c>
      <c r="I80" s="47" t="n">
        <f aca="false">H80*u_w</f>
        <v>40</v>
      </c>
      <c r="J80" s="47" t="n">
        <f aca="false">2*B80*u_d+aisle_w</f>
        <v>14.3</v>
      </c>
      <c r="K80" s="47" t="n">
        <f aca="false">C80*u_h</f>
        <v>27.95</v>
      </c>
      <c r="L80" s="47" t="n">
        <f aca="false">IF(G80=0,I80,I80/(2*G80))</f>
        <v>10</v>
      </c>
      <c r="M80" s="34" t="n">
        <f aca="false">((IF((lane_off+(L80))&lt;=(v_sh^2/a_sh),(4/3)*(lane_off+(L80))^1.5/SQRT(a_sh),(4/3)*(v_sh^2/a_sh)^1.5/SQRT(a_sh)+((lane_off+(L80))^2-(v_sh^2/a_sh)^2)/(2*v_sh)+(v_sh/a_sh)*((lane_off+(L80))-(v_sh^2/a_sh))))-(IF((lane_off)&lt;=(v_sh^2/a_sh),(4/3)*(lane_off)^1.5/SQRT(a_sh),(4/3)*(v_sh^2/a_sh)^1.5/SQRT(a_sh)+((lane_off)^2-(v_sh^2/a_sh)^2)/(2*v_sh)+(v_sh/a_sh)*((lane_off)-(v_sh^2/a_sh)))))/(L80)</f>
        <v>7.26193220758279</v>
      </c>
      <c r="N80" s="34" t="n">
        <f aca="false">IF(((B80-1)*u_d/2*(1+f_hc)+lane_off)&lt;=0,0,IF(((B80-1)*u_d/2*(1+f_hc)+lane_off)&gt;=v_sh^2/a_sh,((B80-1)*u_d/2*(1+f_hc)+lane_off)/v_sh+v_sh/a_sh,2*SQRT(((B80-1)*u_d/2*(1+f_hc)+lane_off)/a_sh)))</f>
        <v>5.95714285714286</v>
      </c>
      <c r="O80" s="47" t="n">
        <f aca="false">2*t_sh+2*t_turn+2*M80+2*N80</f>
        <v>84.4381501294513</v>
      </c>
      <c r="P80" s="47" t="n">
        <f aca="false">SUMPRODUCT((Tc_idx&lt;=C80)*(ROUNDUP(lam_total*INDEX(Tc_P,C80,0)*O80/(3600*rho_max)-0.000000001,0)+(ROUNDUP(lam_total*INDEX(Tc_P,C80,0)*O80/(3600*rho_max)-0.000000001,0)&lt;min_sh)*(min_sh-ROUNDUP(lam_total*INDEX(Tc_P,C80,0)*O80/(3600*rho_max)-0.000000001,0))))</f>
        <v>15</v>
      </c>
      <c r="Q80" s="3" t="n">
        <f aca="false">ROUNDUP(P80-0.000000001,0)+spares</f>
        <v>17</v>
      </c>
      <c r="R80" s="45" t="n">
        <f aca="false">B80*C80*(2*H80-G80*lpl)</f>
        <v>4810</v>
      </c>
      <c r="S80" s="45" t="n">
        <f aca="false">R80*fill</f>
        <v>4088.5</v>
      </c>
      <c r="T80" s="45" t="n">
        <f aca="false">I80*J80</f>
        <v>572</v>
      </c>
      <c r="U80" s="45" t="n">
        <f aca="false">T80*(K80+headroom)</f>
        <v>16845.4</v>
      </c>
      <c r="V80" s="45" t="n">
        <f aca="false">G80*c_lift</f>
        <v>300000</v>
      </c>
      <c r="W80" s="45" t="n">
        <f aca="false">Q80*c_shut</f>
        <v>850000</v>
      </c>
      <c r="X80" s="45" t="n">
        <f aca="false">R80*c_pos</f>
        <v>481000</v>
      </c>
      <c r="Y80" s="45" t="n">
        <f aca="false">T80*c_m2+U80*c_m3</f>
        <v>734162</v>
      </c>
      <c r="Z80" s="45" t="n">
        <f aca="false">SUM(V80:Y80)</f>
        <v>2365162</v>
      </c>
      <c r="AA80" s="34" t="n">
        <f aca="false">B80*u_d/(H80*u_w)</f>
        <v>0.1625</v>
      </c>
      <c r="AB80" s="46" t="n">
        <f aca="false">IF(G80=0,0,F80/G80)</f>
        <v>0.383288690476191</v>
      </c>
      <c r="AC80" s="46" t="n">
        <f aca="false">IF(G80&gt;1,F80/(G80-1),"n/a")</f>
        <v>0.766577380952381</v>
      </c>
      <c r="AD80" s="47" t="n">
        <f aca="false">moves_day*m_pallet*9.81*INDEX(Tc_mh,C80)/3600000</f>
        <v>14.34222</v>
      </c>
      <c r="AE80" s="3" t="n">
        <f aca="false">IF(AND(K80&lt;=H_max,H80&lt;=300,OR(lane_policy="Free (optimize N_C)",B80=sku_pal),OR(env_use="No",AND(I80&lt;=L_bldg,J80&lt;=W_bldg),AND(I80&lt;=W_bldg,J80&lt;=L_bldg))),1,0)</f>
        <v>0</v>
      </c>
      <c r="AF80" s="48" t="n">
        <f aca="false">IF(obj_mode="Total cost",Z80,IF(obj_mode="Shuttle cycle",O80,T80))</f>
        <v>2365162</v>
      </c>
      <c r="AG80" s="3" t="n">
        <f aca="false">IF(AE80=1,AF80*(1+A80*0.0000000001),1E+099)</f>
        <v>1E+099</v>
      </c>
      <c r="AH80" s="3" t="str">
        <f aca="false">IF(AE80=1,"",IF(K80&gt;H_max,"height",IF(AND(lane_policy&lt;&gt;"Free (optimize N_C)",B80&lt;&gt;sku_pal),"lane policy","footprint")))</f>
        <v>height</v>
      </c>
    </row>
    <row r="81" customFormat="false" ht="15" hidden="false" customHeight="true" outlineLevel="0" collapsed="false">
      <c r="A81" s="3" t="n">
        <v>74</v>
      </c>
      <c r="B81" s="3" t="n">
        <f aca="false">$E$3</f>
        <v>5</v>
      </c>
      <c r="C81" s="3" t="n">
        <v>14</v>
      </c>
      <c r="D81" s="46" t="n">
        <f aca="false">INDEX(Tc_pl,C81)</f>
        <v>0.6</v>
      </c>
      <c r="E81" s="47" t="n">
        <f aca="false">INDEX(Tc_S,C81)</f>
        <v>46.1738095238095</v>
      </c>
      <c r="F81" s="34" t="n">
        <f aca="false">lam_total*D81*E81/3600</f>
        <v>0.769563492063492</v>
      </c>
      <c r="G81" s="3" t="n">
        <f aca="false">IF(F81&lt;=0.000000000001,0,MAX(ROUNDUP(F81/rho_max-0.000000001,0),IF(redund="Yes",ROUNDUP(F81/rho_fail-0.000000001,0)+1,0)))</f>
        <v>2</v>
      </c>
      <c r="H81" s="3" t="n">
        <f aca="false">MAX(1,ROUNDUP((P_req/(B81*C81)+G81*lpl)/2-0.000000001,0))</f>
        <v>37</v>
      </c>
      <c r="I81" s="47" t="n">
        <f aca="false">H81*u_w</f>
        <v>37</v>
      </c>
      <c r="J81" s="47" t="n">
        <f aca="false">2*B81*u_d+aisle_w</f>
        <v>14.3</v>
      </c>
      <c r="K81" s="47" t="n">
        <f aca="false">C81*u_h</f>
        <v>30.1</v>
      </c>
      <c r="L81" s="47" t="n">
        <f aca="false">IF(G81=0,I81,I81/(2*G81))</f>
        <v>9.25</v>
      </c>
      <c r="M81" s="34" t="n">
        <f aca="false">((IF((lane_off+(L81))&lt;=(v_sh^2/a_sh),(4/3)*(lane_off+(L81))^1.5/SQRT(a_sh),(4/3)*(v_sh^2/a_sh)^1.5/SQRT(a_sh)+((lane_off+(L81))^2-(v_sh^2/a_sh)^2)/(2*v_sh)+(v_sh/a_sh)*((lane_off+(L81))-(v_sh^2/a_sh))))-(IF((lane_off)&lt;=(v_sh^2/a_sh),(4/3)*(lane_off)^1.5/SQRT(a_sh),(4/3)*(v_sh^2/a_sh)^1.5/SQRT(a_sh)+((lane_off)^2-(v_sh^2/a_sh)^2)/(2*v_sh)+(v_sh/a_sh)*((lane_off)-(v_sh^2/a_sh)))))/(L81)</f>
        <v>6.99098848696209</v>
      </c>
      <c r="N81" s="34" t="n">
        <f aca="false">IF(((B81-1)*u_d/2*(1+f_hc)+lane_off)&lt;=0,0,IF(((B81-1)*u_d/2*(1+f_hc)+lane_off)&gt;=v_sh^2/a_sh,((B81-1)*u_d/2*(1+f_hc)+lane_off)/v_sh+v_sh/a_sh,2*SQRT(((B81-1)*u_d/2*(1+f_hc)+lane_off)/a_sh)))</f>
        <v>5.95714285714286</v>
      </c>
      <c r="O81" s="47" t="n">
        <f aca="false">2*t_sh+2*t_turn+2*M81+2*N81</f>
        <v>83.8962626882099</v>
      </c>
      <c r="P81" s="47" t="n">
        <f aca="false">SUMPRODUCT((Tc_idx&lt;=C81)*(ROUNDUP(lam_total*INDEX(Tc_P,C81,0)*O81/(3600*rho_max)-0.000000001,0)+(ROUNDUP(lam_total*INDEX(Tc_P,C81,0)*O81/(3600*rho_max)-0.000000001,0)&lt;min_sh)*(min_sh-ROUNDUP(lam_total*INDEX(Tc_P,C81,0)*O81/(3600*rho_max)-0.000000001,0))))</f>
        <v>16</v>
      </c>
      <c r="Q81" s="3" t="n">
        <f aca="false">ROUNDUP(P81-0.000000001,0)+spares</f>
        <v>18</v>
      </c>
      <c r="R81" s="45" t="n">
        <f aca="false">B81*C81*(2*H81-G81*lpl)</f>
        <v>4760</v>
      </c>
      <c r="S81" s="45" t="n">
        <f aca="false">R81*fill</f>
        <v>4046</v>
      </c>
      <c r="T81" s="45" t="n">
        <f aca="false">I81*J81</f>
        <v>529.1</v>
      </c>
      <c r="U81" s="45" t="n">
        <f aca="false">T81*(K81+headroom)</f>
        <v>16719.56</v>
      </c>
      <c r="V81" s="45" t="n">
        <f aca="false">G81*c_lift</f>
        <v>300000</v>
      </c>
      <c r="W81" s="45" t="n">
        <f aca="false">Q81*c_shut</f>
        <v>900000</v>
      </c>
      <c r="X81" s="45" t="n">
        <f aca="false">R81*c_pos</f>
        <v>476000</v>
      </c>
      <c r="Y81" s="45" t="n">
        <f aca="false">T81*c_m2+U81*c_m3</f>
        <v>713226.8</v>
      </c>
      <c r="Z81" s="45" t="n">
        <f aca="false">SUM(V81:Y81)</f>
        <v>2389226.8</v>
      </c>
      <c r="AA81" s="34" t="n">
        <f aca="false">B81*u_d/(H81*u_w)</f>
        <v>0.175675675675676</v>
      </c>
      <c r="AB81" s="46" t="n">
        <f aca="false">IF(G81=0,0,F81/G81)</f>
        <v>0.384781746031746</v>
      </c>
      <c r="AC81" s="46" t="n">
        <f aca="false">IF(G81&gt;1,F81/(G81-1),"n/a")</f>
        <v>0.769563492063492</v>
      </c>
      <c r="AD81" s="47" t="n">
        <f aca="false">moves_day*m_pallet*9.81*INDEX(Tc_mh,C81)/3600000</f>
        <v>14.62344</v>
      </c>
      <c r="AE81" s="3" t="n">
        <f aca="false">IF(AND(K81&lt;=H_max,H81&lt;=300,OR(lane_policy="Free (optimize N_C)",B81=sku_pal),OR(env_use="No",AND(I81&lt;=L_bldg,J81&lt;=W_bldg),AND(I81&lt;=W_bldg,J81&lt;=L_bldg))),1,0)</f>
        <v>0</v>
      </c>
      <c r="AF81" s="48" t="n">
        <f aca="false">IF(obj_mode="Total cost",Z81,IF(obj_mode="Shuttle cycle",O81,T81))</f>
        <v>2389226.8</v>
      </c>
      <c r="AG81" s="3" t="n">
        <f aca="false">IF(AE81=1,AF81*(1+A81*0.0000000001),1E+099)</f>
        <v>1E+099</v>
      </c>
      <c r="AH81" s="3" t="str">
        <f aca="false">IF(AE81=1,"",IF(K81&gt;H_max,"height",IF(AND(lane_policy&lt;&gt;"Free (optimize N_C)",B81&lt;&gt;sku_pal),"lane policy","footprint")))</f>
        <v>height</v>
      </c>
    </row>
    <row r="82" customFormat="false" ht="15" hidden="false" customHeight="true" outlineLevel="0" collapsed="false">
      <c r="A82" s="3" t="n">
        <v>75</v>
      </c>
      <c r="B82" s="3" t="n">
        <f aca="false">$E$3</f>
        <v>5</v>
      </c>
      <c r="C82" s="3" t="n">
        <v>15</v>
      </c>
      <c r="D82" s="46" t="n">
        <f aca="false">INDEX(Tc_pl,C82)</f>
        <v>0.6</v>
      </c>
      <c r="E82" s="47" t="n">
        <f aca="false">INDEX(Tc_S,C82)</f>
        <v>46.3529761904762</v>
      </c>
      <c r="F82" s="34" t="n">
        <f aca="false">lam_total*D82*E82/3600</f>
        <v>0.772549603174603</v>
      </c>
      <c r="G82" s="3" t="n">
        <f aca="false">IF(F82&lt;=0.000000000001,0,MAX(ROUNDUP(F82/rho_max-0.000000001,0),IF(redund="Yes",ROUNDUP(F82/rho_fail-0.000000001,0)+1,0)))</f>
        <v>2</v>
      </c>
      <c r="H82" s="3" t="n">
        <f aca="false">MAX(1,ROUNDUP((P_req/(B82*C82)+G82*lpl)/2-0.000000001,0))</f>
        <v>35</v>
      </c>
      <c r="I82" s="47" t="n">
        <f aca="false">H82*u_w</f>
        <v>35</v>
      </c>
      <c r="J82" s="47" t="n">
        <f aca="false">2*B82*u_d+aisle_w</f>
        <v>14.3</v>
      </c>
      <c r="K82" s="47" t="n">
        <f aca="false">C82*u_h</f>
        <v>32.25</v>
      </c>
      <c r="L82" s="47" t="n">
        <f aca="false">IF(G82=0,I82,I82/(2*G82))</f>
        <v>8.75</v>
      </c>
      <c r="M82" s="34" t="n">
        <f aca="false">((IF((lane_off+(L82))&lt;=(v_sh^2/a_sh),(4/3)*(lane_off+(L82))^1.5/SQRT(a_sh),(4/3)*(v_sh^2/a_sh)^1.5/SQRT(a_sh)+((lane_off+(L82))^2-(v_sh^2/a_sh)^2)/(2*v_sh)+(v_sh/a_sh)*((lane_off+(L82))-(v_sh^2/a_sh))))-(IF((lane_off)&lt;=(v_sh^2/a_sh),(4/3)*(lane_off)^1.5/SQRT(a_sh),(4/3)*(v_sh^2/a_sh)^1.5/SQRT(a_sh)+((lane_off)^2-(v_sh^2/a_sh)^2)/(2*v_sh)+(v_sh/a_sh)*((lane_off)-(v_sh^2/a_sh)))))/(L82)</f>
        <v>6.81006538009462</v>
      </c>
      <c r="N82" s="34" t="n">
        <f aca="false">IF(((B82-1)*u_d/2*(1+f_hc)+lane_off)&lt;=0,0,IF(((B82-1)*u_d/2*(1+f_hc)+lane_off)&gt;=v_sh^2/a_sh,((B82-1)*u_d/2*(1+f_hc)+lane_off)/v_sh+v_sh/a_sh,2*SQRT(((B82-1)*u_d/2*(1+f_hc)+lane_off)/a_sh)))</f>
        <v>5.95714285714286</v>
      </c>
      <c r="O82" s="47" t="n">
        <f aca="false">2*t_sh+2*t_turn+2*M82+2*N82</f>
        <v>83.534416474475</v>
      </c>
      <c r="P82" s="47" t="n">
        <f aca="false">SUMPRODUCT((Tc_idx&lt;=C82)*(ROUNDUP(lam_total*INDEX(Tc_P,C82,0)*O82/(3600*rho_max)-0.000000001,0)+(ROUNDUP(lam_total*INDEX(Tc_P,C82,0)*O82/(3600*rho_max)-0.000000001,0)&lt;min_sh)*(min_sh-ROUNDUP(lam_total*INDEX(Tc_P,C82,0)*O82/(3600*rho_max)-0.000000001,0))))</f>
        <v>17</v>
      </c>
      <c r="Q82" s="3" t="n">
        <f aca="false">ROUNDUP(P82-0.000000001,0)+spares</f>
        <v>19</v>
      </c>
      <c r="R82" s="45" t="n">
        <f aca="false">B82*C82*(2*H82-G82*lpl)</f>
        <v>4800</v>
      </c>
      <c r="S82" s="45" t="n">
        <f aca="false">R82*fill</f>
        <v>4080</v>
      </c>
      <c r="T82" s="45" t="n">
        <f aca="false">I82*J82</f>
        <v>500.5</v>
      </c>
      <c r="U82" s="45" t="n">
        <f aca="false">T82*(K82+headroom)</f>
        <v>16891.875</v>
      </c>
      <c r="V82" s="45" t="n">
        <f aca="false">G82*c_lift</f>
        <v>300000</v>
      </c>
      <c r="W82" s="45" t="n">
        <f aca="false">Q82*c_shut</f>
        <v>950000</v>
      </c>
      <c r="X82" s="45" t="n">
        <f aca="false">R82*c_pos</f>
        <v>480000</v>
      </c>
      <c r="Y82" s="45" t="n">
        <f aca="false">T82*c_m2+U82*c_m3</f>
        <v>706956.25</v>
      </c>
      <c r="Z82" s="45" t="n">
        <f aca="false">SUM(V82:Y82)</f>
        <v>2436956.25</v>
      </c>
      <c r="AA82" s="34" t="n">
        <f aca="false">B82*u_d/(H82*u_w)</f>
        <v>0.185714285714286</v>
      </c>
      <c r="AB82" s="46" t="n">
        <f aca="false">IF(G82=0,0,F82/G82)</f>
        <v>0.386274801587302</v>
      </c>
      <c r="AC82" s="46" t="n">
        <f aca="false">IF(G82&gt;1,F82/(G82-1),"n/a")</f>
        <v>0.772549603174603</v>
      </c>
      <c r="AD82" s="47" t="n">
        <f aca="false">moves_day*m_pallet*9.81*INDEX(Tc_mh,C82)/3600000</f>
        <v>14.90466</v>
      </c>
      <c r="AE82" s="3" t="n">
        <f aca="false">IF(AND(K82&lt;=H_max,H82&lt;=300,OR(lane_policy="Free (optimize N_C)",B82=sku_pal),OR(env_use="No",AND(I82&lt;=L_bldg,J82&lt;=W_bldg),AND(I82&lt;=W_bldg,J82&lt;=L_bldg))),1,0)</f>
        <v>0</v>
      </c>
      <c r="AF82" s="48" t="n">
        <f aca="false">IF(obj_mode="Total cost",Z82,IF(obj_mode="Shuttle cycle",O82,T82))</f>
        <v>2436956.25</v>
      </c>
      <c r="AG82" s="3" t="n">
        <f aca="false">IF(AE82=1,AF82*(1+A82*0.0000000001),1E+099)</f>
        <v>1E+099</v>
      </c>
      <c r="AH82" s="3" t="str">
        <f aca="false">IF(AE82=1,"",IF(K82&gt;H_max,"height",IF(AND(lane_policy&lt;&gt;"Free (optimize N_C)",B82&lt;&gt;sku_pal),"lane policy","footprint")))</f>
        <v>height</v>
      </c>
    </row>
    <row r="83" customFormat="false" ht="15" hidden="false" customHeight="true" outlineLevel="0" collapsed="false">
      <c r="A83" s="3" t="n">
        <v>76</v>
      </c>
      <c r="B83" s="3" t="n">
        <f aca="false">$E$3</f>
        <v>5</v>
      </c>
      <c r="C83" s="3" t="n">
        <v>16</v>
      </c>
      <c r="D83" s="46" t="n">
        <f aca="false">INDEX(Tc_pl,C83)</f>
        <v>0.6</v>
      </c>
      <c r="E83" s="47" t="n">
        <f aca="false">INDEX(Tc_S,C83)</f>
        <v>46.5321428571429</v>
      </c>
      <c r="F83" s="34" t="n">
        <f aca="false">lam_total*D83*E83/3600</f>
        <v>0.775535714285714</v>
      </c>
      <c r="G83" s="3" t="n">
        <f aca="false">IF(F83&lt;=0.000000000001,0,MAX(ROUNDUP(F83/rho_max-0.000000001,0),IF(redund="Yes",ROUNDUP(F83/rho_fail-0.000000001,0)+1,0)))</f>
        <v>2</v>
      </c>
      <c r="H83" s="3" t="n">
        <f aca="false">MAX(1,ROUNDUP((P_req/(B83*C83)+G83*lpl)/2-0.000000001,0))</f>
        <v>33</v>
      </c>
      <c r="I83" s="47" t="n">
        <f aca="false">H83*u_w</f>
        <v>33</v>
      </c>
      <c r="J83" s="47" t="n">
        <f aca="false">2*B83*u_d+aisle_w</f>
        <v>14.3</v>
      </c>
      <c r="K83" s="47" t="n">
        <f aca="false">C83*u_h</f>
        <v>34.4</v>
      </c>
      <c r="L83" s="47" t="n">
        <f aca="false">IF(G83=0,I83,I83/(2*G83))</f>
        <v>8.25</v>
      </c>
      <c r="M83" s="34" t="n">
        <f aca="false">((IF((lane_off+(L83))&lt;=(v_sh^2/a_sh),(4/3)*(lane_off+(L83))^1.5/SQRT(a_sh),(4/3)*(v_sh^2/a_sh)^1.5/SQRT(a_sh)+((lane_off+(L83))^2-(v_sh^2/a_sh)^2)/(2*v_sh)+(v_sh/a_sh)*((lane_off+(L83))-(v_sh^2/a_sh))))-(IF((lane_off)&lt;=(v_sh^2/a_sh),(4/3)*(lane_off)^1.5/SQRT(a_sh),(4/3)*(v_sh^2/a_sh)^1.5/SQRT(a_sh)+((lane_off)^2-(v_sh^2/a_sh)^2)/(2*v_sh)+(v_sh/a_sh)*((lane_off)-(v_sh^2/a_sh)))))/(L83)</f>
        <v>6.62885722131248</v>
      </c>
      <c r="N83" s="34" t="n">
        <f aca="false">IF(((B83-1)*u_d/2*(1+f_hc)+lane_off)&lt;=0,0,IF(((B83-1)*u_d/2*(1+f_hc)+lane_off)&gt;=v_sh^2/a_sh,((B83-1)*u_d/2*(1+f_hc)+lane_off)/v_sh+v_sh/a_sh,2*SQRT(((B83-1)*u_d/2*(1+f_hc)+lane_off)/a_sh)))</f>
        <v>5.95714285714286</v>
      </c>
      <c r="O83" s="47" t="n">
        <f aca="false">2*t_sh+2*t_turn+2*M83+2*N83</f>
        <v>83.1720001569107</v>
      </c>
      <c r="P83" s="47" t="n">
        <f aca="false">SUMPRODUCT((Tc_idx&lt;=C83)*(ROUNDUP(lam_total*INDEX(Tc_P,C83,0)*O83/(3600*rho_max)-0.000000001,0)+(ROUNDUP(lam_total*INDEX(Tc_P,C83,0)*O83/(3600*rho_max)-0.000000001,0)&lt;min_sh)*(min_sh-ROUNDUP(lam_total*INDEX(Tc_P,C83,0)*O83/(3600*rho_max)-0.000000001,0))))</f>
        <v>18</v>
      </c>
      <c r="Q83" s="3" t="n">
        <f aca="false">ROUNDUP(P83-0.000000001,0)+spares</f>
        <v>20</v>
      </c>
      <c r="R83" s="45" t="n">
        <f aca="false">B83*C83*(2*H83-G83*lpl)</f>
        <v>4800</v>
      </c>
      <c r="S83" s="45" t="n">
        <f aca="false">R83*fill</f>
        <v>4080</v>
      </c>
      <c r="T83" s="45" t="n">
        <f aca="false">I83*J83</f>
        <v>471.9</v>
      </c>
      <c r="U83" s="45" t="n">
        <f aca="false">T83*(K83+headroom)</f>
        <v>16941.21</v>
      </c>
      <c r="V83" s="45" t="n">
        <f aca="false">G83*c_lift</f>
        <v>300000</v>
      </c>
      <c r="W83" s="45" t="n">
        <f aca="false">Q83*c_shut</f>
        <v>1000000</v>
      </c>
      <c r="X83" s="45" t="n">
        <f aca="false">R83*c_pos</f>
        <v>480000</v>
      </c>
      <c r="Y83" s="45" t="n">
        <f aca="false">T83*c_m2+U83*c_m3</f>
        <v>696996.3</v>
      </c>
      <c r="Z83" s="45" t="n">
        <f aca="false">SUM(V83:Y83)</f>
        <v>2476996.3</v>
      </c>
      <c r="AA83" s="34" t="n">
        <f aca="false">B83*u_d/(H83*u_w)</f>
        <v>0.196969696969697</v>
      </c>
      <c r="AB83" s="46" t="n">
        <f aca="false">IF(G83=0,0,F83/G83)</f>
        <v>0.387767857142857</v>
      </c>
      <c r="AC83" s="46" t="n">
        <f aca="false">IF(G83&gt;1,F83/(G83-1),"n/a")</f>
        <v>0.775535714285714</v>
      </c>
      <c r="AD83" s="47" t="n">
        <f aca="false">moves_day*m_pallet*9.81*INDEX(Tc_mh,C83)/3600000</f>
        <v>15.18588</v>
      </c>
      <c r="AE83" s="3" t="n">
        <f aca="false">IF(AND(K83&lt;=H_max,H83&lt;=300,OR(lane_policy="Free (optimize N_C)",B83=sku_pal),OR(env_use="No",AND(I83&lt;=L_bldg,J83&lt;=W_bldg),AND(I83&lt;=W_bldg,J83&lt;=L_bldg))),1,0)</f>
        <v>0</v>
      </c>
      <c r="AF83" s="48" t="n">
        <f aca="false">IF(obj_mode="Total cost",Z83,IF(obj_mode="Shuttle cycle",O83,T83))</f>
        <v>2476996.3</v>
      </c>
      <c r="AG83" s="3" t="n">
        <f aca="false">IF(AE83=1,AF83*(1+A83*0.0000000001),1E+099)</f>
        <v>1E+099</v>
      </c>
      <c r="AH83" s="3" t="str">
        <f aca="false">IF(AE83=1,"",IF(K83&gt;H_max,"height",IF(AND(lane_policy&lt;&gt;"Free (optimize N_C)",B83&lt;&gt;sku_pal),"lane policy","footprint")))</f>
        <v>height</v>
      </c>
    </row>
    <row r="84" customFormat="false" ht="15" hidden="false" customHeight="true" outlineLevel="0" collapsed="false">
      <c r="A84" s="3" t="n">
        <v>77</v>
      </c>
      <c r="B84" s="3" t="n">
        <f aca="false">$E$3</f>
        <v>5</v>
      </c>
      <c r="C84" s="3" t="n">
        <v>17</v>
      </c>
      <c r="D84" s="46" t="n">
        <f aca="false">INDEX(Tc_pl,C84)</f>
        <v>0.6</v>
      </c>
      <c r="E84" s="47" t="n">
        <f aca="false">INDEX(Tc_S,C84)</f>
        <v>46.7113095238095</v>
      </c>
      <c r="F84" s="34" t="n">
        <f aca="false">lam_total*D84*E84/3600</f>
        <v>0.778521825396825</v>
      </c>
      <c r="G84" s="3" t="n">
        <f aca="false">IF(F84&lt;=0.000000000001,0,MAX(ROUNDUP(F84/rho_max-0.000000001,0),IF(redund="Yes",ROUNDUP(F84/rho_fail-0.000000001,0)+1,0)))</f>
        <v>2</v>
      </c>
      <c r="H84" s="3" t="n">
        <f aca="false">MAX(1,ROUNDUP((P_req/(B84*C84)+G84*lpl)/2-0.000000001,0))</f>
        <v>31</v>
      </c>
      <c r="I84" s="47" t="n">
        <f aca="false">H84*u_w</f>
        <v>31</v>
      </c>
      <c r="J84" s="47" t="n">
        <f aca="false">2*B84*u_d+aisle_w</f>
        <v>14.3</v>
      </c>
      <c r="K84" s="47" t="n">
        <f aca="false">C84*u_h</f>
        <v>36.55</v>
      </c>
      <c r="L84" s="47" t="n">
        <f aca="false">IF(G84=0,I84,I84/(2*G84))</f>
        <v>7.75</v>
      </c>
      <c r="M84" s="34" t="n">
        <f aca="false">((IF((lane_off+(L84))&lt;=(v_sh^2/a_sh),(4/3)*(lane_off+(L84))^1.5/SQRT(a_sh),(4/3)*(v_sh^2/a_sh)^1.5/SQRT(a_sh)+((lane_off+(L84))^2-(v_sh^2/a_sh)^2)/(2*v_sh)+(v_sh/a_sh)*((lane_off+(L84))-(v_sh^2/a_sh))))-(IF((lane_off)&lt;=(v_sh^2/a_sh),(4/3)*(lane_off)^1.5/SQRT(a_sh),(4/3)*(v_sh^2/a_sh)^1.5/SQRT(a_sh)+((lane_off)^2-(v_sh^2/a_sh)^2)/(2*v_sh)+(v_sh/a_sh)*((lane_off)-(v_sh^2/a_sh)))))/(L84)</f>
        <v>6.44730883927734</v>
      </c>
      <c r="N84" s="34" t="n">
        <f aca="false">IF(((B84-1)*u_d/2*(1+f_hc)+lane_off)&lt;=0,0,IF(((B84-1)*u_d/2*(1+f_hc)+lane_off)&gt;=v_sh^2/a_sh,((B84-1)*u_d/2*(1+f_hc)+lane_off)/v_sh+v_sh/a_sh,2*SQRT(((B84-1)*u_d/2*(1+f_hc)+lane_off)/a_sh)))</f>
        <v>5.95714285714286</v>
      </c>
      <c r="O84" s="47" t="n">
        <f aca="false">2*t_sh+2*t_turn+2*M84+2*N84</f>
        <v>82.8089033928404</v>
      </c>
      <c r="P84" s="47" t="n">
        <f aca="false">SUMPRODUCT((Tc_idx&lt;=C84)*(ROUNDUP(lam_total*INDEX(Tc_P,C84,0)*O84/(3600*rho_max)-0.000000001,0)+(ROUNDUP(lam_total*INDEX(Tc_P,C84,0)*O84/(3600*rho_max)-0.000000001,0)&lt;min_sh)*(min_sh-ROUNDUP(lam_total*INDEX(Tc_P,C84,0)*O84/(3600*rho_max)-0.000000001,0))))</f>
        <v>19</v>
      </c>
      <c r="Q84" s="3" t="n">
        <f aca="false">ROUNDUP(P84-0.000000001,0)+spares</f>
        <v>21</v>
      </c>
      <c r="R84" s="45" t="n">
        <f aca="false">B84*C84*(2*H84-G84*lpl)</f>
        <v>4760</v>
      </c>
      <c r="S84" s="45" t="n">
        <f aca="false">R84*fill</f>
        <v>4046</v>
      </c>
      <c r="T84" s="45" t="n">
        <f aca="false">I84*J84</f>
        <v>443.3</v>
      </c>
      <c r="U84" s="45" t="n">
        <f aca="false">T84*(K84+headroom)</f>
        <v>16867.565</v>
      </c>
      <c r="V84" s="45" t="n">
        <f aca="false">G84*c_lift</f>
        <v>300000</v>
      </c>
      <c r="W84" s="45" t="n">
        <f aca="false">Q84*c_shut</f>
        <v>1050000</v>
      </c>
      <c r="X84" s="45" t="n">
        <f aca="false">R84*c_pos</f>
        <v>476000</v>
      </c>
      <c r="Y84" s="45" t="n">
        <f aca="false">T84*c_m2+U84*c_m3</f>
        <v>683346.95</v>
      </c>
      <c r="Z84" s="45" t="n">
        <f aca="false">SUM(V84:Y84)</f>
        <v>2509346.95</v>
      </c>
      <c r="AA84" s="34" t="n">
        <f aca="false">B84*u_d/(H84*u_w)</f>
        <v>0.209677419354839</v>
      </c>
      <c r="AB84" s="46" t="n">
        <f aca="false">IF(G84=0,0,F84/G84)</f>
        <v>0.389260912698413</v>
      </c>
      <c r="AC84" s="46" t="n">
        <f aca="false">IF(G84&gt;1,F84/(G84-1),"n/a")</f>
        <v>0.778521825396825</v>
      </c>
      <c r="AD84" s="47" t="n">
        <f aca="false">moves_day*m_pallet*9.81*INDEX(Tc_mh,C84)/3600000</f>
        <v>15.4671</v>
      </c>
      <c r="AE84" s="3" t="n">
        <f aca="false">IF(AND(K84&lt;=H_max,H84&lt;=300,OR(lane_policy="Free (optimize N_C)",B84=sku_pal),OR(env_use="No",AND(I84&lt;=L_bldg,J84&lt;=W_bldg),AND(I84&lt;=W_bldg,J84&lt;=L_bldg))),1,0)</f>
        <v>0</v>
      </c>
      <c r="AF84" s="48" t="n">
        <f aca="false">IF(obj_mode="Total cost",Z84,IF(obj_mode="Shuttle cycle",O84,T84))</f>
        <v>2509346.95</v>
      </c>
      <c r="AG84" s="3" t="n">
        <f aca="false">IF(AE84=1,AF84*(1+A84*0.0000000001),1E+099)</f>
        <v>1E+099</v>
      </c>
      <c r="AH84" s="3" t="str">
        <f aca="false">IF(AE84=1,"",IF(K84&gt;H_max,"height",IF(AND(lane_policy&lt;&gt;"Free (optimize N_C)",B84&lt;&gt;sku_pal),"lane policy","footprint")))</f>
        <v>height</v>
      </c>
    </row>
    <row r="85" customFormat="false" ht="15" hidden="false" customHeight="true" outlineLevel="0" collapsed="false">
      <c r="A85" s="3" t="n">
        <v>78</v>
      </c>
      <c r="B85" s="3" t="n">
        <f aca="false">$E$3</f>
        <v>5</v>
      </c>
      <c r="C85" s="3" t="n">
        <v>18</v>
      </c>
      <c r="D85" s="46" t="n">
        <f aca="false">INDEX(Tc_pl,C85)</f>
        <v>0.6</v>
      </c>
      <c r="E85" s="47" t="n">
        <f aca="false">INDEX(Tc_S,C85)</f>
        <v>46.8904761904762</v>
      </c>
      <c r="F85" s="34" t="n">
        <f aca="false">lam_total*D85*E85/3600</f>
        <v>0.781507936507937</v>
      </c>
      <c r="G85" s="3" t="n">
        <f aca="false">IF(F85&lt;=0.000000000001,0,MAX(ROUNDUP(F85/rho_max-0.000000001,0),IF(redund="Yes",ROUNDUP(F85/rho_fail-0.000000001,0)+1,0)))</f>
        <v>2</v>
      </c>
      <c r="H85" s="3" t="n">
        <f aca="false">MAX(1,ROUNDUP((P_req/(B85*C85)+G85*lpl)/2-0.000000001,0))</f>
        <v>30</v>
      </c>
      <c r="I85" s="47" t="n">
        <f aca="false">H85*u_w</f>
        <v>30</v>
      </c>
      <c r="J85" s="47" t="n">
        <f aca="false">2*B85*u_d+aisle_w</f>
        <v>14.3</v>
      </c>
      <c r="K85" s="47" t="n">
        <f aca="false">C85*u_h</f>
        <v>38.7</v>
      </c>
      <c r="L85" s="47" t="n">
        <f aca="false">IF(G85=0,I85,I85/(2*G85))</f>
        <v>7.5</v>
      </c>
      <c r="M85" s="34" t="n">
        <f aca="false">((IF((lane_off+(L85))&lt;=(v_sh^2/a_sh),(4/3)*(lane_off+(L85))^1.5/SQRT(a_sh),(4/3)*(v_sh^2/a_sh)^1.5/SQRT(a_sh)+((lane_off+(L85))^2-(v_sh^2/a_sh)^2)/(2*v_sh)+(v_sh/a_sh)*((lane_off+(L85))-(v_sh^2/a_sh))))-(IF((lane_off)&lt;=(v_sh^2/a_sh),(4/3)*(lane_off)^1.5/SQRT(a_sh),(4/3)*(v_sh^2/a_sh)^1.5/SQRT(a_sh)+((lane_off)^2-(v_sh^2/a_sh)^2)/(2*v_sh)+(v_sh/a_sh)*((lane_off)-(v_sh^2/a_sh)))))/(L85)</f>
        <v>6.35638580058658</v>
      </c>
      <c r="N85" s="34" t="n">
        <f aca="false">IF(((B85-1)*u_d/2*(1+f_hc)+lane_off)&lt;=0,0,IF(((B85-1)*u_d/2*(1+f_hc)+lane_off)&gt;=v_sh^2/a_sh,((B85-1)*u_d/2*(1+f_hc)+lane_off)/v_sh+v_sh/a_sh,2*SQRT(((B85-1)*u_d/2*(1+f_hc)+lane_off)/a_sh)))</f>
        <v>5.95714285714286</v>
      </c>
      <c r="O85" s="47" t="n">
        <f aca="false">2*t_sh+2*t_turn+2*M85+2*N85</f>
        <v>82.6270573154589</v>
      </c>
      <c r="P85" s="47" t="n">
        <f aca="false">SUMPRODUCT((Tc_idx&lt;=C85)*(ROUNDUP(lam_total*INDEX(Tc_P,C85,0)*O85/(3600*rho_max)-0.000000001,0)+(ROUNDUP(lam_total*INDEX(Tc_P,C85,0)*O85/(3600*rho_max)-0.000000001,0)&lt;min_sh)*(min_sh-ROUNDUP(lam_total*INDEX(Tc_P,C85,0)*O85/(3600*rho_max)-0.000000001,0))))</f>
        <v>20</v>
      </c>
      <c r="Q85" s="3" t="n">
        <f aca="false">ROUNDUP(P85-0.000000001,0)+spares</f>
        <v>22</v>
      </c>
      <c r="R85" s="45" t="n">
        <f aca="false">B85*C85*(2*H85-G85*lpl)</f>
        <v>4860</v>
      </c>
      <c r="S85" s="45" t="n">
        <f aca="false">R85*fill</f>
        <v>4131</v>
      </c>
      <c r="T85" s="45" t="n">
        <f aca="false">I85*J85</f>
        <v>429</v>
      </c>
      <c r="U85" s="45" t="n">
        <f aca="false">T85*(K85+headroom)</f>
        <v>17245.8</v>
      </c>
      <c r="V85" s="45" t="n">
        <f aca="false">G85*c_lift</f>
        <v>300000</v>
      </c>
      <c r="W85" s="45" t="n">
        <f aca="false">Q85*c_shut</f>
        <v>1100000</v>
      </c>
      <c r="X85" s="45" t="n">
        <f aca="false">R85*c_pos</f>
        <v>486000</v>
      </c>
      <c r="Y85" s="45" t="n">
        <f aca="false">T85*c_m2+U85*c_m3</f>
        <v>688974</v>
      </c>
      <c r="Z85" s="45" t="n">
        <f aca="false">SUM(V85:Y85)</f>
        <v>2574974</v>
      </c>
      <c r="AA85" s="34" t="n">
        <f aca="false">B85*u_d/(H85*u_w)</f>
        <v>0.216666666666667</v>
      </c>
      <c r="AB85" s="46" t="n">
        <f aca="false">IF(G85=0,0,F85/G85)</f>
        <v>0.390753968253968</v>
      </c>
      <c r="AC85" s="46" t="n">
        <f aca="false">IF(G85&gt;1,F85/(G85-1),"n/a")</f>
        <v>0.781507936507937</v>
      </c>
      <c r="AD85" s="47" t="n">
        <f aca="false">moves_day*m_pallet*9.81*INDEX(Tc_mh,C85)/3600000</f>
        <v>15.74832</v>
      </c>
      <c r="AE85" s="3" t="n">
        <f aca="false">IF(AND(K85&lt;=H_max,H85&lt;=300,OR(lane_policy="Free (optimize N_C)",B85=sku_pal),OR(env_use="No",AND(I85&lt;=L_bldg,J85&lt;=W_bldg),AND(I85&lt;=W_bldg,J85&lt;=L_bldg))),1,0)</f>
        <v>0</v>
      </c>
      <c r="AF85" s="48" t="n">
        <f aca="false">IF(obj_mode="Total cost",Z85,IF(obj_mode="Shuttle cycle",O85,T85))</f>
        <v>2574974</v>
      </c>
      <c r="AG85" s="3" t="n">
        <f aca="false">IF(AE85=1,AF85*(1+A85*0.0000000001),1E+099)</f>
        <v>1E+099</v>
      </c>
      <c r="AH85" s="3" t="str">
        <f aca="false">IF(AE85=1,"",IF(K85&gt;H_max,"height",IF(AND(lane_policy&lt;&gt;"Free (optimize N_C)",B85&lt;&gt;sku_pal),"lane policy","footprint")))</f>
        <v>height</v>
      </c>
    </row>
    <row r="86" customFormat="false" ht="15" hidden="false" customHeight="true" outlineLevel="0" collapsed="false">
      <c r="A86" s="3" t="n">
        <v>79</v>
      </c>
      <c r="B86" s="3" t="n">
        <f aca="false">$E$3</f>
        <v>5</v>
      </c>
      <c r="C86" s="3" t="n">
        <v>19</v>
      </c>
      <c r="D86" s="46" t="n">
        <f aca="false">INDEX(Tc_pl,C86)</f>
        <v>0.6</v>
      </c>
      <c r="E86" s="47" t="n">
        <f aca="false">INDEX(Tc_S,C86)</f>
        <v>47.0696428571429</v>
      </c>
      <c r="F86" s="34" t="n">
        <f aca="false">lam_total*D86*E86/3600</f>
        <v>0.784494047619048</v>
      </c>
      <c r="G86" s="3" t="n">
        <f aca="false">IF(F86&lt;=0.000000000001,0,MAX(ROUNDUP(F86/rho_max-0.000000001,0),IF(redund="Yes",ROUNDUP(F86/rho_fail-0.000000001,0)+1,0)))</f>
        <v>2</v>
      </c>
      <c r="H86" s="3" t="n">
        <f aca="false">MAX(1,ROUNDUP((P_req/(B86*C86)+G86*lpl)/2-0.000000001,0))</f>
        <v>28</v>
      </c>
      <c r="I86" s="47" t="n">
        <f aca="false">H86*u_w</f>
        <v>28</v>
      </c>
      <c r="J86" s="47" t="n">
        <f aca="false">2*B86*u_d+aisle_w</f>
        <v>14.3</v>
      </c>
      <c r="K86" s="47" t="n">
        <f aca="false">C86*u_h</f>
        <v>40.85</v>
      </c>
      <c r="L86" s="47" t="n">
        <f aca="false">IF(G86=0,I86,I86/(2*G86))</f>
        <v>7</v>
      </c>
      <c r="M86" s="34" t="n">
        <f aca="false">((IF((lane_off+(L86))&lt;=(v_sh^2/a_sh),(4/3)*(lane_off+(L86))^1.5/SQRT(a_sh),(4/3)*(v_sh^2/a_sh)^1.5/SQRT(a_sh)+((lane_off+(L86))^2-(v_sh^2/a_sh)^2)/(2*v_sh)+(v_sh/a_sh)*((lane_off+(L86))-(v_sh^2/a_sh))))-(IF((lane_off)&lt;=(v_sh^2/a_sh),(4/3)*(lane_off)^1.5/SQRT(a_sh),(4/3)*(v_sh^2/a_sh)^1.5/SQRT(a_sh)+((lane_off)^2-(v_sh^2/a_sh)^2)/(2*v_sh)+(v_sh/a_sh)*((lane_off)-(v_sh^2/a_sh)))))/(L86)</f>
        <v>6.17418886797542</v>
      </c>
      <c r="N86" s="34" t="n">
        <f aca="false">IF(((B86-1)*u_d/2*(1+f_hc)+lane_off)&lt;=0,0,IF(((B86-1)*u_d/2*(1+f_hc)+lane_off)&gt;=v_sh^2/a_sh,((B86-1)*u_d/2*(1+f_hc)+lane_off)/v_sh+v_sh/a_sh,2*SQRT(((B86-1)*u_d/2*(1+f_hc)+lane_off)/a_sh)))</f>
        <v>5.95714285714286</v>
      </c>
      <c r="O86" s="47" t="n">
        <f aca="false">2*t_sh+2*t_turn+2*M86+2*N86</f>
        <v>82.2626634502365</v>
      </c>
      <c r="P86" s="47" t="n">
        <f aca="false">SUMPRODUCT((Tc_idx&lt;=C86)*(ROUNDUP(lam_total*INDEX(Tc_P,C86,0)*O86/(3600*rho_max)-0.000000001,0)+(ROUNDUP(lam_total*INDEX(Tc_P,C86,0)*O86/(3600*rho_max)-0.000000001,0)&lt;min_sh)*(min_sh-ROUNDUP(lam_total*INDEX(Tc_P,C86,0)*O86/(3600*rho_max)-0.000000001,0))))</f>
        <v>21</v>
      </c>
      <c r="Q86" s="3" t="n">
        <f aca="false">ROUNDUP(P86-0.000000001,0)+spares</f>
        <v>23</v>
      </c>
      <c r="R86" s="45" t="n">
        <f aca="false">B86*C86*(2*H86-G86*lpl)</f>
        <v>4750</v>
      </c>
      <c r="S86" s="45" t="n">
        <f aca="false">R86*fill</f>
        <v>4037.5</v>
      </c>
      <c r="T86" s="45" t="n">
        <f aca="false">I86*J86</f>
        <v>400.4</v>
      </c>
      <c r="U86" s="45" t="n">
        <f aca="false">T86*(K86+headroom)</f>
        <v>16956.94</v>
      </c>
      <c r="V86" s="45" t="n">
        <f aca="false">G86*c_lift</f>
        <v>300000</v>
      </c>
      <c r="W86" s="45" t="n">
        <f aca="false">Q86*c_shut</f>
        <v>1150000</v>
      </c>
      <c r="X86" s="45" t="n">
        <f aca="false">R86*c_pos</f>
        <v>475000</v>
      </c>
      <c r="Y86" s="45" t="n">
        <f aca="false">T86*c_m2+U86*c_m3</f>
        <v>668868.2</v>
      </c>
      <c r="Z86" s="45" t="n">
        <f aca="false">SUM(V86:Y86)</f>
        <v>2593868.2</v>
      </c>
      <c r="AA86" s="34" t="n">
        <f aca="false">B86*u_d/(H86*u_w)</f>
        <v>0.232142857142857</v>
      </c>
      <c r="AB86" s="46" t="n">
        <f aca="false">IF(G86=0,0,F86/G86)</f>
        <v>0.392247023809524</v>
      </c>
      <c r="AC86" s="46" t="n">
        <f aca="false">IF(G86&gt;1,F86/(G86-1),"n/a")</f>
        <v>0.784494047619048</v>
      </c>
      <c r="AD86" s="47" t="n">
        <f aca="false">moves_day*m_pallet*9.81*INDEX(Tc_mh,C86)/3600000</f>
        <v>16.02954</v>
      </c>
      <c r="AE86" s="3" t="n">
        <f aca="false">IF(AND(K86&lt;=H_max,H86&lt;=300,OR(lane_policy="Free (optimize N_C)",B86=sku_pal),OR(env_use="No",AND(I86&lt;=L_bldg,J86&lt;=W_bldg),AND(I86&lt;=W_bldg,J86&lt;=L_bldg))),1,0)</f>
        <v>0</v>
      </c>
      <c r="AF86" s="48" t="n">
        <f aca="false">IF(obj_mode="Total cost",Z86,IF(obj_mode="Shuttle cycle",O86,T86))</f>
        <v>2593868.2</v>
      </c>
      <c r="AG86" s="3" t="n">
        <f aca="false">IF(AE86=1,AF86*(1+A86*0.0000000001),1E+099)</f>
        <v>1E+099</v>
      </c>
      <c r="AH86" s="3" t="str">
        <f aca="false">IF(AE86=1,"",IF(K86&gt;H_max,"height",IF(AND(lane_policy&lt;&gt;"Free (optimize N_C)",B86&lt;&gt;sku_pal),"lane policy","footprint")))</f>
        <v>height</v>
      </c>
    </row>
    <row r="87" customFormat="false" ht="15" hidden="false" customHeight="true" outlineLevel="0" collapsed="false">
      <c r="A87" s="3" t="n">
        <v>80</v>
      </c>
      <c r="B87" s="3" t="n">
        <f aca="false">$E$3</f>
        <v>5</v>
      </c>
      <c r="C87" s="3" t="n">
        <v>20</v>
      </c>
      <c r="D87" s="46" t="n">
        <f aca="false">INDEX(Tc_pl,C87)</f>
        <v>0.6</v>
      </c>
      <c r="E87" s="47" t="n">
        <f aca="false">INDEX(Tc_S,C87)</f>
        <v>47.2488095238095</v>
      </c>
      <c r="F87" s="34" t="n">
        <f aca="false">lam_total*D87*E87/3600</f>
        <v>0.787480158730159</v>
      </c>
      <c r="G87" s="3" t="n">
        <f aca="false">IF(F87&lt;=0.000000000001,0,MAX(ROUNDUP(F87/rho_max-0.000000001,0),IF(redund="Yes",ROUNDUP(F87/rho_fail-0.000000001,0)+1,0)))</f>
        <v>2</v>
      </c>
      <c r="H87" s="3" t="n">
        <f aca="false">MAX(1,ROUNDUP((P_req/(B87*C87)+G87*lpl)/2-0.000000001,0))</f>
        <v>27</v>
      </c>
      <c r="I87" s="47" t="n">
        <f aca="false">H87*u_w</f>
        <v>27</v>
      </c>
      <c r="J87" s="47" t="n">
        <f aca="false">2*B87*u_d+aisle_w</f>
        <v>14.3</v>
      </c>
      <c r="K87" s="47" t="n">
        <f aca="false">C87*u_h</f>
        <v>43</v>
      </c>
      <c r="L87" s="47" t="n">
        <f aca="false">IF(G87=0,I87,I87/(2*G87))</f>
        <v>6.75</v>
      </c>
      <c r="M87" s="34" t="n">
        <f aca="false">((IF((lane_off+(L87))&lt;=(v_sh^2/a_sh),(4/3)*(lane_off+(L87))^1.5/SQRT(a_sh),(4/3)*(v_sh^2/a_sh)^1.5/SQRT(a_sh)+((lane_off+(L87))^2-(v_sh^2/a_sh)^2)/(2*v_sh)+(v_sh/a_sh)*((lane_off+(L87))-(v_sh^2/a_sh))))-(IF((lane_off)&lt;=(v_sh^2/a_sh),(4/3)*(lane_off)^1.5/SQRT(a_sh),(4/3)*(v_sh^2/a_sh)^1.5/SQRT(a_sh)+((lane_off)^2-(v_sh^2/a_sh)^2)/(2*v_sh)+(v_sh/a_sh)*((lane_off)-(v_sh^2/a_sh)))))/(L87)</f>
        <v>6.08288898477874</v>
      </c>
      <c r="N87" s="34" t="n">
        <f aca="false">IF(((B87-1)*u_d/2*(1+f_hc)+lane_off)&lt;=0,0,IF(((B87-1)*u_d/2*(1+f_hc)+lane_off)&gt;=v_sh^2/a_sh,((B87-1)*u_d/2*(1+f_hc)+lane_off)/v_sh+v_sh/a_sh,2*SQRT(((B87-1)*u_d/2*(1+f_hc)+lane_off)/a_sh)))</f>
        <v>5.95714285714286</v>
      </c>
      <c r="O87" s="47" t="n">
        <f aca="false">2*t_sh+2*t_turn+2*M87+2*N87</f>
        <v>82.0800636838432</v>
      </c>
      <c r="P87" s="47" t="n">
        <f aca="false">SUMPRODUCT((Tc_idx&lt;=C87)*(ROUNDUP(lam_total*INDEX(Tc_P,C87,0)*O87/(3600*rho_max)-0.000000001,0)+(ROUNDUP(lam_total*INDEX(Tc_P,C87,0)*O87/(3600*rho_max)-0.000000001,0)&lt;min_sh)*(min_sh-ROUNDUP(lam_total*INDEX(Tc_P,C87,0)*O87/(3600*rho_max)-0.000000001,0))))</f>
        <v>22</v>
      </c>
      <c r="Q87" s="3" t="n">
        <f aca="false">ROUNDUP(P87-0.000000001,0)+spares</f>
        <v>24</v>
      </c>
      <c r="R87" s="45" t="n">
        <f aca="false">B87*C87*(2*H87-G87*lpl)</f>
        <v>4800</v>
      </c>
      <c r="S87" s="45" t="n">
        <f aca="false">R87*fill</f>
        <v>4080</v>
      </c>
      <c r="T87" s="45" t="n">
        <f aca="false">I87*J87</f>
        <v>386.1</v>
      </c>
      <c r="U87" s="45" t="n">
        <f aca="false">T87*(K87+headroom)</f>
        <v>17181.45</v>
      </c>
      <c r="V87" s="45" t="n">
        <f aca="false">G87*c_lift</f>
        <v>300000</v>
      </c>
      <c r="W87" s="45" t="n">
        <f aca="false">Q87*c_shut</f>
        <v>1200000</v>
      </c>
      <c r="X87" s="45" t="n">
        <f aca="false">R87*c_pos</f>
        <v>480000</v>
      </c>
      <c r="Y87" s="45" t="n">
        <f aca="false">T87*c_m2+U87*c_m3</f>
        <v>669883.5</v>
      </c>
      <c r="Z87" s="45" t="n">
        <f aca="false">SUM(V87:Y87)</f>
        <v>2649883.5</v>
      </c>
      <c r="AA87" s="34" t="n">
        <f aca="false">B87*u_d/(H87*u_w)</f>
        <v>0.240740740740741</v>
      </c>
      <c r="AB87" s="46" t="n">
        <f aca="false">IF(G87=0,0,F87/G87)</f>
        <v>0.393740079365079</v>
      </c>
      <c r="AC87" s="46" t="n">
        <f aca="false">IF(G87&gt;1,F87/(G87-1),"n/a")</f>
        <v>0.787480158730159</v>
      </c>
      <c r="AD87" s="47" t="n">
        <f aca="false">moves_day*m_pallet*9.81*INDEX(Tc_mh,C87)/3600000</f>
        <v>16.31076</v>
      </c>
      <c r="AE87" s="3" t="n">
        <f aca="false">IF(AND(K87&lt;=H_max,H87&lt;=300,OR(lane_policy="Free (optimize N_C)",B87=sku_pal),OR(env_use="No",AND(I87&lt;=L_bldg,J87&lt;=W_bldg),AND(I87&lt;=W_bldg,J87&lt;=L_bldg))),1,0)</f>
        <v>0</v>
      </c>
      <c r="AF87" s="48" t="n">
        <f aca="false">IF(obj_mode="Total cost",Z87,IF(obj_mode="Shuttle cycle",O87,T87))</f>
        <v>2649883.5</v>
      </c>
      <c r="AG87" s="3" t="n">
        <f aca="false">IF(AE87=1,AF87*(1+A87*0.0000000001),1E+099)</f>
        <v>1E+099</v>
      </c>
      <c r="AH87" s="3" t="str">
        <f aca="false">IF(AE87=1,"",IF(K87&gt;H_max,"height",IF(AND(lane_policy&lt;&gt;"Free (optimize N_C)",B87&lt;&gt;sku_pal),"lane policy","footprint")))</f>
        <v>height</v>
      </c>
    </row>
    <row r="88" customFormat="false" ht="15" hidden="false" customHeight="true" outlineLevel="0" collapsed="false">
      <c r="A88" s="3" t="n">
        <v>81</v>
      </c>
      <c r="B88" s="3" t="n">
        <f aca="false">$F$3</f>
        <v>6</v>
      </c>
      <c r="C88" s="3" t="n">
        <v>1</v>
      </c>
      <c r="D88" s="46" t="n">
        <f aca="false">INDEX(Tc_pl,C88)</f>
        <v>0</v>
      </c>
      <c r="E88" s="47" t="n">
        <f aca="false">INDEX(Tc_S,C88)</f>
        <v>0</v>
      </c>
      <c r="F88" s="34" t="n">
        <f aca="false">lam_total*D88*E88/3600</f>
        <v>0</v>
      </c>
      <c r="G88" s="3" t="n">
        <f aca="false">IF(F88&lt;=0.000000000001,0,MAX(ROUNDUP(F88/rho_max-0.000000001,0),IF(redund="Yes",ROUNDUP(F88/rho_fail-0.000000001,0)+1,0)))</f>
        <v>0</v>
      </c>
      <c r="H88" s="3" t="n">
        <f aca="false">MAX(1,ROUNDUP((P_req/(B88*C88)+G88*lpl)/2-0.000000001,0))</f>
        <v>393</v>
      </c>
      <c r="I88" s="47" t="n">
        <f aca="false">H88*u_w</f>
        <v>393</v>
      </c>
      <c r="J88" s="47" t="n">
        <f aca="false">2*B88*u_d+aisle_w</f>
        <v>16.9</v>
      </c>
      <c r="K88" s="47" t="n">
        <f aca="false">C88*u_h</f>
        <v>2.15</v>
      </c>
      <c r="L88" s="47" t="n">
        <f aca="false">IF(G88=0,I88,I88/(2*G88))</f>
        <v>393</v>
      </c>
      <c r="M88" s="34" t="n">
        <f aca="false">((IF((lane_off+(L88))&lt;=(v_sh^2/a_sh),(4/3)*(lane_off+(L88))^1.5/SQRT(a_sh),(4/3)*(v_sh^2/a_sh)^1.5/SQRT(a_sh)+((lane_off+(L88))^2-(v_sh^2/a_sh)^2)/(2*v_sh)+(v_sh/a_sh)*((lane_off+(L88))-(v_sh^2/a_sh))))-(IF((lane_off)&lt;=(v_sh^2/a_sh),(4/3)*(lane_off)^1.5/SQRT(a_sh),(4/3)*(v_sh^2/a_sh)^1.5/SQRT(a_sh)+((lane_off)^2-(v_sh^2/a_sh)^2)/(2*v_sh)+(v_sh/a_sh)*((lane_off)-(v_sh^2/a_sh)))))/(L88)</f>
        <v>144.084745639597</v>
      </c>
      <c r="N88" s="34" t="n">
        <f aca="false">IF(((B88-1)*u_d/2*(1+f_hc)+lane_off)&lt;=0,0,IF(((B88-1)*u_d/2*(1+f_hc)+lane_off)&gt;=v_sh^2/a_sh,((B88-1)*u_d/2*(1+f_hc)+lane_off)/v_sh+v_sh/a_sh,2*SQRT(((B88-1)*u_d/2*(1+f_hc)+lane_off)/a_sh)))</f>
        <v>6.51428571428571</v>
      </c>
      <c r="O88" s="47" t="n">
        <f aca="false">2*t_sh+2*t_turn+2*M88+2*N88</f>
        <v>359.198062707765</v>
      </c>
      <c r="P88" s="47" t="n">
        <f aca="false">SUMPRODUCT((Tc_idx&lt;=C88)*(ROUNDUP(lam_total*INDEX(Tc_P,C88,0)*O88/(3600*rho_max)-0.000000001,0)+(ROUNDUP(lam_total*INDEX(Tc_P,C88,0)*O88/(3600*rho_max)-0.000000001,0)&lt;min_sh)*(min_sh-ROUNDUP(lam_total*INDEX(Tc_P,C88,0)*O88/(3600*rho_max)-0.000000001,0))))</f>
        <v>14</v>
      </c>
      <c r="Q88" s="3" t="n">
        <f aca="false">ROUNDUP(P88-0.000000001,0)+spares</f>
        <v>16</v>
      </c>
      <c r="R88" s="45" t="n">
        <f aca="false">B88*C88*(2*H88-G88*lpl)</f>
        <v>4716</v>
      </c>
      <c r="S88" s="45" t="n">
        <f aca="false">R88*fill</f>
        <v>4008.6</v>
      </c>
      <c r="T88" s="45" t="n">
        <f aca="false">I88*J88</f>
        <v>6641.7</v>
      </c>
      <c r="U88" s="45" t="n">
        <f aca="false">T88*(K88+headroom)</f>
        <v>24242.205</v>
      </c>
      <c r="V88" s="45" t="n">
        <f aca="false">G88*c_lift</f>
        <v>0</v>
      </c>
      <c r="W88" s="45" t="n">
        <f aca="false">Q88*c_shut</f>
        <v>800000</v>
      </c>
      <c r="X88" s="45" t="n">
        <f aca="false">R88*c_pos</f>
        <v>471600</v>
      </c>
      <c r="Y88" s="45" t="n">
        <f aca="false">T88*c_m2+U88*c_m3</f>
        <v>3383946.15</v>
      </c>
      <c r="Z88" s="45" t="n">
        <f aca="false">SUM(V88:Y88)</f>
        <v>4655546.15</v>
      </c>
      <c r="AA88" s="34" t="n">
        <f aca="false">B88*u_d/(H88*u_w)</f>
        <v>0.0198473282442748</v>
      </c>
      <c r="AB88" s="46" t="n">
        <f aca="false">IF(G88=0,0,F88/G88)</f>
        <v>0</v>
      </c>
      <c r="AC88" s="46" t="str">
        <f aca="false">IF(G88&gt;1,F88/(G88-1),"n/a")</f>
        <v>n/a</v>
      </c>
      <c r="AD88" s="47" t="n">
        <f aca="false">moves_day*m_pallet*9.81*INDEX(Tc_mh,C88)/3600000</f>
        <v>0</v>
      </c>
      <c r="AE88" s="3" t="n">
        <f aca="false">IF(AND(K88&lt;=H_max,H88&lt;=300,OR(lane_policy="Free (optimize N_C)",B88=sku_pal),OR(env_use="No",AND(I88&lt;=L_bldg,J88&lt;=W_bldg),AND(I88&lt;=W_bldg,J88&lt;=L_bldg))),1,0)</f>
        <v>0</v>
      </c>
      <c r="AF88" s="48" t="n">
        <f aca="false">IF(obj_mode="Total cost",Z88,IF(obj_mode="Shuttle cycle",O88,T88))</f>
        <v>4655546.15</v>
      </c>
      <c r="AG88" s="3" t="n">
        <f aca="false">IF(AE88=1,AF88*(1+A88*0.0000000001),1E+099)</f>
        <v>1E+099</v>
      </c>
      <c r="AH88" s="3" t="str">
        <f aca="false">IF(AE88=1,"",IF(K88&gt;H_max,"height",IF(AND(lane_policy&lt;&gt;"Free (optimize N_C)",B88&lt;&gt;sku_pal),"lane policy","footprint")))</f>
        <v>footprint</v>
      </c>
    </row>
    <row r="89" customFormat="false" ht="15" hidden="false" customHeight="true" outlineLevel="0" collapsed="false">
      <c r="A89" s="3" t="n">
        <v>82</v>
      </c>
      <c r="B89" s="3" t="n">
        <f aca="false">$F$3</f>
        <v>6</v>
      </c>
      <c r="C89" s="3" t="n">
        <v>2</v>
      </c>
      <c r="D89" s="46" t="n">
        <f aca="false">INDEX(Tc_pl,C89)</f>
        <v>0.5</v>
      </c>
      <c r="E89" s="47" t="n">
        <f aca="false">INDEX(Tc_S,C89)</f>
        <v>41.1571428571429</v>
      </c>
      <c r="F89" s="34" t="n">
        <f aca="false">lam_total*D89*E89/3600</f>
        <v>0.571626984126984</v>
      </c>
      <c r="G89" s="3" t="n">
        <f aca="false">IF(F89&lt;=0.000000000001,0,MAX(ROUNDUP(F89/rho_max-0.000000001,0),IF(redund="Yes",ROUNDUP(F89/rho_fail-0.000000001,0)+1,0)))</f>
        <v>2</v>
      </c>
      <c r="H89" s="3" t="n">
        <f aca="false">MAX(1,ROUNDUP((P_req/(B89*C89)+G89*lpl)/2-0.000000001,0))</f>
        <v>200</v>
      </c>
      <c r="I89" s="47" t="n">
        <f aca="false">H89*u_w</f>
        <v>200</v>
      </c>
      <c r="J89" s="47" t="n">
        <f aca="false">2*B89*u_d+aisle_w</f>
        <v>16.9</v>
      </c>
      <c r="K89" s="47" t="n">
        <f aca="false">C89*u_h</f>
        <v>4.3</v>
      </c>
      <c r="L89" s="47" t="n">
        <f aca="false">IF(G89=0,I89,I89/(2*G89))</f>
        <v>50</v>
      </c>
      <c r="M89" s="34" t="n">
        <f aca="false">((IF((lane_off+(L89))&lt;=(v_sh^2/a_sh),(4/3)*(lane_off+(L89))^1.5/SQRT(a_sh),(4/3)*(v_sh^2/a_sh)^1.5/SQRT(a_sh)+((lane_off+(L89))^2-(v_sh^2/a_sh)^2)/(2*v_sh)+(v_sh/a_sh)*((lane_off+(L89))-(v_sh^2/a_sh))))-(IF((lane_off)&lt;=(v_sh^2/a_sh),(4/3)*(lane_off)^1.5/SQRT(a_sh),(4/3)*(v_sh^2/a_sh)^1.5/SQRT(a_sh)+((lane_off)^2-(v_sh^2/a_sh)^2)/(2*v_sh)+(v_sh/a_sh)*((lane_off)-(v_sh^2/a_sh)))))/(L89)</f>
        <v>21.5781007272308</v>
      </c>
      <c r="N89" s="34" t="n">
        <f aca="false">IF(((B89-1)*u_d/2*(1+f_hc)+lane_off)&lt;=0,0,IF(((B89-1)*u_d/2*(1+f_hc)+lane_off)&gt;=v_sh^2/a_sh,((B89-1)*u_d/2*(1+f_hc)+lane_off)/v_sh+v_sh/a_sh,2*SQRT(((B89-1)*u_d/2*(1+f_hc)+lane_off)/a_sh)))</f>
        <v>6.51428571428571</v>
      </c>
      <c r="O89" s="47" t="n">
        <f aca="false">2*t_sh+2*t_turn+2*M89+2*N89</f>
        <v>114.184772883033</v>
      </c>
      <c r="P89" s="47" t="n">
        <f aca="false">SUMPRODUCT((Tc_idx&lt;=C89)*(ROUNDUP(lam_total*INDEX(Tc_P,C89,0)*O89/(3600*rho_max)-0.000000001,0)+(ROUNDUP(lam_total*INDEX(Tc_P,C89,0)*O89/(3600*rho_max)-0.000000001,0)&lt;min_sh)*(min_sh-ROUNDUP(lam_total*INDEX(Tc_P,C89,0)*O89/(3600*rho_max)-0.000000001,0))))</f>
        <v>6</v>
      </c>
      <c r="Q89" s="3" t="n">
        <f aca="false">ROUNDUP(P89-0.000000001,0)+spares</f>
        <v>8</v>
      </c>
      <c r="R89" s="45" t="n">
        <f aca="false">B89*C89*(2*H89-G89*lpl)</f>
        <v>4728</v>
      </c>
      <c r="S89" s="45" t="n">
        <f aca="false">R89*fill</f>
        <v>4018.8</v>
      </c>
      <c r="T89" s="45" t="n">
        <f aca="false">I89*J89</f>
        <v>3380</v>
      </c>
      <c r="U89" s="45" t="n">
        <f aca="false">T89*(K89+headroom)</f>
        <v>19604</v>
      </c>
      <c r="V89" s="45" t="n">
        <f aca="false">G89*c_lift</f>
        <v>300000</v>
      </c>
      <c r="W89" s="45" t="n">
        <f aca="false">Q89*c_shut</f>
        <v>400000</v>
      </c>
      <c r="X89" s="45" t="n">
        <f aca="false">R89*c_pos</f>
        <v>472800</v>
      </c>
      <c r="Y89" s="45" t="n">
        <f aca="false">T89*c_m2+U89*c_m3</f>
        <v>1940120</v>
      </c>
      <c r="Z89" s="45" t="n">
        <f aca="false">SUM(V89:Y89)</f>
        <v>3112920</v>
      </c>
      <c r="AA89" s="34" t="n">
        <f aca="false">B89*u_d/(H89*u_w)</f>
        <v>0.039</v>
      </c>
      <c r="AB89" s="46" t="n">
        <f aca="false">IF(G89=0,0,F89/G89)</f>
        <v>0.285813492063492</v>
      </c>
      <c r="AC89" s="46" t="n">
        <f aca="false">IF(G89&gt;1,F89/(G89-1),"n/a")</f>
        <v>0.571626984126984</v>
      </c>
      <c r="AD89" s="47" t="n">
        <f aca="false">moves_day*m_pallet*9.81*INDEX(Tc_mh,C89)/3600000</f>
        <v>5.6244</v>
      </c>
      <c r="AE89" s="3" t="n">
        <f aca="false">IF(AND(K89&lt;=H_max,H89&lt;=300,OR(lane_policy="Free (optimize N_C)",B89=sku_pal),OR(env_use="No",AND(I89&lt;=L_bldg,J89&lt;=W_bldg),AND(I89&lt;=W_bldg,J89&lt;=L_bldg))),1,0)</f>
        <v>0</v>
      </c>
      <c r="AF89" s="48" t="n">
        <f aca="false">IF(obj_mode="Total cost",Z89,IF(obj_mode="Shuttle cycle",O89,T89))</f>
        <v>3112920</v>
      </c>
      <c r="AG89" s="3" t="n">
        <f aca="false">IF(AE89=1,AF89*(1+A89*0.0000000001),1E+099)</f>
        <v>1E+099</v>
      </c>
      <c r="AH89" s="3" t="str">
        <f aca="false">IF(AE89=1,"",IF(K89&gt;H_max,"height",IF(AND(lane_policy&lt;&gt;"Free (optimize N_C)",B89&lt;&gt;sku_pal),"lane policy","footprint")))</f>
        <v>footprint</v>
      </c>
    </row>
    <row r="90" customFormat="false" ht="15" hidden="false" customHeight="true" outlineLevel="0" collapsed="false">
      <c r="A90" s="3" t="n">
        <v>83</v>
      </c>
      <c r="B90" s="3" t="n">
        <f aca="false">$F$3</f>
        <v>6</v>
      </c>
      <c r="C90" s="3" t="n">
        <v>3</v>
      </c>
      <c r="D90" s="46" t="n">
        <f aca="false">INDEX(Tc_pl,C90)</f>
        <v>0.529411764705882</v>
      </c>
      <c r="E90" s="47" t="n">
        <f aca="false">INDEX(Tc_S,C90)</f>
        <v>41.6349206349206</v>
      </c>
      <c r="F90" s="34" t="n">
        <f aca="false">lam_total*D90*E90/3600</f>
        <v>0.612278244631186</v>
      </c>
      <c r="G90" s="3" t="n">
        <f aca="false">IF(F90&lt;=0.000000000001,0,MAX(ROUNDUP(F90/rho_max-0.000000001,0),IF(redund="Yes",ROUNDUP(F90/rho_fail-0.000000001,0)+1,0)))</f>
        <v>2</v>
      </c>
      <c r="H90" s="3" t="n">
        <f aca="false">MAX(1,ROUNDUP((P_req/(B90*C90)+G90*lpl)/2-0.000000001,0))</f>
        <v>134</v>
      </c>
      <c r="I90" s="47" t="n">
        <f aca="false">H90*u_w</f>
        <v>134</v>
      </c>
      <c r="J90" s="47" t="n">
        <f aca="false">2*B90*u_d+aisle_w</f>
        <v>16.9</v>
      </c>
      <c r="K90" s="47" t="n">
        <f aca="false">C90*u_h</f>
        <v>6.45</v>
      </c>
      <c r="L90" s="47" t="n">
        <f aca="false">IF(G90=0,I90,I90/(2*G90))</f>
        <v>33.5</v>
      </c>
      <c r="M90" s="34" t="n">
        <f aca="false">((IF((lane_off+(L90))&lt;=(v_sh^2/a_sh),(4/3)*(lane_off+(L90))^1.5/SQRT(a_sh),(4/3)*(v_sh^2/a_sh)^1.5/SQRT(a_sh)+((lane_off+(L90))^2-(v_sh^2/a_sh)^2)/(2*v_sh)+(v_sh/a_sh)*((lane_off+(L90))-(v_sh^2/a_sh))))-(IF((lane_off)&lt;=(v_sh^2/a_sh),(4/3)*(lane_off)^1.5/SQRT(a_sh),(4/3)*(v_sh^2/a_sh)^1.5/SQRT(a_sh)+((lane_off)^2-(v_sh^2/a_sh)^2)/(2*v_sh)+(v_sh/a_sh)*((lane_off)-(v_sh^2/a_sh)))))/(L90)</f>
        <v>15.6814936227326</v>
      </c>
      <c r="N90" s="34" t="n">
        <f aca="false">IF(((B90-1)*u_d/2*(1+f_hc)+lane_off)&lt;=0,0,IF(((B90-1)*u_d/2*(1+f_hc)+lane_off)&gt;=v_sh^2/a_sh,((B90-1)*u_d/2*(1+f_hc)+lane_off)/v_sh+v_sh/a_sh,2*SQRT(((B90-1)*u_d/2*(1+f_hc)+lane_off)/a_sh)))</f>
        <v>6.51428571428571</v>
      </c>
      <c r="O90" s="47" t="n">
        <f aca="false">2*t_sh+2*t_turn+2*M90+2*N90</f>
        <v>102.391558674037</v>
      </c>
      <c r="P90" s="47" t="n">
        <f aca="false">SUMPRODUCT((Tc_idx&lt;=C90)*(ROUNDUP(lam_total*INDEX(Tc_P,C90,0)*O90/(3600*rho_max)-0.000000001,0)+(ROUNDUP(lam_total*INDEX(Tc_P,C90,0)*O90/(3600*rho_max)-0.000000001,0)&lt;min_sh)*(min_sh-ROUNDUP(lam_total*INDEX(Tc_P,C90,0)*O90/(3600*rho_max)-0.000000001,0))))</f>
        <v>5</v>
      </c>
      <c r="Q90" s="3" t="n">
        <f aca="false">ROUNDUP(P90-0.000000001,0)+spares</f>
        <v>7</v>
      </c>
      <c r="R90" s="45" t="n">
        <f aca="false">B90*C90*(2*H90-G90*lpl)</f>
        <v>4716</v>
      </c>
      <c r="S90" s="45" t="n">
        <f aca="false">R90*fill</f>
        <v>4008.6</v>
      </c>
      <c r="T90" s="45" t="n">
        <f aca="false">I90*J90</f>
        <v>2264.6</v>
      </c>
      <c r="U90" s="45" t="n">
        <f aca="false">T90*(K90+headroom)</f>
        <v>18003.57</v>
      </c>
      <c r="V90" s="45" t="n">
        <f aca="false">G90*c_lift</f>
        <v>300000</v>
      </c>
      <c r="W90" s="45" t="n">
        <f aca="false">Q90*c_shut</f>
        <v>350000</v>
      </c>
      <c r="X90" s="45" t="n">
        <f aca="false">R90*c_pos</f>
        <v>471600</v>
      </c>
      <c r="Y90" s="45" t="n">
        <f aca="false">T90*c_m2+U90*c_m3</f>
        <v>1445947.1</v>
      </c>
      <c r="Z90" s="45" t="n">
        <f aca="false">SUM(V90:Y90)</f>
        <v>2567547.1</v>
      </c>
      <c r="AA90" s="34" t="n">
        <f aca="false">B90*u_d/(H90*u_w)</f>
        <v>0.0582089552238806</v>
      </c>
      <c r="AB90" s="46" t="n">
        <f aca="false">IF(G90=0,0,F90/G90)</f>
        <v>0.306139122315593</v>
      </c>
      <c r="AC90" s="46" t="n">
        <f aca="false">IF(G90&gt;1,F90/(G90-1),"n/a")</f>
        <v>0.612278244631186</v>
      </c>
      <c r="AD90" s="47" t="n">
        <f aca="false">moves_day*m_pallet*9.81*INDEX(Tc_mh,C90)/3600000</f>
        <v>6.61694117647059</v>
      </c>
      <c r="AE90" s="3" t="n">
        <f aca="false">IF(AND(K90&lt;=H_max,H90&lt;=300,OR(lane_policy="Free (optimize N_C)",B90=sku_pal),OR(env_use="No",AND(I90&lt;=L_bldg,J90&lt;=W_bldg),AND(I90&lt;=W_bldg,J90&lt;=L_bldg))),1,0)</f>
        <v>0</v>
      </c>
      <c r="AF90" s="48" t="n">
        <f aca="false">IF(obj_mode="Total cost",Z90,IF(obj_mode="Shuttle cycle",O90,T90))</f>
        <v>2567547.1</v>
      </c>
      <c r="AG90" s="3" t="n">
        <f aca="false">IF(AE90=1,AF90*(1+A90*0.0000000001),1E+099)</f>
        <v>1E+099</v>
      </c>
      <c r="AH90" s="3" t="str">
        <f aca="false">IF(AE90=1,"",IF(K90&gt;H_max,"height",IF(AND(lane_policy&lt;&gt;"Free (optimize N_C)",B90&lt;&gt;sku_pal),"lane policy","footprint")))</f>
        <v>footprint</v>
      </c>
    </row>
    <row r="91" customFormat="false" ht="15" hidden="false" customHeight="true" outlineLevel="0" collapsed="false">
      <c r="A91" s="3" t="n">
        <v>84</v>
      </c>
      <c r="B91" s="3" t="n">
        <f aca="false">$F$3</f>
        <v>6</v>
      </c>
      <c r="C91" s="3" t="n">
        <v>4</v>
      </c>
      <c r="D91" s="46" t="n">
        <f aca="false">INDEX(Tc_pl,C91)</f>
        <v>0.555555555555556</v>
      </c>
      <c r="E91" s="47" t="n">
        <f aca="false">INDEX(Tc_S,C91)</f>
        <v>42.4471428571429</v>
      </c>
      <c r="F91" s="34" t="n">
        <f aca="false">lam_total*D91*E91/3600</f>
        <v>0.655048500881834</v>
      </c>
      <c r="G91" s="3" t="n">
        <f aca="false">IF(F91&lt;=0.000000000001,0,MAX(ROUNDUP(F91/rho_max-0.000000001,0),IF(redund="Yes",ROUNDUP(F91/rho_fail-0.000000001,0)+1,0)))</f>
        <v>2</v>
      </c>
      <c r="H91" s="3" t="n">
        <f aca="false">MAX(1,ROUNDUP((P_req/(B91*C91)+G91*lpl)/2-0.000000001,0))</f>
        <v>102</v>
      </c>
      <c r="I91" s="47" t="n">
        <f aca="false">H91*u_w</f>
        <v>102</v>
      </c>
      <c r="J91" s="47" t="n">
        <f aca="false">2*B91*u_d+aisle_w</f>
        <v>16.9</v>
      </c>
      <c r="K91" s="47" t="n">
        <f aca="false">C91*u_h</f>
        <v>8.6</v>
      </c>
      <c r="L91" s="47" t="n">
        <f aca="false">IF(G91=0,I91,I91/(2*G91))</f>
        <v>25.5</v>
      </c>
      <c r="M91" s="34" t="n">
        <f aca="false">((IF((lane_off+(L91))&lt;=(v_sh^2/a_sh),(4/3)*(lane_off+(L91))^1.5/SQRT(a_sh),(4/3)*(v_sh^2/a_sh)^1.5/SQRT(a_sh)+((lane_off+(L91))^2-(v_sh^2/a_sh)^2)/(2*v_sh)+(v_sh/a_sh)*((lane_off+(L91))-(v_sh^2/a_sh))))-(IF((lane_off)&lt;=(v_sh^2/a_sh),(4/3)*(lane_off)^1.5/SQRT(a_sh),(4/3)*(v_sh^2/a_sh)^1.5/SQRT(a_sh)+((lane_off)^2-(v_sh^2/a_sh)^2)/(2*v_sh)+(v_sh/a_sh)*((lane_off)-(v_sh^2/a_sh)))))/(L91)</f>
        <v>12.8207857396683</v>
      </c>
      <c r="N91" s="34" t="n">
        <f aca="false">IF(((B91-1)*u_d/2*(1+f_hc)+lane_off)&lt;=0,0,IF(((B91-1)*u_d/2*(1+f_hc)+lane_off)&gt;=v_sh^2/a_sh,((B91-1)*u_d/2*(1+f_hc)+lane_off)/v_sh+v_sh/a_sh,2*SQRT(((B91-1)*u_d/2*(1+f_hc)+lane_off)/a_sh)))</f>
        <v>6.51428571428571</v>
      </c>
      <c r="O91" s="47" t="n">
        <f aca="false">2*t_sh+2*t_turn+2*M91+2*N91</f>
        <v>96.6701429079081</v>
      </c>
      <c r="P91" s="47" t="n">
        <f aca="false">SUMPRODUCT((Tc_idx&lt;=C91)*(ROUNDUP(lam_total*INDEX(Tc_P,C91,0)*O91/(3600*rho_max)-0.000000001,0)+(ROUNDUP(lam_total*INDEX(Tc_P,C91,0)*O91/(3600*rho_max)-0.000000001,0)&lt;min_sh)*(min_sh-ROUNDUP(lam_total*INDEX(Tc_P,C91,0)*O91/(3600*rho_max)-0.000000001,0))))</f>
        <v>6</v>
      </c>
      <c r="Q91" s="3" t="n">
        <f aca="false">ROUNDUP(P91-0.000000001,0)+spares</f>
        <v>8</v>
      </c>
      <c r="R91" s="45" t="n">
        <f aca="false">B91*C91*(2*H91-G91*lpl)</f>
        <v>4752</v>
      </c>
      <c r="S91" s="45" t="n">
        <f aca="false">R91*fill</f>
        <v>4039.2</v>
      </c>
      <c r="T91" s="45" t="n">
        <f aca="false">I91*J91</f>
        <v>1723.8</v>
      </c>
      <c r="U91" s="45" t="n">
        <f aca="false">T91*(K91+headroom)</f>
        <v>17410.38</v>
      </c>
      <c r="V91" s="45" t="n">
        <f aca="false">G91*c_lift</f>
        <v>300000</v>
      </c>
      <c r="W91" s="45" t="n">
        <f aca="false">Q91*c_shut</f>
        <v>400000</v>
      </c>
      <c r="X91" s="45" t="n">
        <f aca="false">R91*c_pos</f>
        <v>475200</v>
      </c>
      <c r="Y91" s="45" t="n">
        <f aca="false">T91*c_m2+U91*c_m3</f>
        <v>1211831.4</v>
      </c>
      <c r="Z91" s="45" t="n">
        <f aca="false">SUM(V91:Y91)</f>
        <v>2387031.4</v>
      </c>
      <c r="AA91" s="34" t="n">
        <f aca="false">B91*u_d/(H91*u_w)</f>
        <v>0.0764705882352941</v>
      </c>
      <c r="AB91" s="46" t="n">
        <f aca="false">IF(G91=0,0,F91/G91)</f>
        <v>0.327524250440917</v>
      </c>
      <c r="AC91" s="46" t="n">
        <f aca="false">IF(G91&gt;1,F91/(G91-1),"n/a")</f>
        <v>0.655048500881834</v>
      </c>
      <c r="AD91" s="47" t="n">
        <f aca="false">moves_day*m_pallet*9.81*INDEX(Tc_mh,C91)/3600000</f>
        <v>8.12413333333333</v>
      </c>
      <c r="AE91" s="3" t="n">
        <f aca="false">IF(AND(K91&lt;=H_max,H91&lt;=300,OR(lane_policy="Free (optimize N_C)",B91=sku_pal),OR(env_use="No",AND(I91&lt;=L_bldg,J91&lt;=W_bldg),AND(I91&lt;=W_bldg,J91&lt;=L_bldg))),1,0)</f>
        <v>0</v>
      </c>
      <c r="AF91" s="48" t="n">
        <f aca="false">IF(obj_mode="Total cost",Z91,IF(obj_mode="Shuttle cycle",O91,T91))</f>
        <v>2387031.4</v>
      </c>
      <c r="AG91" s="3" t="n">
        <f aca="false">IF(AE91=1,AF91*(1+A91*0.0000000001),1E+099)</f>
        <v>1E+099</v>
      </c>
      <c r="AH91" s="3" t="str">
        <f aca="false">IF(AE91=1,"",IF(K91&gt;H_max,"height",IF(AND(lane_policy&lt;&gt;"Free (optimize N_C)",B91&lt;&gt;sku_pal),"lane policy","footprint")))</f>
        <v>footprint</v>
      </c>
    </row>
    <row r="92" customFormat="false" ht="15" hidden="false" customHeight="true" outlineLevel="0" collapsed="false">
      <c r="A92" s="3" t="n">
        <v>85</v>
      </c>
      <c r="B92" s="3" t="n">
        <f aca="false">$F$3</f>
        <v>6</v>
      </c>
      <c r="C92" s="3" t="n">
        <v>5</v>
      </c>
      <c r="D92" s="46" t="n">
        <f aca="false">INDEX(Tc_pl,C92)</f>
        <v>0.578947368421053</v>
      </c>
      <c r="E92" s="47" t="n">
        <f aca="false">INDEX(Tc_S,C92)</f>
        <v>43.5025974025974</v>
      </c>
      <c r="F92" s="34" t="n">
        <f aca="false">lam_total*D92*E92/3600</f>
        <v>0.699603174603175</v>
      </c>
      <c r="G92" s="3" t="n">
        <f aca="false">IF(F92&lt;=0.000000000001,0,MAX(ROUNDUP(F92/rho_max-0.000000001,0),IF(redund="Yes",ROUNDUP(F92/rho_fail-0.000000001,0)+1,0)))</f>
        <v>2</v>
      </c>
      <c r="H92" s="3" t="n">
        <f aca="false">MAX(1,ROUNDUP((P_req/(B92*C92)+G92*lpl)/2-0.000000001,0))</f>
        <v>82</v>
      </c>
      <c r="I92" s="47" t="n">
        <f aca="false">H92*u_w</f>
        <v>82</v>
      </c>
      <c r="J92" s="47" t="n">
        <f aca="false">2*B92*u_d+aisle_w</f>
        <v>16.9</v>
      </c>
      <c r="K92" s="47" t="n">
        <f aca="false">C92*u_h</f>
        <v>10.75</v>
      </c>
      <c r="L92" s="47" t="n">
        <f aca="false">IF(G92=0,I92,I92/(2*G92))</f>
        <v>20.5</v>
      </c>
      <c r="M92" s="34" t="n">
        <f aca="false">((IF((lane_off+(L92))&lt;=(v_sh^2/a_sh),(4/3)*(lane_off+(L92))^1.5/SQRT(a_sh),(4/3)*(v_sh^2/a_sh)^1.5/SQRT(a_sh)+((lane_off+(L92))^2-(v_sh^2/a_sh)^2)/(2*v_sh)+(v_sh/a_sh)*((lane_off+(L92))-(v_sh^2/a_sh))))-(IF((lane_off)&lt;=(v_sh^2/a_sh),(4/3)*(lane_off)^1.5/SQRT(a_sh),(4/3)*(v_sh^2/a_sh)^1.5/SQRT(a_sh)+((lane_off)^2-(v_sh^2/a_sh)^2)/(2*v_sh)+(v_sh/a_sh)*((lane_off)-(v_sh^2/a_sh)))))/(L92)</f>
        <v>11.0314303451623</v>
      </c>
      <c r="N92" s="34" t="n">
        <f aca="false">IF(((B92-1)*u_d/2*(1+f_hc)+lane_off)&lt;=0,0,IF(((B92-1)*u_d/2*(1+f_hc)+lane_off)&gt;=v_sh^2/a_sh,((B92-1)*u_d/2*(1+f_hc)+lane_off)/v_sh+v_sh/a_sh,2*SQRT(((B92-1)*u_d/2*(1+f_hc)+lane_off)/a_sh)))</f>
        <v>6.51428571428571</v>
      </c>
      <c r="O92" s="47" t="n">
        <f aca="false">2*t_sh+2*t_turn+2*M92+2*N92</f>
        <v>93.0914321188961</v>
      </c>
      <c r="P92" s="47" t="n">
        <f aca="false">SUMPRODUCT((Tc_idx&lt;=C92)*(ROUNDUP(lam_total*INDEX(Tc_P,C92,0)*O92/(3600*rho_max)-0.000000001,0)+(ROUNDUP(lam_total*INDEX(Tc_P,C92,0)*O92/(3600*rho_max)-0.000000001,0)&lt;min_sh)*(min_sh-ROUNDUP(lam_total*INDEX(Tc_P,C92,0)*O92/(3600*rho_max)-0.000000001,0))))</f>
        <v>7</v>
      </c>
      <c r="Q92" s="3" t="n">
        <f aca="false">ROUNDUP(P92-0.000000001,0)+spares</f>
        <v>9</v>
      </c>
      <c r="R92" s="45" t="n">
        <f aca="false">B92*C92*(2*H92-G92*lpl)</f>
        <v>4740</v>
      </c>
      <c r="S92" s="45" t="n">
        <f aca="false">R92*fill</f>
        <v>4029</v>
      </c>
      <c r="T92" s="45" t="n">
        <f aca="false">I92*J92</f>
        <v>1385.8</v>
      </c>
      <c r="U92" s="45" t="n">
        <f aca="false">T92*(K92+headroom)</f>
        <v>16976.05</v>
      </c>
      <c r="V92" s="45" t="n">
        <f aca="false">G92*c_lift</f>
        <v>300000</v>
      </c>
      <c r="W92" s="45" t="n">
        <f aca="false">Q92*c_shut</f>
        <v>450000</v>
      </c>
      <c r="X92" s="45" t="n">
        <f aca="false">R92*c_pos</f>
        <v>474000</v>
      </c>
      <c r="Y92" s="45" t="n">
        <f aca="false">T92*c_m2+U92*c_m3</f>
        <v>1063601.5</v>
      </c>
      <c r="Z92" s="45" t="n">
        <f aca="false">SUM(V92:Y92)</f>
        <v>2287601.5</v>
      </c>
      <c r="AA92" s="34" t="n">
        <f aca="false">B92*u_d/(H92*u_w)</f>
        <v>0.0951219512195122</v>
      </c>
      <c r="AB92" s="46" t="n">
        <f aca="false">IF(G92=0,0,F92/G92)</f>
        <v>0.349801587301587</v>
      </c>
      <c r="AC92" s="46" t="n">
        <f aca="false">IF(G92&gt;1,F92/(G92-1),"n/a")</f>
        <v>0.699603174603175</v>
      </c>
      <c r="AD92" s="47" t="n">
        <f aca="false">moves_day*m_pallet*9.81*INDEX(Tc_mh,C92)/3600000</f>
        <v>10.0647157894737</v>
      </c>
      <c r="AE92" s="3" t="n">
        <f aca="false">IF(AND(K92&lt;=H_max,H92&lt;=300,OR(lane_policy="Free (optimize N_C)",B92=sku_pal),OR(env_use="No",AND(I92&lt;=L_bldg,J92&lt;=W_bldg),AND(I92&lt;=W_bldg,J92&lt;=L_bldg))),1,0)</f>
        <v>0</v>
      </c>
      <c r="AF92" s="48" t="n">
        <f aca="false">IF(obj_mode="Total cost",Z92,IF(obj_mode="Shuttle cycle",O92,T92))</f>
        <v>2287601.5</v>
      </c>
      <c r="AG92" s="3" t="n">
        <f aca="false">IF(AE92=1,AF92*(1+A92*0.0000000001),1E+099)</f>
        <v>1E+099</v>
      </c>
      <c r="AH92" s="3" t="str">
        <f aca="false">IF(AE92=1,"",IF(K92&gt;H_max,"height",IF(AND(lane_policy&lt;&gt;"Free (optimize N_C)",B92&lt;&gt;sku_pal),"lane policy","footprint")))</f>
        <v>footprint</v>
      </c>
    </row>
    <row r="93" customFormat="false" ht="15" hidden="false" customHeight="true" outlineLevel="0" collapsed="false">
      <c r="A93" s="3" t="n">
        <v>86</v>
      </c>
      <c r="B93" s="3" t="n">
        <f aca="false">$F$3</f>
        <v>6</v>
      </c>
      <c r="C93" s="3" t="n">
        <v>6</v>
      </c>
      <c r="D93" s="46" t="n">
        <f aca="false">INDEX(Tc_pl,C93)</f>
        <v>0.6</v>
      </c>
      <c r="E93" s="47" t="n">
        <f aca="false">INDEX(Tc_S,C93)</f>
        <v>44.7404761904762</v>
      </c>
      <c r="F93" s="34" t="n">
        <f aca="false">lam_total*D93*E93/3600</f>
        <v>0.745674603174603</v>
      </c>
      <c r="G93" s="3" t="n">
        <f aca="false">IF(F93&lt;=0.000000000001,0,MAX(ROUNDUP(F93/rho_max-0.000000001,0),IF(redund="Yes",ROUNDUP(F93/rho_fail-0.000000001,0)+1,0)))</f>
        <v>2</v>
      </c>
      <c r="H93" s="3" t="n">
        <f aca="false">MAX(1,ROUNDUP((P_req/(B93*C93)+G93*lpl)/2-0.000000001,0))</f>
        <v>69</v>
      </c>
      <c r="I93" s="47" t="n">
        <f aca="false">H93*u_w</f>
        <v>69</v>
      </c>
      <c r="J93" s="47" t="n">
        <f aca="false">2*B93*u_d+aisle_w</f>
        <v>16.9</v>
      </c>
      <c r="K93" s="47" t="n">
        <f aca="false">C93*u_h</f>
        <v>12.9</v>
      </c>
      <c r="L93" s="47" t="n">
        <f aca="false">IF(G93=0,I93,I93/(2*G93))</f>
        <v>17.25</v>
      </c>
      <c r="M93" s="34" t="n">
        <f aca="false">((IF((lane_off+(L93))&lt;=(v_sh^2/a_sh),(4/3)*(lane_off+(L93))^1.5/SQRT(a_sh),(4/3)*(v_sh^2/a_sh)^1.5/SQRT(a_sh)+((lane_off+(L93))^2-(v_sh^2/a_sh)^2)/(2*v_sh)+(v_sh/a_sh)*((lane_off+(L93))-(v_sh^2/a_sh))))-(IF((lane_off)&lt;=(v_sh^2/a_sh),(4/3)*(lane_off)^1.5/SQRT(a_sh),(4/3)*(v_sh^2/a_sh)^1.5/SQRT(a_sh)+((lane_off)^2-(v_sh^2/a_sh)^2)/(2*v_sh)+(v_sh/a_sh)*((lane_off)-(v_sh^2/a_sh)))))/(L93)</f>
        <v>9.86721742882646</v>
      </c>
      <c r="N93" s="34" t="n">
        <f aca="false">IF(((B93-1)*u_d/2*(1+f_hc)+lane_off)&lt;=0,0,IF(((B93-1)*u_d/2*(1+f_hc)+lane_off)&gt;=v_sh^2/a_sh,((B93-1)*u_d/2*(1+f_hc)+lane_off)/v_sh+v_sh/a_sh,2*SQRT(((B93-1)*u_d/2*(1+f_hc)+lane_off)/a_sh)))</f>
        <v>6.51428571428571</v>
      </c>
      <c r="O93" s="47" t="n">
        <f aca="false">2*t_sh+2*t_turn+2*M93+2*N93</f>
        <v>90.7630062862244</v>
      </c>
      <c r="P93" s="47" t="n">
        <f aca="false">SUMPRODUCT((Tc_idx&lt;=C93)*(ROUNDUP(lam_total*INDEX(Tc_P,C93,0)*O93/(3600*rho_max)-0.000000001,0)+(ROUNDUP(lam_total*INDEX(Tc_P,C93,0)*O93/(3600*rho_max)-0.000000001,0)&lt;min_sh)*(min_sh-ROUNDUP(lam_total*INDEX(Tc_P,C93,0)*O93/(3600*rho_max)-0.000000001,0))))</f>
        <v>8</v>
      </c>
      <c r="Q93" s="3" t="n">
        <f aca="false">ROUNDUP(P93-0.000000001,0)+spares</f>
        <v>10</v>
      </c>
      <c r="R93" s="45" t="n">
        <f aca="false">B93*C93*(2*H93-G93*lpl)</f>
        <v>4752</v>
      </c>
      <c r="S93" s="45" t="n">
        <f aca="false">R93*fill</f>
        <v>4039.2</v>
      </c>
      <c r="T93" s="45" t="n">
        <f aca="false">I93*J93</f>
        <v>1166.1</v>
      </c>
      <c r="U93" s="45" t="n">
        <f aca="false">T93*(K93+headroom)</f>
        <v>16791.84</v>
      </c>
      <c r="V93" s="45" t="n">
        <f aca="false">G93*c_lift</f>
        <v>300000</v>
      </c>
      <c r="W93" s="45" t="n">
        <f aca="false">Q93*c_shut</f>
        <v>500000</v>
      </c>
      <c r="X93" s="45" t="n">
        <f aca="false">R93*c_pos</f>
        <v>475200</v>
      </c>
      <c r="Y93" s="45" t="n">
        <f aca="false">T93*c_m2+U93*c_m3</f>
        <v>970195.2</v>
      </c>
      <c r="Z93" s="45" t="n">
        <f aca="false">SUM(V93:Y93)</f>
        <v>2245395.2</v>
      </c>
      <c r="AA93" s="34" t="n">
        <f aca="false">B93*u_d/(H93*u_w)</f>
        <v>0.11304347826087</v>
      </c>
      <c r="AB93" s="46" t="n">
        <f aca="false">IF(G93=0,0,F93/G93)</f>
        <v>0.372837301587302</v>
      </c>
      <c r="AC93" s="46" t="n">
        <f aca="false">IF(G93&gt;1,F93/(G93-1),"n/a")</f>
        <v>0.745674603174603</v>
      </c>
      <c r="AD93" s="47" t="n">
        <f aca="false">moves_day*m_pallet*9.81*INDEX(Tc_mh,C93)/3600000</f>
        <v>12.37368</v>
      </c>
      <c r="AE93" s="3" t="n">
        <f aca="false">IF(AND(K93&lt;=H_max,H93&lt;=300,OR(lane_policy="Free (optimize N_C)",B93=sku_pal),OR(env_use="No",AND(I93&lt;=L_bldg,J93&lt;=W_bldg),AND(I93&lt;=W_bldg,J93&lt;=L_bldg))),1,0)</f>
        <v>0</v>
      </c>
      <c r="AF93" s="48" t="n">
        <f aca="false">IF(obj_mode="Total cost",Z93,IF(obj_mode="Shuttle cycle",O93,T93))</f>
        <v>2245395.2</v>
      </c>
      <c r="AG93" s="3" t="n">
        <f aca="false">IF(AE93=1,AF93*(1+A93*0.0000000001),1E+099)</f>
        <v>1E+099</v>
      </c>
      <c r="AH93" s="3" t="str">
        <f aca="false">IF(AE93=1,"",IF(K93&gt;H_max,"height",IF(AND(lane_policy&lt;&gt;"Free (optimize N_C)",B93&lt;&gt;sku_pal),"lane policy","footprint")))</f>
        <v>footprint</v>
      </c>
    </row>
    <row r="94" customFormat="false" ht="15" hidden="false" customHeight="true" outlineLevel="0" collapsed="false">
      <c r="A94" s="3" t="n">
        <v>87</v>
      </c>
      <c r="B94" s="3" t="n">
        <f aca="false">$F$3</f>
        <v>6</v>
      </c>
      <c r="C94" s="3" t="n">
        <v>7</v>
      </c>
      <c r="D94" s="46" t="n">
        <f aca="false">INDEX(Tc_pl,C94)</f>
        <v>0.6</v>
      </c>
      <c r="E94" s="47" t="n">
        <f aca="false">INDEX(Tc_S,C94)</f>
        <v>44.9196428571429</v>
      </c>
      <c r="F94" s="34" t="n">
        <f aca="false">lam_total*D94*E94/3600</f>
        <v>0.748660714285714</v>
      </c>
      <c r="G94" s="3" t="n">
        <f aca="false">IF(F94&lt;=0.000000000001,0,MAX(ROUNDUP(F94/rho_max-0.000000001,0),IF(redund="Yes",ROUNDUP(F94/rho_fail-0.000000001,0)+1,0)))</f>
        <v>2</v>
      </c>
      <c r="H94" s="3" t="n">
        <f aca="false">MAX(1,ROUNDUP((P_req/(B94*C94)+G94*lpl)/2-0.000000001,0))</f>
        <v>60</v>
      </c>
      <c r="I94" s="47" t="n">
        <f aca="false">H94*u_w</f>
        <v>60</v>
      </c>
      <c r="J94" s="47" t="n">
        <f aca="false">2*B94*u_d+aisle_w</f>
        <v>16.9</v>
      </c>
      <c r="K94" s="47" t="n">
        <f aca="false">C94*u_h</f>
        <v>15.05</v>
      </c>
      <c r="L94" s="47" t="n">
        <f aca="false">IF(G94=0,I94,I94/(2*G94))</f>
        <v>15</v>
      </c>
      <c r="M94" s="34" t="n">
        <f aca="false">((IF((lane_off+(L94))&lt;=(v_sh^2/a_sh),(4/3)*(lane_off+(L94))^1.5/SQRT(a_sh),(4/3)*(v_sh^2/a_sh)^1.5/SQRT(a_sh)+((lane_off+(L94))^2-(v_sh^2/a_sh)^2)/(2*v_sh)+(v_sh/a_sh)*((lane_off+(L94))-(v_sh^2/a_sh))))-(IF((lane_off)&lt;=(v_sh^2/a_sh),(4/3)*(lane_off)^1.5/SQRT(a_sh),(4/3)*(v_sh^2/a_sh)^1.5/SQRT(a_sh)+((lane_off)^2-(v_sh^2/a_sh)^2)/(2*v_sh)+(v_sh/a_sh)*((lane_off)-(v_sh^2/a_sh)))))/(L94)</f>
        <v>9.06033575743615</v>
      </c>
      <c r="N94" s="34" t="n">
        <f aca="false">IF(((B94-1)*u_d/2*(1+f_hc)+lane_off)&lt;=0,0,IF(((B94-1)*u_d/2*(1+f_hc)+lane_off)&gt;=v_sh^2/a_sh,((B94-1)*u_d/2*(1+f_hc)+lane_off)/v_sh+v_sh/a_sh,2*SQRT(((B94-1)*u_d/2*(1+f_hc)+lane_off)/a_sh)))</f>
        <v>6.51428571428571</v>
      </c>
      <c r="O94" s="47" t="n">
        <f aca="false">2*t_sh+2*t_turn+2*M94+2*N94</f>
        <v>89.1492429434437</v>
      </c>
      <c r="P94" s="47" t="n">
        <f aca="false">SUMPRODUCT((Tc_idx&lt;=C94)*(ROUNDUP(lam_total*INDEX(Tc_P,C94,0)*O94/(3600*rho_max)-0.000000001,0)+(ROUNDUP(lam_total*INDEX(Tc_P,C94,0)*O94/(3600*rho_max)-0.000000001,0)&lt;min_sh)*(min_sh-ROUNDUP(lam_total*INDEX(Tc_P,C94,0)*O94/(3600*rho_max)-0.000000001,0))))</f>
        <v>9</v>
      </c>
      <c r="Q94" s="3" t="n">
        <f aca="false">ROUNDUP(P94-0.000000001,0)+spares</f>
        <v>11</v>
      </c>
      <c r="R94" s="45" t="n">
        <f aca="false">B94*C94*(2*H94-G94*lpl)</f>
        <v>4788</v>
      </c>
      <c r="S94" s="45" t="n">
        <f aca="false">R94*fill</f>
        <v>4069.8</v>
      </c>
      <c r="T94" s="45" t="n">
        <f aca="false">I94*J94</f>
        <v>1014</v>
      </c>
      <c r="U94" s="45" t="n">
        <f aca="false">T94*(K94+headroom)</f>
        <v>16781.7</v>
      </c>
      <c r="V94" s="45" t="n">
        <f aca="false">G94*c_lift</f>
        <v>300000</v>
      </c>
      <c r="W94" s="45" t="n">
        <f aca="false">Q94*c_shut</f>
        <v>550000</v>
      </c>
      <c r="X94" s="45" t="n">
        <f aca="false">R94*c_pos</f>
        <v>478800</v>
      </c>
      <c r="Y94" s="45" t="n">
        <f aca="false">T94*c_m2+U94*c_m3</f>
        <v>909051</v>
      </c>
      <c r="Z94" s="45" t="n">
        <f aca="false">SUM(V94:Y94)</f>
        <v>2237851</v>
      </c>
      <c r="AA94" s="34" t="n">
        <f aca="false">B94*u_d/(H94*u_w)</f>
        <v>0.13</v>
      </c>
      <c r="AB94" s="46" t="n">
        <f aca="false">IF(G94=0,0,F94/G94)</f>
        <v>0.374330357142857</v>
      </c>
      <c r="AC94" s="46" t="n">
        <f aca="false">IF(G94&gt;1,F94/(G94-1),"n/a")</f>
        <v>0.748660714285714</v>
      </c>
      <c r="AD94" s="47" t="n">
        <f aca="false">moves_day*m_pallet*9.81*INDEX(Tc_mh,C94)/3600000</f>
        <v>12.6549</v>
      </c>
      <c r="AE94" s="3" t="n">
        <f aca="false">IF(AND(K94&lt;=H_max,H94&lt;=300,OR(lane_policy="Free (optimize N_C)",B94=sku_pal),OR(env_use="No",AND(I94&lt;=L_bldg,J94&lt;=W_bldg),AND(I94&lt;=W_bldg,J94&lt;=L_bldg))),1,0)</f>
        <v>0</v>
      </c>
      <c r="AF94" s="48" t="n">
        <f aca="false">IF(obj_mode="Total cost",Z94,IF(obj_mode="Shuttle cycle",O94,T94))</f>
        <v>2237851</v>
      </c>
      <c r="AG94" s="3" t="n">
        <f aca="false">IF(AE94=1,AF94*(1+A94*0.0000000001),1E+099)</f>
        <v>1E+099</v>
      </c>
      <c r="AH94" s="3" t="str">
        <f aca="false">IF(AE94=1,"",IF(K94&gt;H_max,"height",IF(AND(lane_policy&lt;&gt;"Free (optimize N_C)",B94&lt;&gt;sku_pal),"lane policy","footprint")))</f>
        <v>footprint</v>
      </c>
    </row>
    <row r="95" customFormat="false" ht="15" hidden="false" customHeight="true" outlineLevel="0" collapsed="false">
      <c r="A95" s="3" t="n">
        <v>88</v>
      </c>
      <c r="B95" s="3" t="n">
        <f aca="false">$F$3</f>
        <v>6</v>
      </c>
      <c r="C95" s="3" t="n">
        <v>8</v>
      </c>
      <c r="D95" s="46" t="n">
        <f aca="false">INDEX(Tc_pl,C95)</f>
        <v>0.6</v>
      </c>
      <c r="E95" s="47" t="n">
        <f aca="false">INDEX(Tc_S,C95)</f>
        <v>45.0988095238095</v>
      </c>
      <c r="F95" s="34" t="n">
        <f aca="false">lam_total*D95*E95/3600</f>
        <v>0.751646825396826</v>
      </c>
      <c r="G95" s="3" t="n">
        <f aca="false">IF(F95&lt;=0.000000000001,0,MAX(ROUNDUP(F95/rho_max-0.000000001,0),IF(redund="Yes",ROUNDUP(F95/rho_fail-0.000000001,0)+1,0)))</f>
        <v>2</v>
      </c>
      <c r="H95" s="3" t="n">
        <f aca="false">MAX(1,ROUNDUP((P_req/(B95*C95)+G95*lpl)/2-0.000000001,0))</f>
        <v>53</v>
      </c>
      <c r="I95" s="47" t="n">
        <f aca="false">H95*u_w</f>
        <v>53</v>
      </c>
      <c r="J95" s="47" t="n">
        <f aca="false">2*B95*u_d+aisle_w</f>
        <v>16.9</v>
      </c>
      <c r="K95" s="47" t="n">
        <f aca="false">C95*u_h</f>
        <v>17.2</v>
      </c>
      <c r="L95" s="47" t="n">
        <f aca="false">IF(G95=0,I95,I95/(2*G95))</f>
        <v>13.25</v>
      </c>
      <c r="M95" s="34" t="n">
        <f aca="false">((IF((lane_off+(L95))&lt;=(v_sh^2/a_sh),(4/3)*(lane_off+(L95))^1.5/SQRT(a_sh),(4/3)*(v_sh^2/a_sh)^1.5/SQRT(a_sh)+((lane_off+(L95))^2-(v_sh^2/a_sh)^2)/(2*v_sh)+(v_sh/a_sh)*((lane_off+(L95))-(v_sh^2/a_sh))))-(IF((lane_off)&lt;=(v_sh^2/a_sh),(4/3)*(lane_off)^1.5/SQRT(a_sh),(4/3)*(v_sh^2/a_sh)^1.5/SQRT(a_sh)+((lane_off)^2-(v_sh^2/a_sh)^2)/(2*v_sh)+(v_sh/a_sh)*((lane_off)-(v_sh^2/a_sh)))))/(L95)</f>
        <v>8.43198387634281</v>
      </c>
      <c r="N95" s="34" t="n">
        <f aca="false">IF(((B95-1)*u_d/2*(1+f_hc)+lane_off)&lt;=0,0,IF(((B95-1)*u_d/2*(1+f_hc)+lane_off)&gt;=v_sh^2/a_sh,((B95-1)*u_d/2*(1+f_hc)+lane_off)/v_sh+v_sh/a_sh,2*SQRT(((B95-1)*u_d/2*(1+f_hc)+lane_off)/a_sh)))</f>
        <v>6.51428571428571</v>
      </c>
      <c r="O95" s="47" t="n">
        <f aca="false">2*t_sh+2*t_turn+2*M95+2*N95</f>
        <v>87.8925391812571</v>
      </c>
      <c r="P95" s="47" t="n">
        <f aca="false">SUMPRODUCT((Tc_idx&lt;=C95)*(ROUNDUP(lam_total*INDEX(Tc_P,C95,0)*O95/(3600*rho_max)-0.000000001,0)+(ROUNDUP(lam_total*INDEX(Tc_P,C95,0)*O95/(3600*rho_max)-0.000000001,0)&lt;min_sh)*(min_sh-ROUNDUP(lam_total*INDEX(Tc_P,C95,0)*O95/(3600*rho_max)-0.000000001,0))))</f>
        <v>10</v>
      </c>
      <c r="Q95" s="3" t="n">
        <f aca="false">ROUNDUP(P95-0.000000001,0)+spares</f>
        <v>12</v>
      </c>
      <c r="R95" s="45" t="n">
        <f aca="false">B95*C95*(2*H95-G95*lpl)</f>
        <v>4800</v>
      </c>
      <c r="S95" s="45" t="n">
        <f aca="false">R95*fill</f>
        <v>4080</v>
      </c>
      <c r="T95" s="45" t="n">
        <f aca="false">I95*J95</f>
        <v>895.7</v>
      </c>
      <c r="U95" s="45" t="n">
        <f aca="false">T95*(K95+headroom)</f>
        <v>16749.59</v>
      </c>
      <c r="V95" s="45" t="n">
        <f aca="false">G95*c_lift</f>
        <v>300000</v>
      </c>
      <c r="W95" s="45" t="n">
        <f aca="false">Q95*c_shut</f>
        <v>600000</v>
      </c>
      <c r="X95" s="45" t="n">
        <f aca="false">R95*c_pos</f>
        <v>480000</v>
      </c>
      <c r="Y95" s="45" t="n">
        <f aca="false">T95*c_m2+U95*c_m3</f>
        <v>860767.7</v>
      </c>
      <c r="Z95" s="45" t="n">
        <f aca="false">SUM(V95:Y95)</f>
        <v>2240767.7</v>
      </c>
      <c r="AA95" s="34" t="n">
        <f aca="false">B95*u_d/(H95*u_w)</f>
        <v>0.147169811320755</v>
      </c>
      <c r="AB95" s="46" t="n">
        <f aca="false">IF(G95=0,0,F95/G95)</f>
        <v>0.375823412698413</v>
      </c>
      <c r="AC95" s="46" t="n">
        <f aca="false">IF(G95&gt;1,F95/(G95-1),"n/a")</f>
        <v>0.751646825396826</v>
      </c>
      <c r="AD95" s="47" t="n">
        <f aca="false">moves_day*m_pallet*9.81*INDEX(Tc_mh,C95)/3600000</f>
        <v>12.93612</v>
      </c>
      <c r="AE95" s="3" t="n">
        <f aca="false">IF(AND(K95&lt;=H_max,H95&lt;=300,OR(lane_policy="Free (optimize N_C)",B95=sku_pal),OR(env_use="No",AND(I95&lt;=L_bldg,J95&lt;=W_bldg),AND(I95&lt;=W_bldg,J95&lt;=L_bldg))),1,0)</f>
        <v>0</v>
      </c>
      <c r="AF95" s="48" t="n">
        <f aca="false">IF(obj_mode="Total cost",Z95,IF(obj_mode="Shuttle cycle",O95,T95))</f>
        <v>2240767.7</v>
      </c>
      <c r="AG95" s="3" t="n">
        <f aca="false">IF(AE95=1,AF95*(1+A95*0.0000000001),1E+099)</f>
        <v>1E+099</v>
      </c>
      <c r="AH95" s="3" t="str">
        <f aca="false">IF(AE95=1,"",IF(K95&gt;H_max,"height",IF(AND(lane_policy&lt;&gt;"Free (optimize N_C)",B95&lt;&gt;sku_pal),"lane policy","footprint")))</f>
        <v>footprint</v>
      </c>
    </row>
    <row r="96" customFormat="false" ht="15" hidden="false" customHeight="true" outlineLevel="0" collapsed="false">
      <c r="A96" s="3" t="n">
        <v>89</v>
      </c>
      <c r="B96" s="3" t="n">
        <f aca="false">$F$3</f>
        <v>6</v>
      </c>
      <c r="C96" s="3" t="n">
        <v>9</v>
      </c>
      <c r="D96" s="46" t="n">
        <f aca="false">INDEX(Tc_pl,C96)</f>
        <v>0.6</v>
      </c>
      <c r="E96" s="47" t="n">
        <f aca="false">INDEX(Tc_S,C96)</f>
        <v>45.2779761904762</v>
      </c>
      <c r="F96" s="34" t="n">
        <f aca="false">lam_total*D96*E96/3600</f>
        <v>0.754632936507936</v>
      </c>
      <c r="G96" s="3" t="n">
        <f aca="false">IF(F96&lt;=0.000000000001,0,MAX(ROUNDUP(F96/rho_max-0.000000001,0),IF(redund="Yes",ROUNDUP(F96/rho_fail-0.000000001,0)+1,0)))</f>
        <v>2</v>
      </c>
      <c r="H96" s="3" t="n">
        <f aca="false">MAX(1,ROUNDUP((P_req/(B96*C96)+G96*lpl)/2-0.000000001,0))</f>
        <v>47</v>
      </c>
      <c r="I96" s="47" t="n">
        <f aca="false">H96*u_w</f>
        <v>47</v>
      </c>
      <c r="J96" s="47" t="n">
        <f aca="false">2*B96*u_d+aisle_w</f>
        <v>16.9</v>
      </c>
      <c r="K96" s="47" t="n">
        <f aca="false">C96*u_h</f>
        <v>19.35</v>
      </c>
      <c r="L96" s="47" t="n">
        <f aca="false">IF(G96=0,I96,I96/(2*G96))</f>
        <v>11.75</v>
      </c>
      <c r="M96" s="34" t="n">
        <f aca="false">((IF((lane_off+(L96))&lt;=(v_sh^2/a_sh),(4/3)*(lane_off+(L96))^1.5/SQRT(a_sh),(4/3)*(v_sh^2/a_sh)^1.5/SQRT(a_sh)+((lane_off+(L96))^2-(v_sh^2/a_sh)^2)/(2*v_sh)+(v_sh/a_sh)*((lane_off+(L96))-(v_sh^2/a_sh))))-(IF((lane_off)&lt;=(v_sh^2/a_sh),(4/3)*(lane_off)^1.5/SQRT(a_sh),(4/3)*(v_sh^2/a_sh)^1.5/SQRT(a_sh)+((lane_off)^2-(v_sh^2/a_sh)^2)/(2*v_sh)+(v_sh/a_sh)*((lane_off)-(v_sh^2/a_sh)))))/(L96)</f>
        <v>7.89260187879387</v>
      </c>
      <c r="N96" s="34" t="n">
        <f aca="false">IF(((B96-1)*u_d/2*(1+f_hc)+lane_off)&lt;=0,0,IF(((B96-1)*u_d/2*(1+f_hc)+lane_off)&gt;=v_sh^2/a_sh,((B96-1)*u_d/2*(1+f_hc)+lane_off)/v_sh+v_sh/a_sh,2*SQRT(((B96-1)*u_d/2*(1+f_hc)+lane_off)/a_sh)))</f>
        <v>6.51428571428571</v>
      </c>
      <c r="O96" s="47" t="n">
        <f aca="false">2*t_sh+2*t_turn+2*M96+2*N96</f>
        <v>86.8137751861592</v>
      </c>
      <c r="P96" s="47" t="n">
        <f aca="false">SUMPRODUCT((Tc_idx&lt;=C96)*(ROUNDUP(lam_total*INDEX(Tc_P,C96,0)*O96/(3600*rho_max)-0.000000001,0)+(ROUNDUP(lam_total*INDEX(Tc_P,C96,0)*O96/(3600*rho_max)-0.000000001,0)&lt;min_sh)*(min_sh-ROUNDUP(lam_total*INDEX(Tc_P,C96,0)*O96/(3600*rho_max)-0.000000001,0))))</f>
        <v>11</v>
      </c>
      <c r="Q96" s="3" t="n">
        <f aca="false">ROUNDUP(P96-0.000000001,0)+spares</f>
        <v>13</v>
      </c>
      <c r="R96" s="45" t="n">
        <f aca="false">B96*C96*(2*H96-G96*lpl)</f>
        <v>4752</v>
      </c>
      <c r="S96" s="45" t="n">
        <f aca="false">R96*fill</f>
        <v>4039.2</v>
      </c>
      <c r="T96" s="45" t="n">
        <f aca="false">I96*J96</f>
        <v>794.3</v>
      </c>
      <c r="U96" s="45" t="n">
        <f aca="false">T96*(K96+headroom)</f>
        <v>16561.155</v>
      </c>
      <c r="V96" s="45" t="n">
        <f aca="false">G96*c_lift</f>
        <v>300000</v>
      </c>
      <c r="W96" s="45" t="n">
        <f aca="false">Q96*c_shut</f>
        <v>650000</v>
      </c>
      <c r="X96" s="45" t="n">
        <f aca="false">R96*c_pos</f>
        <v>475200</v>
      </c>
      <c r="Y96" s="45" t="n">
        <f aca="false">T96*c_m2+U96*c_m3</f>
        <v>814554.65</v>
      </c>
      <c r="Z96" s="45" t="n">
        <f aca="false">SUM(V96:Y96)</f>
        <v>2239754.65</v>
      </c>
      <c r="AA96" s="34" t="n">
        <f aca="false">B96*u_d/(H96*u_w)</f>
        <v>0.165957446808511</v>
      </c>
      <c r="AB96" s="46" t="n">
        <f aca="false">IF(G96=0,0,F96/G96)</f>
        <v>0.377316468253968</v>
      </c>
      <c r="AC96" s="46" t="n">
        <f aca="false">IF(G96&gt;1,F96/(G96-1),"n/a")</f>
        <v>0.754632936507936</v>
      </c>
      <c r="AD96" s="47" t="n">
        <f aca="false">moves_day*m_pallet*9.81*INDEX(Tc_mh,C96)/3600000</f>
        <v>13.21734</v>
      </c>
      <c r="AE96" s="3" t="n">
        <f aca="false">IF(AND(K96&lt;=H_max,H96&lt;=300,OR(lane_policy="Free (optimize N_C)",B96=sku_pal),OR(env_use="No",AND(I96&lt;=L_bldg,J96&lt;=W_bldg),AND(I96&lt;=W_bldg,J96&lt;=L_bldg))),1,0)</f>
        <v>0</v>
      </c>
      <c r="AF96" s="48" t="n">
        <f aca="false">IF(obj_mode="Total cost",Z96,IF(obj_mode="Shuttle cycle",O96,T96))</f>
        <v>2239754.65</v>
      </c>
      <c r="AG96" s="3" t="n">
        <f aca="false">IF(AE96=1,AF96*(1+A96*0.0000000001),1E+099)</f>
        <v>1E+099</v>
      </c>
      <c r="AH96" s="3" t="str">
        <f aca="false">IF(AE96=1,"",IF(K96&gt;H_max,"height",IF(AND(lane_policy&lt;&gt;"Free (optimize N_C)",B96&lt;&gt;sku_pal),"lane policy","footprint")))</f>
        <v>footprint</v>
      </c>
    </row>
    <row r="97" customFormat="false" ht="15" hidden="false" customHeight="true" outlineLevel="0" collapsed="false">
      <c r="A97" s="3" t="n">
        <v>90</v>
      </c>
      <c r="B97" s="3" t="n">
        <f aca="false">$F$3</f>
        <v>6</v>
      </c>
      <c r="C97" s="3" t="n">
        <v>10</v>
      </c>
      <c r="D97" s="46" t="n">
        <f aca="false">INDEX(Tc_pl,C97)</f>
        <v>0.6</v>
      </c>
      <c r="E97" s="47" t="n">
        <f aca="false">INDEX(Tc_S,C97)</f>
        <v>45.4571428571429</v>
      </c>
      <c r="F97" s="34" t="n">
        <f aca="false">lam_total*D97*E97/3600</f>
        <v>0.757619047619048</v>
      </c>
      <c r="G97" s="3" t="n">
        <f aca="false">IF(F97&lt;=0.000000000001,0,MAX(ROUNDUP(F97/rho_max-0.000000001,0),IF(redund="Yes",ROUNDUP(F97/rho_fail-0.000000001,0)+1,0)))</f>
        <v>2</v>
      </c>
      <c r="H97" s="3" t="n">
        <f aca="false">MAX(1,ROUNDUP((P_req/(B97*C97)+G97*lpl)/2-0.000000001,0))</f>
        <v>43</v>
      </c>
      <c r="I97" s="47" t="n">
        <f aca="false">H97*u_w</f>
        <v>43</v>
      </c>
      <c r="J97" s="47" t="n">
        <f aca="false">2*B97*u_d+aisle_w</f>
        <v>16.9</v>
      </c>
      <c r="K97" s="47" t="n">
        <f aca="false">C97*u_h</f>
        <v>21.5</v>
      </c>
      <c r="L97" s="47" t="n">
        <f aca="false">IF(G97=0,I97,I97/(2*G97))</f>
        <v>10.75</v>
      </c>
      <c r="M97" s="34" t="n">
        <f aca="false">((IF((lane_off+(L97))&lt;=(v_sh^2/a_sh),(4/3)*(lane_off+(L97))^1.5/SQRT(a_sh),(4/3)*(v_sh^2/a_sh)^1.5/SQRT(a_sh)+((lane_off+(L97))^2-(v_sh^2/a_sh)^2)/(2*v_sh)+(v_sh/a_sh)*((lane_off+(L97))-(v_sh^2/a_sh))))-(IF((lane_off)&lt;=(v_sh^2/a_sh),(4/3)*(lane_off)^1.5/SQRT(a_sh),(4/3)*(v_sh^2/a_sh)^1.5/SQRT(a_sh)+((lane_off)^2-(v_sh^2/a_sh)^2)/(2*v_sh)+(v_sh/a_sh)*((lane_off)-(v_sh^2/a_sh)))))/(L97)</f>
        <v>7.53244524293416</v>
      </c>
      <c r="N97" s="34" t="n">
        <f aca="false">IF(((B97-1)*u_d/2*(1+f_hc)+lane_off)&lt;=0,0,IF(((B97-1)*u_d/2*(1+f_hc)+lane_off)&gt;=v_sh^2/a_sh,((B97-1)*u_d/2*(1+f_hc)+lane_off)/v_sh+v_sh/a_sh,2*SQRT(((B97-1)*u_d/2*(1+f_hc)+lane_off)/a_sh)))</f>
        <v>6.51428571428571</v>
      </c>
      <c r="O97" s="47" t="n">
        <f aca="false">2*t_sh+2*t_turn+2*M97+2*N97</f>
        <v>86.0934619144397</v>
      </c>
      <c r="P97" s="47" t="n">
        <f aca="false">SUMPRODUCT((Tc_idx&lt;=C97)*(ROUNDUP(lam_total*INDEX(Tc_P,C97,0)*O97/(3600*rho_max)-0.000000001,0)+(ROUNDUP(lam_total*INDEX(Tc_P,C97,0)*O97/(3600*rho_max)-0.000000001,0)&lt;min_sh)*(min_sh-ROUNDUP(lam_total*INDEX(Tc_P,C97,0)*O97/(3600*rho_max)-0.000000001,0))))</f>
        <v>12</v>
      </c>
      <c r="Q97" s="3" t="n">
        <f aca="false">ROUNDUP(P97-0.000000001,0)+spares</f>
        <v>14</v>
      </c>
      <c r="R97" s="45" t="n">
        <f aca="false">B97*C97*(2*H97-G97*lpl)</f>
        <v>4800</v>
      </c>
      <c r="S97" s="45" t="n">
        <f aca="false">R97*fill</f>
        <v>4080</v>
      </c>
      <c r="T97" s="45" t="n">
        <f aca="false">I97*J97</f>
        <v>726.7</v>
      </c>
      <c r="U97" s="45" t="n">
        <f aca="false">T97*(K97+headroom)</f>
        <v>16714.1</v>
      </c>
      <c r="V97" s="45" t="n">
        <f aca="false">G97*c_lift</f>
        <v>300000</v>
      </c>
      <c r="W97" s="45" t="n">
        <f aca="false">Q97*c_shut</f>
        <v>700000</v>
      </c>
      <c r="X97" s="45" t="n">
        <f aca="false">R97*c_pos</f>
        <v>480000</v>
      </c>
      <c r="Y97" s="45" t="n">
        <f aca="false">T97*c_m2+U97*c_m3</f>
        <v>792103</v>
      </c>
      <c r="Z97" s="45" t="n">
        <f aca="false">SUM(V97:Y97)</f>
        <v>2272103</v>
      </c>
      <c r="AA97" s="34" t="n">
        <f aca="false">B97*u_d/(H97*u_w)</f>
        <v>0.181395348837209</v>
      </c>
      <c r="AB97" s="46" t="n">
        <f aca="false">IF(G97=0,0,F97/G97)</f>
        <v>0.378809523809524</v>
      </c>
      <c r="AC97" s="46" t="n">
        <f aca="false">IF(G97&gt;1,F97/(G97-1),"n/a")</f>
        <v>0.757619047619048</v>
      </c>
      <c r="AD97" s="47" t="n">
        <f aca="false">moves_day*m_pallet*9.81*INDEX(Tc_mh,C97)/3600000</f>
        <v>13.49856</v>
      </c>
      <c r="AE97" s="3" t="n">
        <f aca="false">IF(AND(K97&lt;=H_max,H97&lt;=300,OR(lane_policy="Free (optimize N_C)",B97=sku_pal),OR(env_use="No",AND(I97&lt;=L_bldg,J97&lt;=W_bldg),AND(I97&lt;=W_bldg,J97&lt;=L_bldg))),1,0)</f>
        <v>0</v>
      </c>
      <c r="AF97" s="48" t="n">
        <f aca="false">IF(obj_mode="Total cost",Z97,IF(obj_mode="Shuttle cycle",O97,T97))</f>
        <v>2272103</v>
      </c>
      <c r="AG97" s="3" t="n">
        <f aca="false">IF(AE97=1,AF97*(1+A97*0.0000000001),1E+099)</f>
        <v>1E+099</v>
      </c>
      <c r="AH97" s="3" t="str">
        <f aca="false">IF(AE97=1,"",IF(K97&gt;H_max,"height",IF(AND(lane_policy&lt;&gt;"Free (optimize N_C)",B97&lt;&gt;sku_pal),"lane policy","footprint")))</f>
        <v>height</v>
      </c>
    </row>
    <row r="98" customFormat="false" ht="15" hidden="false" customHeight="true" outlineLevel="0" collapsed="false">
      <c r="A98" s="3" t="n">
        <v>91</v>
      </c>
      <c r="B98" s="3" t="n">
        <f aca="false">$F$3</f>
        <v>6</v>
      </c>
      <c r="C98" s="3" t="n">
        <v>11</v>
      </c>
      <c r="D98" s="46" t="n">
        <f aca="false">INDEX(Tc_pl,C98)</f>
        <v>0.6</v>
      </c>
      <c r="E98" s="47" t="n">
        <f aca="false">INDEX(Tc_S,C98)</f>
        <v>45.6363095238095</v>
      </c>
      <c r="F98" s="34" t="n">
        <f aca="false">lam_total*D98*E98/3600</f>
        <v>0.760605158730159</v>
      </c>
      <c r="G98" s="3" t="n">
        <f aca="false">IF(F98&lt;=0.000000000001,0,MAX(ROUNDUP(F98/rho_max-0.000000001,0),IF(redund="Yes",ROUNDUP(F98/rho_fail-0.000000001,0)+1,0)))</f>
        <v>2</v>
      </c>
      <c r="H98" s="3" t="n">
        <f aca="false">MAX(1,ROUNDUP((P_req/(B98*C98)+G98*lpl)/2-0.000000001,0))</f>
        <v>39</v>
      </c>
      <c r="I98" s="47" t="n">
        <f aca="false">H98*u_w</f>
        <v>39</v>
      </c>
      <c r="J98" s="47" t="n">
        <f aca="false">2*B98*u_d+aisle_w</f>
        <v>16.9</v>
      </c>
      <c r="K98" s="47" t="n">
        <f aca="false">C98*u_h</f>
        <v>23.65</v>
      </c>
      <c r="L98" s="47" t="n">
        <f aca="false">IF(G98=0,I98,I98/(2*G98))</f>
        <v>9.75</v>
      </c>
      <c r="M98" s="34" t="n">
        <f aca="false">((IF((lane_off+(L98))&lt;=(v_sh^2/a_sh),(4/3)*(lane_off+(L98))^1.5/SQRT(a_sh),(4/3)*(v_sh^2/a_sh)^1.5/SQRT(a_sh)+((lane_off+(L98))^2-(v_sh^2/a_sh)^2)/(2*v_sh)+(v_sh/a_sh)*((lane_off+(L98))-(v_sh^2/a_sh))))-(IF((lane_off)&lt;=(v_sh^2/a_sh),(4/3)*(lane_off)^1.5/SQRT(a_sh),(4/3)*(v_sh^2/a_sh)^1.5/SQRT(a_sh)+((lane_off)^2-(v_sh^2/a_sh)^2)/(2*v_sh)+(v_sh/a_sh)*((lane_off)-(v_sh^2/a_sh)))))/(L98)</f>
        <v>7.17167039605561</v>
      </c>
      <c r="N98" s="34" t="n">
        <f aca="false">IF(((B98-1)*u_d/2*(1+f_hc)+lane_off)&lt;=0,0,IF(((B98-1)*u_d/2*(1+f_hc)+lane_off)&gt;=v_sh^2/a_sh,((B98-1)*u_d/2*(1+f_hc)+lane_off)/v_sh+v_sh/a_sh,2*SQRT(((B98-1)*u_d/2*(1+f_hc)+lane_off)/a_sh)))</f>
        <v>6.51428571428571</v>
      </c>
      <c r="O98" s="47" t="n">
        <f aca="false">2*t_sh+2*t_turn+2*M98+2*N98</f>
        <v>85.3719122206827</v>
      </c>
      <c r="P98" s="47" t="n">
        <f aca="false">SUMPRODUCT((Tc_idx&lt;=C98)*(ROUNDUP(lam_total*INDEX(Tc_P,C98,0)*O98/(3600*rho_max)-0.000000001,0)+(ROUNDUP(lam_total*INDEX(Tc_P,C98,0)*O98/(3600*rho_max)-0.000000001,0)&lt;min_sh)*(min_sh-ROUNDUP(lam_total*INDEX(Tc_P,C98,0)*O98/(3600*rho_max)-0.000000001,0))))</f>
        <v>13</v>
      </c>
      <c r="Q98" s="3" t="n">
        <f aca="false">ROUNDUP(P98-0.000000001,0)+spares</f>
        <v>15</v>
      </c>
      <c r="R98" s="45" t="n">
        <f aca="false">B98*C98*(2*H98-G98*lpl)</f>
        <v>4752</v>
      </c>
      <c r="S98" s="45" t="n">
        <f aca="false">R98*fill</f>
        <v>4039.2</v>
      </c>
      <c r="T98" s="45" t="n">
        <f aca="false">I98*J98</f>
        <v>659.1</v>
      </c>
      <c r="U98" s="45" t="n">
        <f aca="false">T98*(K98+headroom)</f>
        <v>16576.365</v>
      </c>
      <c r="V98" s="45" t="n">
        <f aca="false">G98*c_lift</f>
        <v>300000</v>
      </c>
      <c r="W98" s="45" t="n">
        <f aca="false">Q98*c_shut</f>
        <v>750000</v>
      </c>
      <c r="X98" s="45" t="n">
        <f aca="false">R98*c_pos</f>
        <v>475200</v>
      </c>
      <c r="Y98" s="45" t="n">
        <f aca="false">T98*c_m2+U98*c_m3</f>
        <v>760930.95</v>
      </c>
      <c r="Z98" s="45" t="n">
        <f aca="false">SUM(V98:Y98)</f>
        <v>2286130.95</v>
      </c>
      <c r="AA98" s="34" t="n">
        <f aca="false">B98*u_d/(H98*u_w)</f>
        <v>0.2</v>
      </c>
      <c r="AB98" s="46" t="n">
        <f aca="false">IF(G98=0,0,F98/G98)</f>
        <v>0.380302579365079</v>
      </c>
      <c r="AC98" s="46" t="n">
        <f aca="false">IF(G98&gt;1,F98/(G98-1),"n/a")</f>
        <v>0.760605158730159</v>
      </c>
      <c r="AD98" s="47" t="n">
        <f aca="false">moves_day*m_pallet*9.81*INDEX(Tc_mh,C98)/3600000</f>
        <v>13.77978</v>
      </c>
      <c r="AE98" s="3" t="n">
        <f aca="false">IF(AND(K98&lt;=H_max,H98&lt;=300,OR(lane_policy="Free (optimize N_C)",B98=sku_pal),OR(env_use="No",AND(I98&lt;=L_bldg,J98&lt;=W_bldg),AND(I98&lt;=W_bldg,J98&lt;=L_bldg))),1,0)</f>
        <v>0</v>
      </c>
      <c r="AF98" s="48" t="n">
        <f aca="false">IF(obj_mode="Total cost",Z98,IF(obj_mode="Shuttle cycle",O98,T98))</f>
        <v>2286130.95</v>
      </c>
      <c r="AG98" s="3" t="n">
        <f aca="false">IF(AE98=1,AF98*(1+A98*0.0000000001),1E+099)</f>
        <v>1E+099</v>
      </c>
      <c r="AH98" s="3" t="str">
        <f aca="false">IF(AE98=1,"",IF(K98&gt;H_max,"height",IF(AND(lane_policy&lt;&gt;"Free (optimize N_C)",B98&lt;&gt;sku_pal),"lane policy","footprint")))</f>
        <v>height</v>
      </c>
    </row>
    <row r="99" customFormat="false" ht="15" hidden="false" customHeight="true" outlineLevel="0" collapsed="false">
      <c r="A99" s="3" t="n">
        <v>92</v>
      </c>
      <c r="B99" s="3" t="n">
        <f aca="false">$F$3</f>
        <v>6</v>
      </c>
      <c r="C99" s="3" t="n">
        <v>12</v>
      </c>
      <c r="D99" s="46" t="n">
        <f aca="false">INDEX(Tc_pl,C99)</f>
        <v>0.6</v>
      </c>
      <c r="E99" s="47" t="n">
        <f aca="false">INDEX(Tc_S,C99)</f>
        <v>45.8154761904762</v>
      </c>
      <c r="F99" s="34" t="n">
        <f aca="false">lam_total*D99*E99/3600</f>
        <v>0.76359126984127</v>
      </c>
      <c r="G99" s="3" t="n">
        <f aca="false">IF(F99&lt;=0.000000000001,0,MAX(ROUNDUP(F99/rho_max-0.000000001,0),IF(redund="Yes",ROUNDUP(F99/rho_fail-0.000000001,0)+1,0)))</f>
        <v>2</v>
      </c>
      <c r="H99" s="3" t="n">
        <f aca="false">MAX(1,ROUNDUP((P_req/(B99*C99)+G99*lpl)/2-0.000000001,0))</f>
        <v>36</v>
      </c>
      <c r="I99" s="47" t="n">
        <f aca="false">H99*u_w</f>
        <v>36</v>
      </c>
      <c r="J99" s="47" t="n">
        <f aca="false">2*B99*u_d+aisle_w</f>
        <v>16.9</v>
      </c>
      <c r="K99" s="47" t="n">
        <f aca="false">C99*u_h</f>
        <v>25.8</v>
      </c>
      <c r="L99" s="47" t="n">
        <f aca="false">IF(G99=0,I99,I99/(2*G99))</f>
        <v>9</v>
      </c>
      <c r="M99" s="34" t="n">
        <f aca="false">((IF((lane_off+(L99))&lt;=(v_sh^2/a_sh),(4/3)*(lane_off+(L99))^1.5/SQRT(a_sh),(4/3)*(v_sh^2/a_sh)^1.5/SQRT(a_sh)+((lane_off+(L99))^2-(v_sh^2/a_sh)^2)/(2*v_sh)+(v_sh/a_sh)*((lane_off+(L99))-(v_sh^2/a_sh))))-(IF((lane_off)&lt;=(v_sh^2/a_sh),(4/3)*(lane_off)^1.5/SQRT(a_sh),(4/3)*(v_sh^2/a_sh)^1.5/SQRT(a_sh)+((lane_off)^2-(v_sh^2/a_sh)^2)/(2*v_sh)+(v_sh/a_sh)*((lane_off)-(v_sh^2/a_sh)))))/(L99)</f>
        <v>6.90055959572691</v>
      </c>
      <c r="N99" s="34" t="n">
        <f aca="false">IF(((B99-1)*u_d/2*(1+f_hc)+lane_off)&lt;=0,0,IF(((B99-1)*u_d/2*(1+f_hc)+lane_off)&gt;=v_sh^2/a_sh,((B99-1)*u_d/2*(1+f_hc)+lane_off)/v_sh+v_sh/a_sh,2*SQRT(((B99-1)*u_d/2*(1+f_hc)+lane_off)/a_sh)))</f>
        <v>6.51428571428571</v>
      </c>
      <c r="O99" s="47" t="n">
        <f aca="false">2*t_sh+2*t_turn+2*M99+2*N99</f>
        <v>84.8296906200253</v>
      </c>
      <c r="P99" s="47" t="n">
        <f aca="false">SUMPRODUCT((Tc_idx&lt;=C99)*(ROUNDUP(lam_total*INDEX(Tc_P,C99,0)*O99/(3600*rho_max)-0.000000001,0)+(ROUNDUP(lam_total*INDEX(Tc_P,C99,0)*O99/(3600*rho_max)-0.000000001,0)&lt;min_sh)*(min_sh-ROUNDUP(lam_total*INDEX(Tc_P,C99,0)*O99/(3600*rho_max)-0.000000001,0))))</f>
        <v>14</v>
      </c>
      <c r="Q99" s="3" t="n">
        <f aca="false">ROUNDUP(P99-0.000000001,0)+spares</f>
        <v>16</v>
      </c>
      <c r="R99" s="45" t="n">
        <f aca="false">B99*C99*(2*H99-G99*lpl)</f>
        <v>4752</v>
      </c>
      <c r="S99" s="45" t="n">
        <f aca="false">R99*fill</f>
        <v>4039.2</v>
      </c>
      <c r="T99" s="45" t="n">
        <f aca="false">I99*J99</f>
        <v>608.4</v>
      </c>
      <c r="U99" s="45" t="n">
        <f aca="false">T99*(K99+headroom)</f>
        <v>16609.32</v>
      </c>
      <c r="V99" s="45" t="n">
        <f aca="false">G99*c_lift</f>
        <v>300000</v>
      </c>
      <c r="W99" s="45" t="n">
        <f aca="false">Q99*c_shut</f>
        <v>800000</v>
      </c>
      <c r="X99" s="45" t="n">
        <f aca="false">R99*c_pos</f>
        <v>475200</v>
      </c>
      <c r="Y99" s="45" t="n">
        <f aca="false">T99*c_m2+U99*c_m3</f>
        <v>741639.6</v>
      </c>
      <c r="Z99" s="45" t="n">
        <f aca="false">SUM(V99:Y99)</f>
        <v>2316839.6</v>
      </c>
      <c r="AA99" s="34" t="n">
        <f aca="false">B99*u_d/(H99*u_w)</f>
        <v>0.216666666666667</v>
      </c>
      <c r="AB99" s="46" t="n">
        <f aca="false">IF(G99=0,0,F99/G99)</f>
        <v>0.381795634920635</v>
      </c>
      <c r="AC99" s="46" t="n">
        <f aca="false">IF(G99&gt;1,F99/(G99-1),"n/a")</f>
        <v>0.76359126984127</v>
      </c>
      <c r="AD99" s="47" t="n">
        <f aca="false">moves_day*m_pallet*9.81*INDEX(Tc_mh,C99)/3600000</f>
        <v>14.061</v>
      </c>
      <c r="AE99" s="3" t="n">
        <f aca="false">IF(AND(K99&lt;=H_max,H99&lt;=300,OR(lane_policy="Free (optimize N_C)",B99=sku_pal),OR(env_use="No",AND(I99&lt;=L_bldg,J99&lt;=W_bldg),AND(I99&lt;=W_bldg,J99&lt;=L_bldg))),1,0)</f>
        <v>0</v>
      </c>
      <c r="AF99" s="48" t="n">
        <f aca="false">IF(obj_mode="Total cost",Z99,IF(obj_mode="Shuttle cycle",O99,T99))</f>
        <v>2316839.6</v>
      </c>
      <c r="AG99" s="3" t="n">
        <f aca="false">IF(AE99=1,AF99*(1+A99*0.0000000001),1E+099)</f>
        <v>1E+099</v>
      </c>
      <c r="AH99" s="3" t="str">
        <f aca="false">IF(AE99=1,"",IF(K99&gt;H_max,"height",IF(AND(lane_policy&lt;&gt;"Free (optimize N_C)",B99&lt;&gt;sku_pal),"lane policy","footprint")))</f>
        <v>height</v>
      </c>
    </row>
    <row r="100" customFormat="false" ht="15" hidden="false" customHeight="true" outlineLevel="0" collapsed="false">
      <c r="A100" s="3" t="n">
        <v>93</v>
      </c>
      <c r="B100" s="3" t="n">
        <f aca="false">$F$3</f>
        <v>6</v>
      </c>
      <c r="C100" s="3" t="n">
        <v>13</v>
      </c>
      <c r="D100" s="46" t="n">
        <f aca="false">INDEX(Tc_pl,C100)</f>
        <v>0.6</v>
      </c>
      <c r="E100" s="47" t="n">
        <f aca="false">INDEX(Tc_S,C100)</f>
        <v>45.9946428571429</v>
      </c>
      <c r="F100" s="34" t="n">
        <f aca="false">lam_total*D100*E100/3600</f>
        <v>0.766577380952381</v>
      </c>
      <c r="G100" s="3" t="n">
        <f aca="false">IF(F100&lt;=0.000000000001,0,MAX(ROUNDUP(F100/rho_max-0.000000001,0),IF(redund="Yes",ROUNDUP(F100/rho_fail-0.000000001,0)+1,0)))</f>
        <v>2</v>
      </c>
      <c r="H100" s="3" t="n">
        <f aca="false">MAX(1,ROUNDUP((P_req/(B100*C100)+G100*lpl)/2-0.000000001,0))</f>
        <v>34</v>
      </c>
      <c r="I100" s="47" t="n">
        <f aca="false">H100*u_w</f>
        <v>34</v>
      </c>
      <c r="J100" s="47" t="n">
        <f aca="false">2*B100*u_d+aisle_w</f>
        <v>16.9</v>
      </c>
      <c r="K100" s="47" t="n">
        <f aca="false">C100*u_h</f>
        <v>27.95</v>
      </c>
      <c r="L100" s="47" t="n">
        <f aca="false">IF(G100=0,I100,I100/(2*G100))</f>
        <v>8.5</v>
      </c>
      <c r="M100" s="34" t="n">
        <f aca="false">((IF((lane_off+(L100))&lt;=(v_sh^2/a_sh),(4/3)*(lane_off+(L100))^1.5/SQRT(a_sh),(4/3)*(v_sh^2/a_sh)^1.5/SQRT(a_sh)+((lane_off+(L100))^2-(v_sh^2/a_sh)^2)/(2*v_sh)+(v_sh/a_sh)*((lane_off+(L100))-(v_sh^2/a_sh))))-(IF((lane_off)&lt;=(v_sh^2/a_sh),(4/3)*(lane_off)^1.5/SQRT(a_sh),(4/3)*(v_sh^2/a_sh)^1.5/SQRT(a_sh)+((lane_off)^2-(v_sh^2/a_sh)^2)/(2*v_sh)+(v_sh/a_sh)*((lane_off)-(v_sh^2/a_sh)))))/(L100)</f>
        <v>6.71950007614782</v>
      </c>
      <c r="N100" s="34" t="n">
        <f aca="false">IF(((B100-1)*u_d/2*(1+f_hc)+lane_off)&lt;=0,0,IF(((B100-1)*u_d/2*(1+f_hc)+lane_off)&gt;=v_sh^2/a_sh,((B100-1)*u_d/2*(1+f_hc)+lane_off)/v_sh+v_sh/a_sh,2*SQRT(((B100-1)*u_d/2*(1+f_hc)+lane_off)/a_sh)))</f>
        <v>6.51428571428571</v>
      </c>
      <c r="O100" s="47" t="n">
        <f aca="false">2*t_sh+2*t_turn+2*M100+2*N100</f>
        <v>84.4675715808671</v>
      </c>
      <c r="P100" s="47" t="n">
        <f aca="false">SUMPRODUCT((Tc_idx&lt;=C100)*(ROUNDUP(lam_total*INDEX(Tc_P,C100,0)*O100/(3600*rho_max)-0.000000001,0)+(ROUNDUP(lam_total*INDEX(Tc_P,C100,0)*O100/(3600*rho_max)-0.000000001,0)&lt;min_sh)*(min_sh-ROUNDUP(lam_total*INDEX(Tc_P,C100,0)*O100/(3600*rho_max)-0.000000001,0))))</f>
        <v>15</v>
      </c>
      <c r="Q100" s="3" t="n">
        <f aca="false">ROUNDUP(P100-0.000000001,0)+spares</f>
        <v>17</v>
      </c>
      <c r="R100" s="45" t="n">
        <f aca="false">B100*C100*(2*H100-G100*lpl)</f>
        <v>4836</v>
      </c>
      <c r="S100" s="45" t="n">
        <f aca="false">R100*fill</f>
        <v>4110.6</v>
      </c>
      <c r="T100" s="45" t="n">
        <f aca="false">I100*J100</f>
        <v>574.6</v>
      </c>
      <c r="U100" s="45" t="n">
        <f aca="false">T100*(K100+headroom)</f>
        <v>16921.97</v>
      </c>
      <c r="V100" s="45" t="n">
        <f aca="false">G100*c_lift</f>
        <v>300000</v>
      </c>
      <c r="W100" s="45" t="n">
        <f aca="false">Q100*c_shut</f>
        <v>850000</v>
      </c>
      <c r="X100" s="45" t="n">
        <f aca="false">R100*c_pos</f>
        <v>483600</v>
      </c>
      <c r="Y100" s="45" t="n">
        <f aca="false">T100*c_m2+U100*c_m3</f>
        <v>737499.1</v>
      </c>
      <c r="Z100" s="45" t="n">
        <f aca="false">SUM(V100:Y100)</f>
        <v>2371099.1</v>
      </c>
      <c r="AA100" s="34" t="n">
        <f aca="false">B100*u_d/(H100*u_w)</f>
        <v>0.229411764705882</v>
      </c>
      <c r="AB100" s="46" t="n">
        <f aca="false">IF(G100=0,0,F100/G100)</f>
        <v>0.383288690476191</v>
      </c>
      <c r="AC100" s="46" t="n">
        <f aca="false">IF(G100&gt;1,F100/(G100-1),"n/a")</f>
        <v>0.766577380952381</v>
      </c>
      <c r="AD100" s="47" t="n">
        <f aca="false">moves_day*m_pallet*9.81*INDEX(Tc_mh,C100)/3600000</f>
        <v>14.34222</v>
      </c>
      <c r="AE100" s="3" t="n">
        <f aca="false">IF(AND(K100&lt;=H_max,H100&lt;=300,OR(lane_policy="Free (optimize N_C)",B100=sku_pal),OR(env_use="No",AND(I100&lt;=L_bldg,J100&lt;=W_bldg),AND(I100&lt;=W_bldg,J100&lt;=L_bldg))),1,0)</f>
        <v>0</v>
      </c>
      <c r="AF100" s="48" t="n">
        <f aca="false">IF(obj_mode="Total cost",Z100,IF(obj_mode="Shuttle cycle",O100,T100))</f>
        <v>2371099.1</v>
      </c>
      <c r="AG100" s="3" t="n">
        <f aca="false">IF(AE100=1,AF100*(1+A100*0.0000000001),1E+099)</f>
        <v>1E+099</v>
      </c>
      <c r="AH100" s="3" t="str">
        <f aca="false">IF(AE100=1,"",IF(K100&gt;H_max,"height",IF(AND(lane_policy&lt;&gt;"Free (optimize N_C)",B100&lt;&gt;sku_pal),"lane policy","footprint")))</f>
        <v>height</v>
      </c>
    </row>
    <row r="101" customFormat="false" ht="15" hidden="false" customHeight="true" outlineLevel="0" collapsed="false">
      <c r="A101" s="3" t="n">
        <v>94</v>
      </c>
      <c r="B101" s="3" t="n">
        <f aca="false">$F$3</f>
        <v>6</v>
      </c>
      <c r="C101" s="3" t="n">
        <v>14</v>
      </c>
      <c r="D101" s="46" t="n">
        <f aca="false">INDEX(Tc_pl,C101)</f>
        <v>0.6</v>
      </c>
      <c r="E101" s="47" t="n">
        <f aca="false">INDEX(Tc_S,C101)</f>
        <v>46.1738095238095</v>
      </c>
      <c r="F101" s="34" t="n">
        <f aca="false">lam_total*D101*E101/3600</f>
        <v>0.769563492063492</v>
      </c>
      <c r="G101" s="3" t="n">
        <f aca="false">IF(F101&lt;=0.000000000001,0,MAX(ROUNDUP(F101/rho_max-0.000000001,0),IF(redund="Yes",ROUNDUP(F101/rho_fail-0.000000001,0)+1,0)))</f>
        <v>2</v>
      </c>
      <c r="H101" s="3" t="n">
        <f aca="false">MAX(1,ROUNDUP((P_req/(B101*C101)+G101*lpl)/2-0.000000001,0))</f>
        <v>32</v>
      </c>
      <c r="I101" s="47" t="n">
        <f aca="false">H101*u_w</f>
        <v>32</v>
      </c>
      <c r="J101" s="47" t="n">
        <f aca="false">2*B101*u_d+aisle_w</f>
        <v>16.9</v>
      </c>
      <c r="K101" s="47" t="n">
        <f aca="false">C101*u_h</f>
        <v>30.1</v>
      </c>
      <c r="L101" s="47" t="n">
        <f aca="false">IF(G101=0,I101,I101/(2*G101))</f>
        <v>8</v>
      </c>
      <c r="M101" s="34" t="n">
        <f aca="false">((IF((lane_off+(L101))&lt;=(v_sh^2/a_sh),(4/3)*(lane_off+(L101))^1.5/SQRT(a_sh),(4/3)*(v_sh^2/a_sh)^1.5/SQRT(a_sh)+((lane_off+(L101))^2-(v_sh^2/a_sh)^2)/(2*v_sh)+(v_sh/a_sh)*((lane_off+(L101))-(v_sh^2/a_sh))))-(IF((lane_off)&lt;=(v_sh^2/a_sh),(4/3)*(lane_off)^1.5/SQRT(a_sh),(4/3)*(v_sh^2/a_sh)^1.5/SQRT(a_sh)+((lane_off)^2-(v_sh^2/a_sh)^2)/(2*v_sh)+(v_sh/a_sh)*((lane_off)-(v_sh^2/a_sh)))))/(L101)</f>
        <v>6.53812954519278</v>
      </c>
      <c r="N101" s="34" t="n">
        <f aca="false">IF(((B101-1)*u_d/2*(1+f_hc)+lane_off)&lt;=0,0,IF(((B101-1)*u_d/2*(1+f_hc)+lane_off)&gt;=v_sh^2/a_sh,((B101-1)*u_d/2*(1+f_hc)+lane_off)/v_sh+v_sh/a_sh,2*SQRT(((B101-1)*u_d/2*(1+f_hc)+lane_off)/a_sh)))</f>
        <v>6.51428571428571</v>
      </c>
      <c r="O101" s="47" t="n">
        <f aca="false">2*t_sh+2*t_turn+2*M101+2*N101</f>
        <v>84.104830518957</v>
      </c>
      <c r="P101" s="47" t="n">
        <f aca="false">SUMPRODUCT((Tc_idx&lt;=C101)*(ROUNDUP(lam_total*INDEX(Tc_P,C101,0)*O101/(3600*rho_max)-0.000000001,0)+(ROUNDUP(lam_total*INDEX(Tc_P,C101,0)*O101/(3600*rho_max)-0.000000001,0)&lt;min_sh)*(min_sh-ROUNDUP(lam_total*INDEX(Tc_P,C101,0)*O101/(3600*rho_max)-0.000000001,0))))</f>
        <v>16</v>
      </c>
      <c r="Q101" s="3" t="n">
        <f aca="false">ROUNDUP(P101-0.000000001,0)+spares</f>
        <v>18</v>
      </c>
      <c r="R101" s="45" t="n">
        <f aca="false">B101*C101*(2*H101-G101*lpl)</f>
        <v>4872</v>
      </c>
      <c r="S101" s="45" t="n">
        <f aca="false">R101*fill</f>
        <v>4141.2</v>
      </c>
      <c r="T101" s="45" t="n">
        <f aca="false">I101*J101</f>
        <v>540.8</v>
      </c>
      <c r="U101" s="45" t="n">
        <f aca="false">T101*(K101+headroom)</f>
        <v>17089.28</v>
      </c>
      <c r="V101" s="45" t="n">
        <f aca="false">G101*c_lift</f>
        <v>300000</v>
      </c>
      <c r="W101" s="45" t="n">
        <f aca="false">Q101*c_shut</f>
        <v>900000</v>
      </c>
      <c r="X101" s="45" t="n">
        <f aca="false">R101*c_pos</f>
        <v>487200</v>
      </c>
      <c r="Y101" s="45" t="n">
        <f aca="false">T101*c_m2+U101*c_m3</f>
        <v>728998.4</v>
      </c>
      <c r="Z101" s="45" t="n">
        <f aca="false">SUM(V101:Y101)</f>
        <v>2416198.4</v>
      </c>
      <c r="AA101" s="34" t="n">
        <f aca="false">B101*u_d/(H101*u_w)</f>
        <v>0.24375</v>
      </c>
      <c r="AB101" s="46" t="n">
        <f aca="false">IF(G101=0,0,F101/G101)</f>
        <v>0.384781746031746</v>
      </c>
      <c r="AC101" s="46" t="n">
        <f aca="false">IF(G101&gt;1,F101/(G101-1),"n/a")</f>
        <v>0.769563492063492</v>
      </c>
      <c r="AD101" s="47" t="n">
        <f aca="false">moves_day*m_pallet*9.81*INDEX(Tc_mh,C101)/3600000</f>
        <v>14.62344</v>
      </c>
      <c r="AE101" s="3" t="n">
        <f aca="false">IF(AND(K101&lt;=H_max,H101&lt;=300,OR(lane_policy="Free (optimize N_C)",B101=sku_pal),OR(env_use="No",AND(I101&lt;=L_bldg,J101&lt;=W_bldg),AND(I101&lt;=W_bldg,J101&lt;=L_bldg))),1,0)</f>
        <v>0</v>
      </c>
      <c r="AF101" s="48" t="n">
        <f aca="false">IF(obj_mode="Total cost",Z101,IF(obj_mode="Shuttle cycle",O101,T101))</f>
        <v>2416198.4</v>
      </c>
      <c r="AG101" s="3" t="n">
        <f aca="false">IF(AE101=1,AF101*(1+A101*0.0000000001),1E+099)</f>
        <v>1E+099</v>
      </c>
      <c r="AH101" s="3" t="str">
        <f aca="false">IF(AE101=1,"",IF(K101&gt;H_max,"height",IF(AND(lane_policy&lt;&gt;"Free (optimize N_C)",B101&lt;&gt;sku_pal),"lane policy","footprint")))</f>
        <v>height</v>
      </c>
    </row>
    <row r="102" customFormat="false" ht="15" hidden="false" customHeight="true" outlineLevel="0" collapsed="false">
      <c r="A102" s="3" t="n">
        <v>95</v>
      </c>
      <c r="B102" s="3" t="n">
        <f aca="false">$F$3</f>
        <v>6</v>
      </c>
      <c r="C102" s="3" t="n">
        <v>15</v>
      </c>
      <c r="D102" s="46" t="n">
        <f aca="false">INDEX(Tc_pl,C102)</f>
        <v>0.6</v>
      </c>
      <c r="E102" s="47" t="n">
        <f aca="false">INDEX(Tc_S,C102)</f>
        <v>46.3529761904762</v>
      </c>
      <c r="F102" s="34" t="n">
        <f aca="false">lam_total*D102*E102/3600</f>
        <v>0.772549603174603</v>
      </c>
      <c r="G102" s="3" t="n">
        <f aca="false">IF(F102&lt;=0.000000000001,0,MAX(ROUNDUP(F102/rho_max-0.000000001,0),IF(redund="Yes",ROUNDUP(F102/rho_fail-0.000000001,0)+1,0)))</f>
        <v>2</v>
      </c>
      <c r="H102" s="3" t="n">
        <f aca="false">MAX(1,ROUNDUP((P_req/(B102*C102)+G102*lpl)/2-0.000000001,0))</f>
        <v>30</v>
      </c>
      <c r="I102" s="47" t="n">
        <f aca="false">H102*u_w</f>
        <v>30</v>
      </c>
      <c r="J102" s="47" t="n">
        <f aca="false">2*B102*u_d+aisle_w</f>
        <v>16.9</v>
      </c>
      <c r="K102" s="47" t="n">
        <f aca="false">C102*u_h</f>
        <v>32.25</v>
      </c>
      <c r="L102" s="47" t="n">
        <f aca="false">IF(G102=0,I102,I102/(2*G102))</f>
        <v>7.5</v>
      </c>
      <c r="M102" s="34" t="n">
        <f aca="false">((IF((lane_off+(L102))&lt;=(v_sh^2/a_sh),(4/3)*(lane_off+(L102))^1.5/SQRT(a_sh),(4/3)*(v_sh^2/a_sh)^1.5/SQRT(a_sh)+((lane_off+(L102))^2-(v_sh^2/a_sh)^2)/(2*v_sh)+(v_sh/a_sh)*((lane_off+(L102))-(v_sh^2/a_sh))))-(IF((lane_off)&lt;=(v_sh^2/a_sh),(4/3)*(lane_off)^1.5/SQRT(a_sh),(4/3)*(v_sh^2/a_sh)^1.5/SQRT(a_sh)+((lane_off)^2-(v_sh^2/a_sh)^2)/(2*v_sh)+(v_sh/a_sh)*((lane_off)-(v_sh^2/a_sh)))))/(L102)</f>
        <v>6.35638580058658</v>
      </c>
      <c r="N102" s="34" t="n">
        <f aca="false">IF(((B102-1)*u_d/2*(1+f_hc)+lane_off)&lt;=0,0,IF(((B102-1)*u_d/2*(1+f_hc)+lane_off)&gt;=v_sh^2/a_sh,((B102-1)*u_d/2*(1+f_hc)+lane_off)/v_sh+v_sh/a_sh,2*SQRT(((B102-1)*u_d/2*(1+f_hc)+lane_off)/a_sh)))</f>
        <v>6.51428571428571</v>
      </c>
      <c r="O102" s="47" t="n">
        <f aca="false">2*t_sh+2*t_turn+2*M102+2*N102</f>
        <v>83.7413430297446</v>
      </c>
      <c r="P102" s="47" t="n">
        <f aca="false">SUMPRODUCT((Tc_idx&lt;=C102)*(ROUNDUP(lam_total*INDEX(Tc_P,C102,0)*O102/(3600*rho_max)-0.000000001,0)+(ROUNDUP(lam_total*INDEX(Tc_P,C102,0)*O102/(3600*rho_max)-0.000000001,0)&lt;min_sh)*(min_sh-ROUNDUP(lam_total*INDEX(Tc_P,C102,0)*O102/(3600*rho_max)-0.000000001,0))))</f>
        <v>17</v>
      </c>
      <c r="Q102" s="3" t="n">
        <f aca="false">ROUNDUP(P102-0.000000001,0)+spares</f>
        <v>19</v>
      </c>
      <c r="R102" s="45" t="n">
        <f aca="false">B102*C102*(2*H102-G102*lpl)</f>
        <v>4860</v>
      </c>
      <c r="S102" s="45" t="n">
        <f aca="false">R102*fill</f>
        <v>4131</v>
      </c>
      <c r="T102" s="45" t="n">
        <f aca="false">I102*J102</f>
        <v>507</v>
      </c>
      <c r="U102" s="45" t="n">
        <f aca="false">T102*(K102+headroom)</f>
        <v>17111.25</v>
      </c>
      <c r="V102" s="45" t="n">
        <f aca="false">G102*c_lift</f>
        <v>300000</v>
      </c>
      <c r="W102" s="45" t="n">
        <f aca="false">Q102*c_shut</f>
        <v>950000</v>
      </c>
      <c r="X102" s="45" t="n">
        <f aca="false">R102*c_pos</f>
        <v>486000</v>
      </c>
      <c r="Y102" s="45" t="n">
        <f aca="false">T102*c_m2+U102*c_m3</f>
        <v>716137.5</v>
      </c>
      <c r="Z102" s="45" t="n">
        <f aca="false">SUM(V102:Y102)</f>
        <v>2452137.5</v>
      </c>
      <c r="AA102" s="34" t="n">
        <f aca="false">B102*u_d/(H102*u_w)</f>
        <v>0.26</v>
      </c>
      <c r="AB102" s="46" t="n">
        <f aca="false">IF(G102=0,0,F102/G102)</f>
        <v>0.386274801587302</v>
      </c>
      <c r="AC102" s="46" t="n">
        <f aca="false">IF(G102&gt;1,F102/(G102-1),"n/a")</f>
        <v>0.772549603174603</v>
      </c>
      <c r="AD102" s="47" t="n">
        <f aca="false">moves_day*m_pallet*9.81*INDEX(Tc_mh,C102)/3600000</f>
        <v>14.90466</v>
      </c>
      <c r="AE102" s="3" t="n">
        <f aca="false">IF(AND(K102&lt;=H_max,H102&lt;=300,OR(lane_policy="Free (optimize N_C)",B102=sku_pal),OR(env_use="No",AND(I102&lt;=L_bldg,J102&lt;=W_bldg),AND(I102&lt;=W_bldg,J102&lt;=L_bldg))),1,0)</f>
        <v>0</v>
      </c>
      <c r="AF102" s="48" t="n">
        <f aca="false">IF(obj_mode="Total cost",Z102,IF(obj_mode="Shuttle cycle",O102,T102))</f>
        <v>2452137.5</v>
      </c>
      <c r="AG102" s="3" t="n">
        <f aca="false">IF(AE102=1,AF102*(1+A102*0.0000000001),1E+099)</f>
        <v>1E+099</v>
      </c>
      <c r="AH102" s="3" t="str">
        <f aca="false">IF(AE102=1,"",IF(K102&gt;H_max,"height",IF(AND(lane_policy&lt;&gt;"Free (optimize N_C)",B102&lt;&gt;sku_pal),"lane policy","footprint")))</f>
        <v>height</v>
      </c>
    </row>
    <row r="103" customFormat="false" ht="15" hidden="false" customHeight="true" outlineLevel="0" collapsed="false">
      <c r="A103" s="3" t="n">
        <v>96</v>
      </c>
      <c r="B103" s="3" t="n">
        <f aca="false">$F$3</f>
        <v>6</v>
      </c>
      <c r="C103" s="3" t="n">
        <v>16</v>
      </c>
      <c r="D103" s="46" t="n">
        <f aca="false">INDEX(Tc_pl,C103)</f>
        <v>0.6</v>
      </c>
      <c r="E103" s="47" t="n">
        <f aca="false">INDEX(Tc_S,C103)</f>
        <v>46.5321428571429</v>
      </c>
      <c r="F103" s="34" t="n">
        <f aca="false">lam_total*D103*E103/3600</f>
        <v>0.775535714285714</v>
      </c>
      <c r="G103" s="3" t="n">
        <f aca="false">IF(F103&lt;=0.000000000001,0,MAX(ROUNDUP(F103/rho_max-0.000000001,0),IF(redund="Yes",ROUNDUP(F103/rho_fail-0.000000001,0)+1,0)))</f>
        <v>2</v>
      </c>
      <c r="H103" s="3" t="n">
        <f aca="false">MAX(1,ROUNDUP((P_req/(B103*C103)+G103*lpl)/2-0.000000001,0))</f>
        <v>28</v>
      </c>
      <c r="I103" s="47" t="n">
        <f aca="false">H103*u_w</f>
        <v>28</v>
      </c>
      <c r="J103" s="47" t="n">
        <f aca="false">2*B103*u_d+aisle_w</f>
        <v>16.9</v>
      </c>
      <c r="K103" s="47" t="n">
        <f aca="false">C103*u_h</f>
        <v>34.4</v>
      </c>
      <c r="L103" s="47" t="n">
        <f aca="false">IF(G103=0,I103,I103/(2*G103))</f>
        <v>7</v>
      </c>
      <c r="M103" s="34" t="n">
        <f aca="false">((IF((lane_off+(L103))&lt;=(v_sh^2/a_sh),(4/3)*(lane_off+(L103))^1.5/SQRT(a_sh),(4/3)*(v_sh^2/a_sh)^1.5/SQRT(a_sh)+((lane_off+(L103))^2-(v_sh^2/a_sh)^2)/(2*v_sh)+(v_sh/a_sh)*((lane_off+(L103))-(v_sh^2/a_sh))))-(IF((lane_off)&lt;=(v_sh^2/a_sh),(4/3)*(lane_off)^1.5/SQRT(a_sh),(4/3)*(v_sh^2/a_sh)^1.5/SQRT(a_sh)+((lane_off)^2-(v_sh^2/a_sh)^2)/(2*v_sh)+(v_sh/a_sh)*((lane_off)-(v_sh^2/a_sh)))))/(L103)</f>
        <v>6.17418886797542</v>
      </c>
      <c r="N103" s="34" t="n">
        <f aca="false">IF(((B103-1)*u_d/2*(1+f_hc)+lane_off)&lt;=0,0,IF(((B103-1)*u_d/2*(1+f_hc)+lane_off)&gt;=v_sh^2/a_sh,((B103-1)*u_d/2*(1+f_hc)+lane_off)/v_sh+v_sh/a_sh,2*SQRT(((B103-1)*u_d/2*(1+f_hc)+lane_off)/a_sh)))</f>
        <v>6.51428571428571</v>
      </c>
      <c r="O103" s="47" t="n">
        <f aca="false">2*t_sh+2*t_turn+2*M103+2*N103</f>
        <v>83.3769491645223</v>
      </c>
      <c r="P103" s="47" t="n">
        <f aca="false">SUMPRODUCT((Tc_idx&lt;=C103)*(ROUNDUP(lam_total*INDEX(Tc_P,C103,0)*O103/(3600*rho_max)-0.000000001,0)+(ROUNDUP(lam_total*INDEX(Tc_P,C103,0)*O103/(3600*rho_max)-0.000000001,0)&lt;min_sh)*(min_sh-ROUNDUP(lam_total*INDEX(Tc_P,C103,0)*O103/(3600*rho_max)-0.000000001,0))))</f>
        <v>18</v>
      </c>
      <c r="Q103" s="3" t="n">
        <f aca="false">ROUNDUP(P103-0.000000001,0)+spares</f>
        <v>20</v>
      </c>
      <c r="R103" s="45" t="n">
        <f aca="false">B103*C103*(2*H103-G103*lpl)</f>
        <v>4800</v>
      </c>
      <c r="S103" s="45" t="n">
        <f aca="false">R103*fill</f>
        <v>4080</v>
      </c>
      <c r="T103" s="45" t="n">
        <f aca="false">I103*J103</f>
        <v>473.2</v>
      </c>
      <c r="U103" s="45" t="n">
        <f aca="false">T103*(K103+headroom)</f>
        <v>16987.88</v>
      </c>
      <c r="V103" s="45" t="n">
        <f aca="false">G103*c_lift</f>
        <v>300000</v>
      </c>
      <c r="W103" s="45" t="n">
        <f aca="false">Q103*c_shut</f>
        <v>1000000</v>
      </c>
      <c r="X103" s="45" t="n">
        <f aca="false">R103*c_pos</f>
        <v>480000</v>
      </c>
      <c r="Y103" s="45" t="n">
        <f aca="false">T103*c_m2+U103*c_m3</f>
        <v>698916.4</v>
      </c>
      <c r="Z103" s="45" t="n">
        <f aca="false">SUM(V103:Y103)</f>
        <v>2478916.4</v>
      </c>
      <c r="AA103" s="34" t="n">
        <f aca="false">B103*u_d/(H103*u_w)</f>
        <v>0.278571428571429</v>
      </c>
      <c r="AB103" s="46" t="n">
        <f aca="false">IF(G103=0,0,F103/G103)</f>
        <v>0.387767857142857</v>
      </c>
      <c r="AC103" s="46" t="n">
        <f aca="false">IF(G103&gt;1,F103/(G103-1),"n/a")</f>
        <v>0.775535714285714</v>
      </c>
      <c r="AD103" s="47" t="n">
        <f aca="false">moves_day*m_pallet*9.81*INDEX(Tc_mh,C103)/3600000</f>
        <v>15.18588</v>
      </c>
      <c r="AE103" s="3" t="n">
        <f aca="false">IF(AND(K103&lt;=H_max,H103&lt;=300,OR(lane_policy="Free (optimize N_C)",B103=sku_pal),OR(env_use="No",AND(I103&lt;=L_bldg,J103&lt;=W_bldg),AND(I103&lt;=W_bldg,J103&lt;=L_bldg))),1,0)</f>
        <v>0</v>
      </c>
      <c r="AF103" s="48" t="n">
        <f aca="false">IF(obj_mode="Total cost",Z103,IF(obj_mode="Shuttle cycle",O103,T103))</f>
        <v>2478916.4</v>
      </c>
      <c r="AG103" s="3" t="n">
        <f aca="false">IF(AE103=1,AF103*(1+A103*0.0000000001),1E+099)</f>
        <v>1E+099</v>
      </c>
      <c r="AH103" s="3" t="str">
        <f aca="false">IF(AE103=1,"",IF(K103&gt;H_max,"height",IF(AND(lane_policy&lt;&gt;"Free (optimize N_C)",B103&lt;&gt;sku_pal),"lane policy","footprint")))</f>
        <v>height</v>
      </c>
    </row>
    <row r="104" customFormat="false" ht="15" hidden="false" customHeight="true" outlineLevel="0" collapsed="false">
      <c r="A104" s="3" t="n">
        <v>97</v>
      </c>
      <c r="B104" s="3" t="n">
        <f aca="false">$F$3</f>
        <v>6</v>
      </c>
      <c r="C104" s="3" t="n">
        <v>17</v>
      </c>
      <c r="D104" s="46" t="n">
        <f aca="false">INDEX(Tc_pl,C104)</f>
        <v>0.6</v>
      </c>
      <c r="E104" s="47" t="n">
        <f aca="false">INDEX(Tc_S,C104)</f>
        <v>46.7113095238095</v>
      </c>
      <c r="F104" s="34" t="n">
        <f aca="false">lam_total*D104*E104/3600</f>
        <v>0.778521825396825</v>
      </c>
      <c r="G104" s="3" t="n">
        <f aca="false">IF(F104&lt;=0.000000000001,0,MAX(ROUNDUP(F104/rho_max-0.000000001,0),IF(redund="Yes",ROUNDUP(F104/rho_fail-0.000000001,0)+1,0)))</f>
        <v>2</v>
      </c>
      <c r="H104" s="3" t="n">
        <f aca="false">MAX(1,ROUNDUP((P_req/(B104*C104)+G104*lpl)/2-0.000000001,0))</f>
        <v>27</v>
      </c>
      <c r="I104" s="47" t="n">
        <f aca="false">H104*u_w</f>
        <v>27</v>
      </c>
      <c r="J104" s="47" t="n">
        <f aca="false">2*B104*u_d+aisle_w</f>
        <v>16.9</v>
      </c>
      <c r="K104" s="47" t="n">
        <f aca="false">C104*u_h</f>
        <v>36.55</v>
      </c>
      <c r="L104" s="47" t="n">
        <f aca="false">IF(G104=0,I104,I104/(2*G104))</f>
        <v>6.75</v>
      </c>
      <c r="M104" s="34" t="n">
        <f aca="false">((IF((lane_off+(L104))&lt;=(v_sh^2/a_sh),(4/3)*(lane_off+(L104))^1.5/SQRT(a_sh),(4/3)*(v_sh^2/a_sh)^1.5/SQRT(a_sh)+((lane_off+(L104))^2-(v_sh^2/a_sh)^2)/(2*v_sh)+(v_sh/a_sh)*((lane_off+(L104))-(v_sh^2/a_sh))))-(IF((lane_off)&lt;=(v_sh^2/a_sh),(4/3)*(lane_off)^1.5/SQRT(a_sh),(4/3)*(v_sh^2/a_sh)^1.5/SQRT(a_sh)+((lane_off)^2-(v_sh^2/a_sh)^2)/(2*v_sh)+(v_sh/a_sh)*((lane_off)-(v_sh^2/a_sh)))))/(L104)</f>
        <v>6.08288898477874</v>
      </c>
      <c r="N104" s="34" t="n">
        <f aca="false">IF(((B104-1)*u_d/2*(1+f_hc)+lane_off)&lt;=0,0,IF(((B104-1)*u_d/2*(1+f_hc)+lane_off)&gt;=v_sh^2/a_sh,((B104-1)*u_d/2*(1+f_hc)+lane_off)/v_sh+v_sh/a_sh,2*SQRT(((B104-1)*u_d/2*(1+f_hc)+lane_off)/a_sh)))</f>
        <v>6.51428571428571</v>
      </c>
      <c r="O104" s="47" t="n">
        <f aca="false">2*t_sh+2*t_turn+2*M104+2*N104</f>
        <v>83.1943493981289</v>
      </c>
      <c r="P104" s="47" t="n">
        <f aca="false">SUMPRODUCT((Tc_idx&lt;=C104)*(ROUNDUP(lam_total*INDEX(Tc_P,C104,0)*O104/(3600*rho_max)-0.000000001,0)+(ROUNDUP(lam_total*INDEX(Tc_P,C104,0)*O104/(3600*rho_max)-0.000000001,0)&lt;min_sh)*(min_sh-ROUNDUP(lam_total*INDEX(Tc_P,C104,0)*O104/(3600*rho_max)-0.000000001,0))))</f>
        <v>19</v>
      </c>
      <c r="Q104" s="3" t="n">
        <f aca="false">ROUNDUP(P104-0.000000001,0)+spares</f>
        <v>21</v>
      </c>
      <c r="R104" s="45" t="n">
        <f aca="false">B104*C104*(2*H104-G104*lpl)</f>
        <v>4896</v>
      </c>
      <c r="S104" s="45" t="n">
        <f aca="false">R104*fill</f>
        <v>4161.6</v>
      </c>
      <c r="T104" s="45" t="n">
        <f aca="false">I104*J104</f>
        <v>456.3</v>
      </c>
      <c r="U104" s="45" t="n">
        <f aca="false">T104*(K104+headroom)</f>
        <v>17362.215</v>
      </c>
      <c r="V104" s="45" t="n">
        <f aca="false">G104*c_lift</f>
        <v>300000</v>
      </c>
      <c r="W104" s="45" t="n">
        <f aca="false">Q104*c_shut</f>
        <v>1050000</v>
      </c>
      <c r="X104" s="45" t="n">
        <f aca="false">R104*c_pos</f>
        <v>489600</v>
      </c>
      <c r="Y104" s="45" t="n">
        <f aca="false">T104*c_m2+U104*c_m3</f>
        <v>703386.45</v>
      </c>
      <c r="Z104" s="45" t="n">
        <f aca="false">SUM(V104:Y104)</f>
        <v>2542986.45</v>
      </c>
      <c r="AA104" s="34" t="n">
        <f aca="false">B104*u_d/(H104*u_w)</f>
        <v>0.288888888888889</v>
      </c>
      <c r="AB104" s="46" t="n">
        <f aca="false">IF(G104=0,0,F104/G104)</f>
        <v>0.389260912698413</v>
      </c>
      <c r="AC104" s="46" t="n">
        <f aca="false">IF(G104&gt;1,F104/(G104-1),"n/a")</f>
        <v>0.778521825396825</v>
      </c>
      <c r="AD104" s="47" t="n">
        <f aca="false">moves_day*m_pallet*9.81*INDEX(Tc_mh,C104)/3600000</f>
        <v>15.4671</v>
      </c>
      <c r="AE104" s="3" t="n">
        <f aca="false">IF(AND(K104&lt;=H_max,H104&lt;=300,OR(lane_policy="Free (optimize N_C)",B104=sku_pal),OR(env_use="No",AND(I104&lt;=L_bldg,J104&lt;=W_bldg),AND(I104&lt;=W_bldg,J104&lt;=L_bldg))),1,0)</f>
        <v>0</v>
      </c>
      <c r="AF104" s="48" t="n">
        <f aca="false">IF(obj_mode="Total cost",Z104,IF(obj_mode="Shuttle cycle",O104,T104))</f>
        <v>2542986.45</v>
      </c>
      <c r="AG104" s="3" t="n">
        <f aca="false">IF(AE104=1,AF104*(1+A104*0.0000000001),1E+099)</f>
        <v>1E+099</v>
      </c>
      <c r="AH104" s="3" t="str">
        <f aca="false">IF(AE104=1,"",IF(K104&gt;H_max,"height",IF(AND(lane_policy&lt;&gt;"Free (optimize N_C)",B104&lt;&gt;sku_pal),"lane policy","footprint")))</f>
        <v>height</v>
      </c>
    </row>
    <row r="105" customFormat="false" ht="15" hidden="false" customHeight="true" outlineLevel="0" collapsed="false">
      <c r="A105" s="3" t="n">
        <v>98</v>
      </c>
      <c r="B105" s="3" t="n">
        <f aca="false">$F$3</f>
        <v>6</v>
      </c>
      <c r="C105" s="3" t="n">
        <v>18</v>
      </c>
      <c r="D105" s="46" t="n">
        <f aca="false">INDEX(Tc_pl,C105)</f>
        <v>0.6</v>
      </c>
      <c r="E105" s="47" t="n">
        <f aca="false">INDEX(Tc_S,C105)</f>
        <v>46.8904761904762</v>
      </c>
      <c r="F105" s="34" t="n">
        <f aca="false">lam_total*D105*E105/3600</f>
        <v>0.781507936507937</v>
      </c>
      <c r="G105" s="3" t="n">
        <f aca="false">IF(F105&lt;=0.000000000001,0,MAX(ROUNDUP(F105/rho_max-0.000000001,0),IF(redund="Yes",ROUNDUP(F105/rho_fail-0.000000001,0)+1,0)))</f>
        <v>2</v>
      </c>
      <c r="H105" s="3" t="n">
        <f aca="false">MAX(1,ROUNDUP((P_req/(B105*C105)+G105*lpl)/2-0.000000001,0))</f>
        <v>25</v>
      </c>
      <c r="I105" s="47" t="n">
        <f aca="false">H105*u_w</f>
        <v>25</v>
      </c>
      <c r="J105" s="47" t="n">
        <f aca="false">2*B105*u_d+aisle_w</f>
        <v>16.9</v>
      </c>
      <c r="K105" s="47" t="n">
        <f aca="false">C105*u_h</f>
        <v>38.7</v>
      </c>
      <c r="L105" s="47" t="n">
        <f aca="false">IF(G105=0,I105,I105/(2*G105))</f>
        <v>6.25</v>
      </c>
      <c r="M105" s="34" t="n">
        <f aca="false">((IF((lane_off+(L105))&lt;=(v_sh^2/a_sh),(4/3)*(lane_off+(L105))^1.5/SQRT(a_sh),(4/3)*(v_sh^2/a_sh)^1.5/SQRT(a_sh)+((lane_off+(L105))^2-(v_sh^2/a_sh)^2)/(2*v_sh)+(v_sh/a_sh)*((lane_off+(L105))-(v_sh^2/a_sh))))-(IF((lane_off)&lt;=(v_sh^2/a_sh),(4/3)*(lane_off)^1.5/SQRT(a_sh),(4/3)*(v_sh^2/a_sh)^1.5/SQRT(a_sh)+((lane_off)^2-(v_sh^2/a_sh)^2)/(2*v_sh)+(v_sh/a_sh)*((lane_off)-(v_sh^2/a_sh)))))/(L105)</f>
        <v>5.89980581784675</v>
      </c>
      <c r="N105" s="34" t="n">
        <f aca="false">IF(((B105-1)*u_d/2*(1+f_hc)+lane_off)&lt;=0,0,IF(((B105-1)*u_d/2*(1+f_hc)+lane_off)&gt;=v_sh^2/a_sh,((B105-1)*u_d/2*(1+f_hc)+lane_off)/v_sh+v_sh/a_sh,2*SQRT(((B105-1)*u_d/2*(1+f_hc)+lane_off)/a_sh)))</f>
        <v>6.51428571428571</v>
      </c>
      <c r="O105" s="47" t="n">
        <f aca="false">2*t_sh+2*t_turn+2*M105+2*N105</f>
        <v>82.8281830642649</v>
      </c>
      <c r="P105" s="47" t="n">
        <f aca="false">SUMPRODUCT((Tc_idx&lt;=C105)*(ROUNDUP(lam_total*INDEX(Tc_P,C105,0)*O105/(3600*rho_max)-0.000000001,0)+(ROUNDUP(lam_total*INDEX(Tc_P,C105,0)*O105/(3600*rho_max)-0.000000001,0)&lt;min_sh)*(min_sh-ROUNDUP(lam_total*INDEX(Tc_P,C105,0)*O105/(3600*rho_max)-0.000000001,0))))</f>
        <v>20</v>
      </c>
      <c r="Q105" s="3" t="n">
        <f aca="false">ROUNDUP(P105-0.000000001,0)+spares</f>
        <v>22</v>
      </c>
      <c r="R105" s="45" t="n">
        <f aca="false">B105*C105*(2*H105-G105*lpl)</f>
        <v>4752</v>
      </c>
      <c r="S105" s="45" t="n">
        <f aca="false">R105*fill</f>
        <v>4039.2</v>
      </c>
      <c r="T105" s="45" t="n">
        <f aca="false">I105*J105</f>
        <v>422.5</v>
      </c>
      <c r="U105" s="45" t="n">
        <f aca="false">T105*(K105+headroom)</f>
        <v>16984.5</v>
      </c>
      <c r="V105" s="45" t="n">
        <f aca="false">G105*c_lift</f>
        <v>300000</v>
      </c>
      <c r="W105" s="45" t="n">
        <f aca="false">Q105*c_shut</f>
        <v>1100000</v>
      </c>
      <c r="X105" s="45" t="n">
        <f aca="false">R105*c_pos</f>
        <v>475200</v>
      </c>
      <c r="Y105" s="45" t="n">
        <f aca="false">T105*c_m2+U105*c_m3</f>
        <v>678535</v>
      </c>
      <c r="Z105" s="45" t="n">
        <f aca="false">SUM(V105:Y105)</f>
        <v>2553735</v>
      </c>
      <c r="AA105" s="34" t="n">
        <f aca="false">B105*u_d/(H105*u_w)</f>
        <v>0.312</v>
      </c>
      <c r="AB105" s="46" t="n">
        <f aca="false">IF(G105=0,0,F105/G105)</f>
        <v>0.390753968253968</v>
      </c>
      <c r="AC105" s="46" t="n">
        <f aca="false">IF(G105&gt;1,F105/(G105-1),"n/a")</f>
        <v>0.781507936507937</v>
      </c>
      <c r="AD105" s="47" t="n">
        <f aca="false">moves_day*m_pallet*9.81*INDEX(Tc_mh,C105)/3600000</f>
        <v>15.74832</v>
      </c>
      <c r="AE105" s="3" t="n">
        <f aca="false">IF(AND(K105&lt;=H_max,H105&lt;=300,OR(lane_policy="Free (optimize N_C)",B105=sku_pal),OR(env_use="No",AND(I105&lt;=L_bldg,J105&lt;=W_bldg),AND(I105&lt;=W_bldg,J105&lt;=L_bldg))),1,0)</f>
        <v>0</v>
      </c>
      <c r="AF105" s="48" t="n">
        <f aca="false">IF(obj_mode="Total cost",Z105,IF(obj_mode="Shuttle cycle",O105,T105))</f>
        <v>2553735</v>
      </c>
      <c r="AG105" s="3" t="n">
        <f aca="false">IF(AE105=1,AF105*(1+A105*0.0000000001),1E+099)</f>
        <v>1E+099</v>
      </c>
      <c r="AH105" s="3" t="str">
        <f aca="false">IF(AE105=1,"",IF(K105&gt;H_max,"height",IF(AND(lane_policy&lt;&gt;"Free (optimize N_C)",B105&lt;&gt;sku_pal),"lane policy","footprint")))</f>
        <v>height</v>
      </c>
    </row>
    <row r="106" customFormat="false" ht="15" hidden="false" customHeight="true" outlineLevel="0" collapsed="false">
      <c r="A106" s="3" t="n">
        <v>99</v>
      </c>
      <c r="B106" s="3" t="n">
        <f aca="false">$F$3</f>
        <v>6</v>
      </c>
      <c r="C106" s="3" t="n">
        <v>19</v>
      </c>
      <c r="D106" s="46" t="n">
        <f aca="false">INDEX(Tc_pl,C106)</f>
        <v>0.6</v>
      </c>
      <c r="E106" s="47" t="n">
        <f aca="false">INDEX(Tc_S,C106)</f>
        <v>47.0696428571429</v>
      </c>
      <c r="F106" s="34" t="n">
        <f aca="false">lam_total*D106*E106/3600</f>
        <v>0.784494047619048</v>
      </c>
      <c r="G106" s="3" t="n">
        <f aca="false">IF(F106&lt;=0.000000000001,0,MAX(ROUNDUP(F106/rho_max-0.000000001,0),IF(redund="Yes",ROUNDUP(F106/rho_fail-0.000000001,0)+1,0)))</f>
        <v>2</v>
      </c>
      <c r="H106" s="3" t="n">
        <f aca="false">MAX(1,ROUNDUP((P_req/(B106*C106)+G106*lpl)/2-0.000000001,0))</f>
        <v>24</v>
      </c>
      <c r="I106" s="47" t="n">
        <f aca="false">H106*u_w</f>
        <v>24</v>
      </c>
      <c r="J106" s="47" t="n">
        <f aca="false">2*B106*u_d+aisle_w</f>
        <v>16.9</v>
      </c>
      <c r="K106" s="47" t="n">
        <f aca="false">C106*u_h</f>
        <v>40.85</v>
      </c>
      <c r="L106" s="47" t="n">
        <f aca="false">IF(G106=0,I106,I106/(2*G106))</f>
        <v>6</v>
      </c>
      <c r="M106" s="34" t="n">
        <f aca="false">((IF((lane_off+(L106))&lt;=(v_sh^2/a_sh),(4/3)*(lane_off+(L106))^1.5/SQRT(a_sh),(4/3)*(v_sh^2/a_sh)^1.5/SQRT(a_sh)+((lane_off+(L106))^2-(v_sh^2/a_sh)^2)/(2*v_sh)+(v_sh/a_sh)*((lane_off+(L106))-(v_sh^2/a_sh))))-(IF((lane_off)&lt;=(v_sh^2/a_sh),(4/3)*(lane_off)^1.5/SQRT(a_sh),(4/3)*(v_sh^2/a_sh)^1.5/SQRT(a_sh)+((lane_off)^2-(v_sh^2/a_sh)^2)/(2*v_sh)+(v_sh/a_sh)*((lane_off)-(v_sh^2/a_sh)))))/(L106)</f>
        <v>5.80798225073323</v>
      </c>
      <c r="N106" s="34" t="n">
        <f aca="false">IF(((B106-1)*u_d/2*(1+f_hc)+lane_off)&lt;=0,0,IF(((B106-1)*u_d/2*(1+f_hc)+lane_off)&gt;=v_sh^2/a_sh,((B106-1)*u_d/2*(1+f_hc)+lane_off)/v_sh+v_sh/a_sh,2*SQRT(((B106-1)*u_d/2*(1+f_hc)+lane_off)/a_sh)))</f>
        <v>6.51428571428571</v>
      </c>
      <c r="O106" s="47" t="n">
        <f aca="false">2*t_sh+2*t_turn+2*M106+2*N106</f>
        <v>82.6445359300379</v>
      </c>
      <c r="P106" s="47" t="n">
        <f aca="false">SUMPRODUCT((Tc_idx&lt;=C106)*(ROUNDUP(lam_total*INDEX(Tc_P,C106,0)*O106/(3600*rho_max)-0.000000001,0)+(ROUNDUP(lam_total*INDEX(Tc_P,C106,0)*O106/(3600*rho_max)-0.000000001,0)&lt;min_sh)*(min_sh-ROUNDUP(lam_total*INDEX(Tc_P,C106,0)*O106/(3600*rho_max)-0.000000001,0))))</f>
        <v>21</v>
      </c>
      <c r="Q106" s="3" t="n">
        <f aca="false">ROUNDUP(P106-0.000000001,0)+spares</f>
        <v>23</v>
      </c>
      <c r="R106" s="45" t="n">
        <f aca="false">B106*C106*(2*H106-G106*lpl)</f>
        <v>4788</v>
      </c>
      <c r="S106" s="45" t="n">
        <f aca="false">R106*fill</f>
        <v>4069.8</v>
      </c>
      <c r="T106" s="45" t="n">
        <f aca="false">I106*J106</f>
        <v>405.6</v>
      </c>
      <c r="U106" s="45" t="n">
        <f aca="false">T106*(K106+headroom)</f>
        <v>17177.16</v>
      </c>
      <c r="V106" s="45" t="n">
        <f aca="false">G106*c_lift</f>
        <v>300000</v>
      </c>
      <c r="W106" s="45" t="n">
        <f aca="false">Q106*c_shut</f>
        <v>1150000</v>
      </c>
      <c r="X106" s="45" t="n">
        <f aca="false">R106*c_pos</f>
        <v>478800</v>
      </c>
      <c r="Y106" s="45" t="n">
        <f aca="false">T106*c_m2+U106*c_m3</f>
        <v>677554.8</v>
      </c>
      <c r="Z106" s="45" t="n">
        <f aca="false">SUM(V106:Y106)</f>
        <v>2606354.8</v>
      </c>
      <c r="AA106" s="34" t="n">
        <f aca="false">B106*u_d/(H106*u_w)</f>
        <v>0.325</v>
      </c>
      <c r="AB106" s="46" t="n">
        <f aca="false">IF(G106=0,0,F106/G106)</f>
        <v>0.392247023809524</v>
      </c>
      <c r="AC106" s="46" t="n">
        <f aca="false">IF(G106&gt;1,F106/(G106-1),"n/a")</f>
        <v>0.784494047619048</v>
      </c>
      <c r="AD106" s="47" t="n">
        <f aca="false">moves_day*m_pallet*9.81*INDEX(Tc_mh,C106)/3600000</f>
        <v>16.02954</v>
      </c>
      <c r="AE106" s="3" t="n">
        <f aca="false">IF(AND(K106&lt;=H_max,H106&lt;=300,OR(lane_policy="Free (optimize N_C)",B106=sku_pal),OR(env_use="No",AND(I106&lt;=L_bldg,J106&lt;=W_bldg),AND(I106&lt;=W_bldg,J106&lt;=L_bldg))),1,0)</f>
        <v>0</v>
      </c>
      <c r="AF106" s="48" t="n">
        <f aca="false">IF(obj_mode="Total cost",Z106,IF(obj_mode="Shuttle cycle",O106,T106))</f>
        <v>2606354.8</v>
      </c>
      <c r="AG106" s="3" t="n">
        <f aca="false">IF(AE106=1,AF106*(1+A106*0.0000000001),1E+099)</f>
        <v>1E+099</v>
      </c>
      <c r="AH106" s="3" t="str">
        <f aca="false">IF(AE106=1,"",IF(K106&gt;H_max,"height",IF(AND(lane_policy&lt;&gt;"Free (optimize N_C)",B106&lt;&gt;sku_pal),"lane policy","footprint")))</f>
        <v>height</v>
      </c>
    </row>
    <row r="107" customFormat="false" ht="15" hidden="false" customHeight="true" outlineLevel="0" collapsed="false">
      <c r="A107" s="3" t="n">
        <v>100</v>
      </c>
      <c r="B107" s="3" t="n">
        <f aca="false">$F$3</f>
        <v>6</v>
      </c>
      <c r="C107" s="3" t="n">
        <v>20</v>
      </c>
      <c r="D107" s="46" t="n">
        <f aca="false">INDEX(Tc_pl,C107)</f>
        <v>0.6</v>
      </c>
      <c r="E107" s="47" t="n">
        <f aca="false">INDEX(Tc_S,C107)</f>
        <v>47.2488095238095</v>
      </c>
      <c r="F107" s="34" t="n">
        <f aca="false">lam_total*D107*E107/3600</f>
        <v>0.787480158730159</v>
      </c>
      <c r="G107" s="3" t="n">
        <f aca="false">IF(F107&lt;=0.000000000001,0,MAX(ROUNDUP(F107/rho_max-0.000000001,0),IF(redund="Yes",ROUNDUP(F107/rho_fail-0.000000001,0)+1,0)))</f>
        <v>2</v>
      </c>
      <c r="H107" s="3" t="n">
        <f aca="false">MAX(1,ROUNDUP((P_req/(B107*C107)+G107*lpl)/2-0.000000001,0))</f>
        <v>23</v>
      </c>
      <c r="I107" s="47" t="n">
        <f aca="false">H107*u_w</f>
        <v>23</v>
      </c>
      <c r="J107" s="47" t="n">
        <f aca="false">2*B107*u_d+aisle_w</f>
        <v>16.9</v>
      </c>
      <c r="K107" s="47" t="n">
        <f aca="false">C107*u_h</f>
        <v>43</v>
      </c>
      <c r="L107" s="47" t="n">
        <f aca="false">IF(G107=0,I107,I107/(2*G107))</f>
        <v>5.75</v>
      </c>
      <c r="M107" s="34" t="n">
        <f aca="false">((IF((lane_off+(L107))&lt;=(v_sh^2/a_sh),(4/3)*(lane_off+(L107))^1.5/SQRT(a_sh),(4/3)*(v_sh^2/a_sh)^1.5/SQRT(a_sh)+((lane_off+(L107))^2-(v_sh^2/a_sh)^2)/(2*v_sh)+(v_sh/a_sh)*((lane_off+(L107))-(v_sh^2/a_sh))))-(IF((lane_off)&lt;=(v_sh^2/a_sh),(4/3)*(lane_off)^1.5/SQRT(a_sh),(4/3)*(v_sh^2/a_sh)^1.5/SQRT(a_sh)+((lane_off)^2-(v_sh^2/a_sh)^2)/(2*v_sh)+(v_sh/a_sh)*((lane_off)-(v_sh^2/a_sh)))))/(L107)</f>
        <v>5.71593800076511</v>
      </c>
      <c r="N107" s="34" t="n">
        <f aca="false">IF(((B107-1)*u_d/2*(1+f_hc)+lane_off)&lt;=0,0,IF(((B107-1)*u_d/2*(1+f_hc)+lane_off)&gt;=v_sh^2/a_sh,((B107-1)*u_d/2*(1+f_hc)+lane_off)/v_sh+v_sh/a_sh,2*SQRT(((B107-1)*u_d/2*(1+f_hc)+lane_off)/a_sh)))</f>
        <v>6.51428571428571</v>
      </c>
      <c r="O107" s="47" t="n">
        <f aca="false">2*t_sh+2*t_turn+2*M107+2*N107</f>
        <v>82.4604474301016</v>
      </c>
      <c r="P107" s="47" t="n">
        <f aca="false">SUMPRODUCT((Tc_idx&lt;=C107)*(ROUNDUP(lam_total*INDEX(Tc_P,C107,0)*O107/(3600*rho_max)-0.000000001,0)+(ROUNDUP(lam_total*INDEX(Tc_P,C107,0)*O107/(3600*rho_max)-0.000000001,0)&lt;min_sh)*(min_sh-ROUNDUP(lam_total*INDEX(Tc_P,C107,0)*O107/(3600*rho_max)-0.000000001,0))))</f>
        <v>22</v>
      </c>
      <c r="Q107" s="3" t="n">
        <f aca="false">ROUNDUP(P107-0.000000001,0)+spares</f>
        <v>24</v>
      </c>
      <c r="R107" s="45" t="n">
        <f aca="false">B107*C107*(2*H107-G107*lpl)</f>
        <v>4800</v>
      </c>
      <c r="S107" s="45" t="n">
        <f aca="false">R107*fill</f>
        <v>4080</v>
      </c>
      <c r="T107" s="45" t="n">
        <f aca="false">I107*J107</f>
        <v>388.7</v>
      </c>
      <c r="U107" s="45" t="n">
        <f aca="false">T107*(K107+headroom)</f>
        <v>17297.15</v>
      </c>
      <c r="V107" s="45" t="n">
        <f aca="false">G107*c_lift</f>
        <v>300000</v>
      </c>
      <c r="W107" s="45" t="n">
        <f aca="false">Q107*c_shut</f>
        <v>1200000</v>
      </c>
      <c r="X107" s="45" t="n">
        <f aca="false">R107*c_pos</f>
        <v>480000</v>
      </c>
      <c r="Y107" s="45" t="n">
        <f aca="false">T107*c_m2+U107*c_m3</f>
        <v>674394.5</v>
      </c>
      <c r="Z107" s="45" t="n">
        <f aca="false">SUM(V107:Y107)</f>
        <v>2654394.5</v>
      </c>
      <c r="AA107" s="34" t="n">
        <f aca="false">B107*u_d/(H107*u_w)</f>
        <v>0.339130434782609</v>
      </c>
      <c r="AB107" s="46" t="n">
        <f aca="false">IF(G107=0,0,F107/G107)</f>
        <v>0.393740079365079</v>
      </c>
      <c r="AC107" s="46" t="n">
        <f aca="false">IF(G107&gt;1,F107/(G107-1),"n/a")</f>
        <v>0.787480158730159</v>
      </c>
      <c r="AD107" s="47" t="n">
        <f aca="false">moves_day*m_pallet*9.81*INDEX(Tc_mh,C107)/3600000</f>
        <v>16.31076</v>
      </c>
      <c r="AE107" s="3" t="n">
        <f aca="false">IF(AND(K107&lt;=H_max,H107&lt;=300,OR(lane_policy="Free (optimize N_C)",B107=sku_pal),OR(env_use="No",AND(I107&lt;=L_bldg,J107&lt;=W_bldg),AND(I107&lt;=W_bldg,J107&lt;=L_bldg))),1,0)</f>
        <v>0</v>
      </c>
      <c r="AF107" s="48" t="n">
        <f aca="false">IF(obj_mode="Total cost",Z107,IF(obj_mode="Shuttle cycle",O107,T107))</f>
        <v>2654394.5</v>
      </c>
      <c r="AG107" s="3" t="n">
        <f aca="false">IF(AE107=1,AF107*(1+A107*0.0000000001),1E+099)</f>
        <v>1E+099</v>
      </c>
      <c r="AH107" s="3" t="str">
        <f aca="false">IF(AE107=1,"",IF(K107&gt;H_max,"height",IF(AND(lane_policy&lt;&gt;"Free (optimize N_C)",B107&lt;&gt;sku_pal),"lane policy","footprint")))</f>
        <v>height</v>
      </c>
    </row>
    <row r="108" customFormat="false" ht="15" hidden="false" customHeight="true" outlineLevel="0" collapsed="false">
      <c r="A108" s="3" t="n">
        <v>101</v>
      </c>
      <c r="B108" s="3" t="n">
        <f aca="false">$G$3</f>
        <v>8</v>
      </c>
      <c r="C108" s="3" t="n">
        <v>1</v>
      </c>
      <c r="D108" s="46" t="n">
        <f aca="false">INDEX(Tc_pl,C108)</f>
        <v>0</v>
      </c>
      <c r="E108" s="47" t="n">
        <f aca="false">INDEX(Tc_S,C108)</f>
        <v>0</v>
      </c>
      <c r="F108" s="34" t="n">
        <f aca="false">lam_total*D108*E108/3600</f>
        <v>0</v>
      </c>
      <c r="G108" s="3" t="n">
        <f aca="false">IF(F108&lt;=0.000000000001,0,MAX(ROUNDUP(F108/rho_max-0.000000001,0),IF(redund="Yes",ROUNDUP(F108/rho_fail-0.000000001,0)+1,0)))</f>
        <v>0</v>
      </c>
      <c r="H108" s="3" t="n">
        <f aca="false">MAX(1,ROUNDUP((P_req/(B108*C108)+G108*lpl)/2-0.000000001,0))</f>
        <v>295</v>
      </c>
      <c r="I108" s="47" t="n">
        <f aca="false">H108*u_w</f>
        <v>295</v>
      </c>
      <c r="J108" s="47" t="n">
        <f aca="false">2*B108*u_d+aisle_w</f>
        <v>22.1</v>
      </c>
      <c r="K108" s="47" t="n">
        <f aca="false">C108*u_h</f>
        <v>2.15</v>
      </c>
      <c r="L108" s="47" t="n">
        <f aca="false">IF(G108=0,I108,I108/(2*G108))</f>
        <v>295</v>
      </c>
      <c r="M108" s="34" t="n">
        <f aca="false">((IF((lane_off+(L108))&lt;=(v_sh^2/a_sh),(4/3)*(lane_off+(L108))^1.5/SQRT(a_sh),(4/3)*(v_sh^2/a_sh)^1.5/SQRT(a_sh)+((lane_off+(L108))^2-(v_sh^2/a_sh)^2)/(2*v_sh)+(v_sh/a_sh)*((lane_off+(L108))-(v_sh^2/a_sh))))-(IF((lane_off)&lt;=(v_sh^2/a_sh),(4/3)*(lane_off)^1.5/SQRT(a_sh),(4/3)*(v_sh^2/a_sh)^1.5/SQRT(a_sh)+((lane_off)^2-(v_sh^2/a_sh)^2)/(2*v_sh)+(v_sh/a_sh)*((lane_off)-(v_sh^2/a_sh)))))/(L108)</f>
        <v>109.084423852073</v>
      </c>
      <c r="N108" s="34" t="n">
        <f aca="false">IF(((B108-1)*u_d/2*(1+f_hc)+lane_off)&lt;=0,0,IF(((B108-1)*u_d/2*(1+f_hc)+lane_off)&gt;=v_sh^2/a_sh,((B108-1)*u_d/2*(1+f_hc)+lane_off)/v_sh+v_sh/a_sh,2*SQRT(((B108-1)*u_d/2*(1+f_hc)+lane_off)/a_sh)))</f>
        <v>7.62857142857143</v>
      </c>
      <c r="O108" s="47" t="n">
        <f aca="false">2*t_sh+2*t_turn+2*M108+2*N108</f>
        <v>291.425990561289</v>
      </c>
      <c r="P108" s="47" t="n">
        <f aca="false">SUMPRODUCT((Tc_idx&lt;=C108)*(ROUNDUP(lam_total*INDEX(Tc_P,C108,0)*O108/(3600*rho_max)-0.000000001,0)+(ROUNDUP(lam_total*INDEX(Tc_P,C108,0)*O108/(3600*rho_max)-0.000000001,0)&lt;min_sh)*(min_sh-ROUNDUP(lam_total*INDEX(Tc_P,C108,0)*O108/(3600*rho_max)-0.000000001,0))))</f>
        <v>11</v>
      </c>
      <c r="Q108" s="3" t="n">
        <f aca="false">ROUNDUP(P108-0.000000001,0)+spares</f>
        <v>13</v>
      </c>
      <c r="R108" s="45" t="n">
        <f aca="false">B108*C108*(2*H108-G108*lpl)</f>
        <v>4720</v>
      </c>
      <c r="S108" s="45" t="n">
        <f aca="false">R108*fill</f>
        <v>4012</v>
      </c>
      <c r="T108" s="45" t="n">
        <f aca="false">I108*J108</f>
        <v>6519.5</v>
      </c>
      <c r="U108" s="45" t="n">
        <f aca="false">T108*(K108+headroom)</f>
        <v>23796.175</v>
      </c>
      <c r="V108" s="45" t="n">
        <f aca="false">G108*c_lift</f>
        <v>0</v>
      </c>
      <c r="W108" s="45" t="n">
        <f aca="false">Q108*c_shut</f>
        <v>650000</v>
      </c>
      <c r="X108" s="45" t="n">
        <f aca="false">R108*c_pos</f>
        <v>472000</v>
      </c>
      <c r="Y108" s="45" t="n">
        <f aca="false">T108*c_m2+U108*c_m3</f>
        <v>3321685.25</v>
      </c>
      <c r="Z108" s="45" t="n">
        <f aca="false">SUM(V108:Y108)</f>
        <v>4443685.25</v>
      </c>
      <c r="AA108" s="34" t="n">
        <f aca="false">B108*u_d/(H108*u_w)</f>
        <v>0.0352542372881356</v>
      </c>
      <c r="AB108" s="46" t="n">
        <f aca="false">IF(G108=0,0,F108/G108)</f>
        <v>0</v>
      </c>
      <c r="AC108" s="46" t="str">
        <f aca="false">IF(G108&gt;1,F108/(G108-1),"n/a")</f>
        <v>n/a</v>
      </c>
      <c r="AD108" s="47" t="n">
        <f aca="false">moves_day*m_pallet*9.81*INDEX(Tc_mh,C108)/3600000</f>
        <v>0</v>
      </c>
      <c r="AE108" s="3" t="n">
        <f aca="false">IF(AND(K108&lt;=H_max,H108&lt;=300,OR(lane_policy="Free (optimize N_C)",B108=sku_pal),OR(env_use="No",AND(I108&lt;=L_bldg,J108&lt;=W_bldg),AND(I108&lt;=W_bldg,J108&lt;=L_bldg))),1,0)</f>
        <v>0</v>
      </c>
      <c r="AF108" s="48" t="n">
        <f aca="false">IF(obj_mode="Total cost",Z108,IF(obj_mode="Shuttle cycle",O108,T108))</f>
        <v>4443685.25</v>
      </c>
      <c r="AG108" s="3" t="n">
        <f aca="false">IF(AE108=1,AF108*(1+A108*0.0000000001),1E+099)</f>
        <v>1E+099</v>
      </c>
      <c r="AH108" s="3" t="str">
        <f aca="false">IF(AE108=1,"",IF(K108&gt;H_max,"height",IF(AND(lane_policy&lt;&gt;"Free (optimize N_C)",B108&lt;&gt;sku_pal),"lane policy","footprint")))</f>
        <v>footprint</v>
      </c>
    </row>
    <row r="109" customFormat="false" ht="15" hidden="false" customHeight="true" outlineLevel="0" collapsed="false">
      <c r="A109" s="3" t="n">
        <v>102</v>
      </c>
      <c r="B109" s="3" t="n">
        <f aca="false">$G$3</f>
        <v>8</v>
      </c>
      <c r="C109" s="3" t="n">
        <v>2</v>
      </c>
      <c r="D109" s="46" t="n">
        <f aca="false">INDEX(Tc_pl,C109)</f>
        <v>0.5</v>
      </c>
      <c r="E109" s="47" t="n">
        <f aca="false">INDEX(Tc_S,C109)</f>
        <v>41.1571428571429</v>
      </c>
      <c r="F109" s="34" t="n">
        <f aca="false">lam_total*D109*E109/3600</f>
        <v>0.571626984126984</v>
      </c>
      <c r="G109" s="3" t="n">
        <f aca="false">IF(F109&lt;=0.000000000001,0,MAX(ROUNDUP(F109/rho_max-0.000000001,0),IF(redund="Yes",ROUNDUP(F109/rho_fail-0.000000001,0)+1,0)))</f>
        <v>2</v>
      </c>
      <c r="H109" s="3" t="n">
        <f aca="false">MAX(1,ROUNDUP((P_req/(B109*C109)+G109*lpl)/2-0.000000001,0))</f>
        <v>151</v>
      </c>
      <c r="I109" s="47" t="n">
        <f aca="false">H109*u_w</f>
        <v>151</v>
      </c>
      <c r="J109" s="47" t="n">
        <f aca="false">2*B109*u_d+aisle_w</f>
        <v>22.1</v>
      </c>
      <c r="K109" s="47" t="n">
        <f aca="false">C109*u_h</f>
        <v>4.3</v>
      </c>
      <c r="L109" s="47" t="n">
        <f aca="false">IF(G109=0,I109,I109/(2*G109))</f>
        <v>37.75</v>
      </c>
      <c r="M109" s="34" t="n">
        <f aca="false">((IF((lane_off+(L109))&lt;=(v_sh^2/a_sh),(4/3)*(lane_off+(L109))^1.5/SQRT(a_sh),(4/3)*(v_sh^2/a_sh)^1.5/SQRT(a_sh)+((lane_off+(L109))^2-(v_sh^2/a_sh)^2)/(2*v_sh)+(v_sh/a_sh)*((lane_off+(L109))-(v_sh^2/a_sh))))-(IF((lane_off)&lt;=(v_sh^2/a_sh),(4/3)*(lane_off)^1.5/SQRT(a_sh),(4/3)*(v_sh^2/a_sh)^1.5/SQRT(a_sh)+((lane_off)^2-(v_sh^2/a_sh)^2)/(2*v_sh)+(v_sh/a_sh)*((lane_off)-(v_sh^2/a_sh)))))/(L109)</f>
        <v>17.2006301022925</v>
      </c>
      <c r="N109" s="34" t="n">
        <f aca="false">IF(((B109-1)*u_d/2*(1+f_hc)+lane_off)&lt;=0,0,IF(((B109-1)*u_d/2*(1+f_hc)+lane_off)&gt;=v_sh^2/a_sh,((B109-1)*u_d/2*(1+f_hc)+lane_off)/v_sh+v_sh/a_sh,2*SQRT(((B109-1)*u_d/2*(1+f_hc)+lane_off)/a_sh)))</f>
        <v>7.62857142857143</v>
      </c>
      <c r="O109" s="47" t="n">
        <f aca="false">2*t_sh+2*t_turn+2*M109+2*N109</f>
        <v>107.658403061728</v>
      </c>
      <c r="P109" s="47" t="n">
        <f aca="false">SUMPRODUCT((Tc_idx&lt;=C109)*(ROUNDUP(lam_total*INDEX(Tc_P,C109,0)*O109/(3600*rho_max)-0.000000001,0)+(ROUNDUP(lam_total*INDEX(Tc_P,C109,0)*O109/(3600*rho_max)-0.000000001,0)&lt;min_sh)*(min_sh-ROUNDUP(lam_total*INDEX(Tc_P,C109,0)*O109/(3600*rho_max)-0.000000001,0))))</f>
        <v>4</v>
      </c>
      <c r="Q109" s="3" t="n">
        <f aca="false">ROUNDUP(P109-0.000000001,0)+spares</f>
        <v>6</v>
      </c>
      <c r="R109" s="45" t="n">
        <f aca="false">B109*C109*(2*H109-G109*lpl)</f>
        <v>4736</v>
      </c>
      <c r="S109" s="45" t="n">
        <f aca="false">R109*fill</f>
        <v>4025.6</v>
      </c>
      <c r="T109" s="45" t="n">
        <f aca="false">I109*J109</f>
        <v>3337.1</v>
      </c>
      <c r="U109" s="45" t="n">
        <f aca="false">T109*(K109+headroom)</f>
        <v>19355.18</v>
      </c>
      <c r="V109" s="45" t="n">
        <f aca="false">G109*c_lift</f>
        <v>300000</v>
      </c>
      <c r="W109" s="45" t="n">
        <f aca="false">Q109*c_shut</f>
        <v>300000</v>
      </c>
      <c r="X109" s="45" t="n">
        <f aca="false">R109*c_pos</f>
        <v>473600</v>
      </c>
      <c r="Y109" s="45" t="n">
        <f aca="false">T109*c_m2+U109*c_m3</f>
        <v>1915495.4</v>
      </c>
      <c r="Z109" s="45" t="n">
        <f aca="false">SUM(V109:Y109)</f>
        <v>2989095.4</v>
      </c>
      <c r="AA109" s="34" t="n">
        <f aca="false">B109*u_d/(H109*u_w)</f>
        <v>0.0688741721854305</v>
      </c>
      <c r="AB109" s="46" t="n">
        <f aca="false">IF(G109=0,0,F109/G109)</f>
        <v>0.285813492063492</v>
      </c>
      <c r="AC109" s="46" t="n">
        <f aca="false">IF(G109&gt;1,F109/(G109-1),"n/a")</f>
        <v>0.571626984126984</v>
      </c>
      <c r="AD109" s="47" t="n">
        <f aca="false">moves_day*m_pallet*9.81*INDEX(Tc_mh,C109)/3600000</f>
        <v>5.6244</v>
      </c>
      <c r="AE109" s="3" t="n">
        <f aca="false">IF(AND(K109&lt;=H_max,H109&lt;=300,OR(lane_policy="Free (optimize N_C)",B109=sku_pal),OR(env_use="No",AND(I109&lt;=L_bldg,J109&lt;=W_bldg),AND(I109&lt;=W_bldg,J109&lt;=L_bldg))),1,0)</f>
        <v>0</v>
      </c>
      <c r="AF109" s="48" t="n">
        <f aca="false">IF(obj_mode="Total cost",Z109,IF(obj_mode="Shuttle cycle",O109,T109))</f>
        <v>2989095.4</v>
      </c>
      <c r="AG109" s="3" t="n">
        <f aca="false">IF(AE109=1,AF109*(1+A109*0.0000000001),1E+099)</f>
        <v>1E+099</v>
      </c>
      <c r="AH109" s="3" t="str">
        <f aca="false">IF(AE109=1,"",IF(K109&gt;H_max,"height",IF(AND(lane_policy&lt;&gt;"Free (optimize N_C)",B109&lt;&gt;sku_pal),"lane policy","footprint")))</f>
        <v>footprint</v>
      </c>
    </row>
    <row r="110" customFormat="false" ht="15" hidden="false" customHeight="true" outlineLevel="0" collapsed="false">
      <c r="A110" s="3" t="n">
        <v>103</v>
      </c>
      <c r="B110" s="3" t="n">
        <f aca="false">$G$3</f>
        <v>8</v>
      </c>
      <c r="C110" s="3" t="n">
        <v>3</v>
      </c>
      <c r="D110" s="46" t="n">
        <f aca="false">INDEX(Tc_pl,C110)</f>
        <v>0.529411764705882</v>
      </c>
      <c r="E110" s="47" t="n">
        <f aca="false">INDEX(Tc_S,C110)</f>
        <v>41.6349206349206</v>
      </c>
      <c r="F110" s="34" t="n">
        <f aca="false">lam_total*D110*E110/3600</f>
        <v>0.612278244631186</v>
      </c>
      <c r="G110" s="3" t="n">
        <f aca="false">IF(F110&lt;=0.000000000001,0,MAX(ROUNDUP(F110/rho_max-0.000000001,0),IF(redund="Yes",ROUNDUP(F110/rho_fail-0.000000001,0)+1,0)))</f>
        <v>2</v>
      </c>
      <c r="H110" s="3" t="n">
        <f aca="false">MAX(1,ROUNDUP((P_req/(B110*C110)+G110*lpl)/2-0.000000001,0))</f>
        <v>102</v>
      </c>
      <c r="I110" s="47" t="n">
        <f aca="false">H110*u_w</f>
        <v>102</v>
      </c>
      <c r="J110" s="47" t="n">
        <f aca="false">2*B110*u_d+aisle_w</f>
        <v>22.1</v>
      </c>
      <c r="K110" s="47" t="n">
        <f aca="false">C110*u_h</f>
        <v>6.45</v>
      </c>
      <c r="L110" s="47" t="n">
        <f aca="false">IF(G110=0,I110,I110/(2*G110))</f>
        <v>25.5</v>
      </c>
      <c r="M110" s="34" t="n">
        <f aca="false">((IF((lane_off+(L110))&lt;=(v_sh^2/a_sh),(4/3)*(lane_off+(L110))^1.5/SQRT(a_sh),(4/3)*(v_sh^2/a_sh)^1.5/SQRT(a_sh)+((lane_off+(L110))^2-(v_sh^2/a_sh)^2)/(2*v_sh)+(v_sh/a_sh)*((lane_off+(L110))-(v_sh^2/a_sh))))-(IF((lane_off)&lt;=(v_sh^2/a_sh),(4/3)*(lane_off)^1.5/SQRT(a_sh),(4/3)*(v_sh^2/a_sh)^1.5/SQRT(a_sh)+((lane_off)^2-(v_sh^2/a_sh)^2)/(2*v_sh)+(v_sh/a_sh)*((lane_off)-(v_sh^2/a_sh)))))/(L110)</f>
        <v>12.8207857396683</v>
      </c>
      <c r="N110" s="34" t="n">
        <f aca="false">IF(((B110-1)*u_d/2*(1+f_hc)+lane_off)&lt;=0,0,IF(((B110-1)*u_d/2*(1+f_hc)+lane_off)&gt;=v_sh^2/a_sh,((B110-1)*u_d/2*(1+f_hc)+lane_off)/v_sh+v_sh/a_sh,2*SQRT(((B110-1)*u_d/2*(1+f_hc)+lane_off)/a_sh)))</f>
        <v>7.62857142857143</v>
      </c>
      <c r="O110" s="47" t="n">
        <f aca="false">2*t_sh+2*t_turn+2*M110+2*N110</f>
        <v>98.8987143364795</v>
      </c>
      <c r="P110" s="47" t="n">
        <f aca="false">SUMPRODUCT((Tc_idx&lt;=C110)*(ROUNDUP(lam_total*INDEX(Tc_P,C110,0)*O110/(3600*rho_max)-0.000000001,0)+(ROUNDUP(lam_total*INDEX(Tc_P,C110,0)*O110/(3600*rho_max)-0.000000001,0)&lt;min_sh)*(min_sh-ROUNDUP(lam_total*INDEX(Tc_P,C110,0)*O110/(3600*rho_max)-0.000000001,0))))</f>
        <v>5</v>
      </c>
      <c r="Q110" s="3" t="n">
        <f aca="false">ROUNDUP(P110-0.000000001,0)+spares</f>
        <v>7</v>
      </c>
      <c r="R110" s="45" t="n">
        <f aca="false">B110*C110*(2*H110-G110*lpl)</f>
        <v>4752</v>
      </c>
      <c r="S110" s="45" t="n">
        <f aca="false">R110*fill</f>
        <v>4039.2</v>
      </c>
      <c r="T110" s="45" t="n">
        <f aca="false">I110*J110</f>
        <v>2254.2</v>
      </c>
      <c r="U110" s="45" t="n">
        <f aca="false">T110*(K110+headroom)</f>
        <v>17920.89</v>
      </c>
      <c r="V110" s="45" t="n">
        <f aca="false">G110*c_lift</f>
        <v>300000</v>
      </c>
      <c r="W110" s="45" t="n">
        <f aca="false">Q110*c_shut</f>
        <v>350000</v>
      </c>
      <c r="X110" s="45" t="n">
        <f aca="false">R110*c_pos</f>
        <v>475200</v>
      </c>
      <c r="Y110" s="45" t="n">
        <f aca="false">T110*c_m2+U110*c_m3</f>
        <v>1439306.7</v>
      </c>
      <c r="Z110" s="45" t="n">
        <f aca="false">SUM(V110:Y110)</f>
        <v>2564506.7</v>
      </c>
      <c r="AA110" s="34" t="n">
        <f aca="false">B110*u_d/(H110*u_w)</f>
        <v>0.101960784313725</v>
      </c>
      <c r="AB110" s="46" t="n">
        <f aca="false">IF(G110=0,0,F110/G110)</f>
        <v>0.306139122315593</v>
      </c>
      <c r="AC110" s="46" t="n">
        <f aca="false">IF(G110&gt;1,F110/(G110-1),"n/a")</f>
        <v>0.612278244631186</v>
      </c>
      <c r="AD110" s="47" t="n">
        <f aca="false">moves_day*m_pallet*9.81*INDEX(Tc_mh,C110)/3600000</f>
        <v>6.61694117647059</v>
      </c>
      <c r="AE110" s="3" t="n">
        <f aca="false">IF(AND(K110&lt;=H_max,H110&lt;=300,OR(lane_policy="Free (optimize N_C)",B110=sku_pal),OR(env_use="No",AND(I110&lt;=L_bldg,J110&lt;=W_bldg),AND(I110&lt;=W_bldg,J110&lt;=L_bldg))),1,0)</f>
        <v>0</v>
      </c>
      <c r="AF110" s="48" t="n">
        <f aca="false">IF(obj_mode="Total cost",Z110,IF(obj_mode="Shuttle cycle",O110,T110))</f>
        <v>2564506.7</v>
      </c>
      <c r="AG110" s="3" t="n">
        <f aca="false">IF(AE110=1,AF110*(1+A110*0.0000000001),1E+099)</f>
        <v>1E+099</v>
      </c>
      <c r="AH110" s="3" t="str">
        <f aca="false">IF(AE110=1,"",IF(K110&gt;H_max,"height",IF(AND(lane_policy&lt;&gt;"Free (optimize N_C)",B110&lt;&gt;sku_pal),"lane policy","footprint")))</f>
        <v>footprint</v>
      </c>
    </row>
    <row r="111" customFormat="false" ht="15" hidden="false" customHeight="true" outlineLevel="0" collapsed="false">
      <c r="A111" s="3" t="n">
        <v>104</v>
      </c>
      <c r="B111" s="3" t="n">
        <f aca="false">$G$3</f>
        <v>8</v>
      </c>
      <c r="C111" s="3" t="n">
        <v>4</v>
      </c>
      <c r="D111" s="46" t="n">
        <f aca="false">INDEX(Tc_pl,C111)</f>
        <v>0.555555555555556</v>
      </c>
      <c r="E111" s="47" t="n">
        <f aca="false">INDEX(Tc_S,C111)</f>
        <v>42.4471428571429</v>
      </c>
      <c r="F111" s="34" t="n">
        <f aca="false">lam_total*D111*E111/3600</f>
        <v>0.655048500881834</v>
      </c>
      <c r="G111" s="3" t="n">
        <f aca="false">IF(F111&lt;=0.000000000001,0,MAX(ROUNDUP(F111/rho_max-0.000000001,0),IF(redund="Yes",ROUNDUP(F111/rho_fail-0.000000001,0)+1,0)))</f>
        <v>2</v>
      </c>
      <c r="H111" s="3" t="n">
        <f aca="false">MAX(1,ROUNDUP((P_req/(B111*C111)+G111*lpl)/2-0.000000001,0))</f>
        <v>77</v>
      </c>
      <c r="I111" s="47" t="n">
        <f aca="false">H111*u_w</f>
        <v>77</v>
      </c>
      <c r="J111" s="47" t="n">
        <f aca="false">2*B111*u_d+aisle_w</f>
        <v>22.1</v>
      </c>
      <c r="K111" s="47" t="n">
        <f aca="false">C111*u_h</f>
        <v>8.6</v>
      </c>
      <c r="L111" s="47" t="n">
        <f aca="false">IF(G111=0,I111,I111/(2*G111))</f>
        <v>19.25</v>
      </c>
      <c r="M111" s="34" t="n">
        <f aca="false">((IF((lane_off+(L111))&lt;=(v_sh^2/a_sh),(4/3)*(lane_off+(L111))^1.5/SQRT(a_sh),(4/3)*(v_sh^2/a_sh)^1.5/SQRT(a_sh)+((lane_off+(L111))^2-(v_sh^2/a_sh)^2)/(2*v_sh)+(v_sh/a_sh)*((lane_off+(L111))-(v_sh^2/a_sh))))-(IF((lane_off)&lt;=(v_sh^2/a_sh),(4/3)*(lane_off)^1.5/SQRT(a_sh),(4/3)*(v_sh^2/a_sh)^1.5/SQRT(a_sh)+((lane_off)^2-(v_sh^2/a_sh)^2)/(2*v_sh)+(v_sh/a_sh)*((lane_off)-(v_sh^2/a_sh)))))/(L111)</f>
        <v>10.5837959519911</v>
      </c>
      <c r="N111" s="34" t="n">
        <f aca="false">IF(((B111-1)*u_d/2*(1+f_hc)+lane_off)&lt;=0,0,IF(((B111-1)*u_d/2*(1+f_hc)+lane_off)&gt;=v_sh^2/a_sh,((B111-1)*u_d/2*(1+f_hc)+lane_off)/v_sh+v_sh/a_sh,2*SQRT(((B111-1)*u_d/2*(1+f_hc)+lane_off)/a_sh)))</f>
        <v>7.62857142857143</v>
      </c>
      <c r="O111" s="47" t="n">
        <f aca="false">2*t_sh+2*t_turn+2*M111+2*N111</f>
        <v>94.424734761125</v>
      </c>
      <c r="P111" s="47" t="n">
        <f aca="false">SUMPRODUCT((Tc_idx&lt;=C111)*(ROUNDUP(lam_total*INDEX(Tc_P,C111,0)*O111/(3600*rho_max)-0.000000001,0)+(ROUNDUP(lam_total*INDEX(Tc_P,C111,0)*O111/(3600*rho_max)-0.000000001,0)&lt;min_sh)*(min_sh-ROUNDUP(lam_total*INDEX(Tc_P,C111,0)*O111/(3600*rho_max)-0.000000001,0))))</f>
        <v>6</v>
      </c>
      <c r="Q111" s="3" t="n">
        <f aca="false">ROUNDUP(P111-0.000000001,0)+spares</f>
        <v>8</v>
      </c>
      <c r="R111" s="45" t="n">
        <f aca="false">B111*C111*(2*H111-G111*lpl)</f>
        <v>4736</v>
      </c>
      <c r="S111" s="45" t="n">
        <f aca="false">R111*fill</f>
        <v>4025.6</v>
      </c>
      <c r="T111" s="45" t="n">
        <f aca="false">I111*J111</f>
        <v>1701.7</v>
      </c>
      <c r="U111" s="45" t="n">
        <f aca="false">T111*(K111+headroom)</f>
        <v>17187.17</v>
      </c>
      <c r="V111" s="45" t="n">
        <f aca="false">G111*c_lift</f>
        <v>300000</v>
      </c>
      <c r="W111" s="45" t="n">
        <f aca="false">Q111*c_shut</f>
        <v>400000</v>
      </c>
      <c r="X111" s="45" t="n">
        <f aca="false">R111*c_pos</f>
        <v>473600</v>
      </c>
      <c r="Y111" s="45" t="n">
        <f aca="false">T111*c_m2+U111*c_m3</f>
        <v>1196295.1</v>
      </c>
      <c r="Z111" s="45" t="n">
        <f aca="false">SUM(V111:Y111)</f>
        <v>2369895.1</v>
      </c>
      <c r="AA111" s="34" t="n">
        <f aca="false">B111*u_d/(H111*u_w)</f>
        <v>0.135064935064935</v>
      </c>
      <c r="AB111" s="46" t="n">
        <f aca="false">IF(G111=0,0,F111/G111)</f>
        <v>0.327524250440917</v>
      </c>
      <c r="AC111" s="46" t="n">
        <f aca="false">IF(G111&gt;1,F111/(G111-1),"n/a")</f>
        <v>0.655048500881834</v>
      </c>
      <c r="AD111" s="47" t="n">
        <f aca="false">moves_day*m_pallet*9.81*INDEX(Tc_mh,C111)/3600000</f>
        <v>8.12413333333333</v>
      </c>
      <c r="AE111" s="3" t="n">
        <f aca="false">IF(AND(K111&lt;=H_max,H111&lt;=300,OR(lane_policy="Free (optimize N_C)",B111=sku_pal),OR(env_use="No",AND(I111&lt;=L_bldg,J111&lt;=W_bldg),AND(I111&lt;=W_bldg,J111&lt;=L_bldg))),1,0)</f>
        <v>0</v>
      </c>
      <c r="AF111" s="48" t="n">
        <f aca="false">IF(obj_mode="Total cost",Z111,IF(obj_mode="Shuttle cycle",O111,T111))</f>
        <v>2369895.1</v>
      </c>
      <c r="AG111" s="3" t="n">
        <f aca="false">IF(AE111=1,AF111*(1+A111*0.0000000001),1E+099)</f>
        <v>1E+099</v>
      </c>
      <c r="AH111" s="3" t="str">
        <f aca="false">IF(AE111=1,"",IF(K111&gt;H_max,"height",IF(AND(lane_policy&lt;&gt;"Free (optimize N_C)",B111&lt;&gt;sku_pal),"lane policy","footprint")))</f>
        <v>footprint</v>
      </c>
    </row>
    <row r="112" customFormat="false" ht="15" hidden="false" customHeight="true" outlineLevel="0" collapsed="false">
      <c r="A112" s="3" t="n">
        <v>105</v>
      </c>
      <c r="B112" s="3" t="n">
        <f aca="false">$G$3</f>
        <v>8</v>
      </c>
      <c r="C112" s="3" t="n">
        <v>5</v>
      </c>
      <c r="D112" s="46" t="n">
        <f aca="false">INDEX(Tc_pl,C112)</f>
        <v>0.578947368421053</v>
      </c>
      <c r="E112" s="47" t="n">
        <f aca="false">INDEX(Tc_S,C112)</f>
        <v>43.5025974025974</v>
      </c>
      <c r="F112" s="34" t="n">
        <f aca="false">lam_total*D112*E112/3600</f>
        <v>0.699603174603175</v>
      </c>
      <c r="G112" s="3" t="n">
        <f aca="false">IF(F112&lt;=0.000000000001,0,MAX(ROUNDUP(F112/rho_max-0.000000001,0),IF(redund="Yes",ROUNDUP(F112/rho_fail-0.000000001,0)+1,0)))</f>
        <v>2</v>
      </c>
      <c r="H112" s="3" t="n">
        <f aca="false">MAX(1,ROUNDUP((P_req/(B112*C112)+G112*lpl)/2-0.000000001,0))</f>
        <v>62</v>
      </c>
      <c r="I112" s="47" t="n">
        <f aca="false">H112*u_w</f>
        <v>62</v>
      </c>
      <c r="J112" s="47" t="n">
        <f aca="false">2*B112*u_d+aisle_w</f>
        <v>22.1</v>
      </c>
      <c r="K112" s="47" t="n">
        <f aca="false">C112*u_h</f>
        <v>10.75</v>
      </c>
      <c r="L112" s="47" t="n">
        <f aca="false">IF(G112=0,I112,I112/(2*G112))</f>
        <v>15.5</v>
      </c>
      <c r="M112" s="34" t="n">
        <f aca="false">((IF((lane_off+(L112))&lt;=(v_sh^2/a_sh),(4/3)*(lane_off+(L112))^1.5/SQRT(a_sh),(4/3)*(v_sh^2/a_sh)^1.5/SQRT(a_sh)+((lane_off+(L112))^2-(v_sh^2/a_sh)^2)/(2*v_sh)+(v_sh/a_sh)*((lane_off+(L112))-(v_sh^2/a_sh))))-(IF((lane_off)&lt;=(v_sh^2/a_sh),(4/3)*(lane_off)^1.5/SQRT(a_sh),(4/3)*(v_sh^2/a_sh)^1.5/SQRT(a_sh)+((lane_off)^2-(v_sh^2/a_sh)^2)/(2*v_sh)+(v_sh/a_sh)*((lane_off)-(v_sh^2/a_sh)))))/(L112)</f>
        <v>9.2397258482101</v>
      </c>
      <c r="N112" s="34" t="n">
        <f aca="false">IF(((B112-1)*u_d/2*(1+f_hc)+lane_off)&lt;=0,0,IF(((B112-1)*u_d/2*(1+f_hc)+lane_off)&gt;=v_sh^2/a_sh,((B112-1)*u_d/2*(1+f_hc)+lane_off)/v_sh+v_sh/a_sh,2*SQRT(((B112-1)*u_d/2*(1+f_hc)+lane_off)/a_sh)))</f>
        <v>7.62857142857143</v>
      </c>
      <c r="O112" s="47" t="n">
        <f aca="false">2*t_sh+2*t_turn+2*M112+2*N112</f>
        <v>91.7365945535631</v>
      </c>
      <c r="P112" s="47" t="n">
        <f aca="false">SUMPRODUCT((Tc_idx&lt;=C112)*(ROUNDUP(lam_total*INDEX(Tc_P,C112,0)*O112/(3600*rho_max)-0.000000001,0)+(ROUNDUP(lam_total*INDEX(Tc_P,C112,0)*O112/(3600*rho_max)-0.000000001,0)&lt;min_sh)*(min_sh-ROUNDUP(lam_total*INDEX(Tc_P,C112,0)*O112/(3600*rho_max)-0.000000001,0))))</f>
        <v>7</v>
      </c>
      <c r="Q112" s="3" t="n">
        <f aca="false">ROUNDUP(P112-0.000000001,0)+spares</f>
        <v>9</v>
      </c>
      <c r="R112" s="45" t="n">
        <f aca="false">B112*C112*(2*H112-G112*lpl)</f>
        <v>4720</v>
      </c>
      <c r="S112" s="45" t="n">
        <f aca="false">R112*fill</f>
        <v>4012</v>
      </c>
      <c r="T112" s="45" t="n">
        <f aca="false">I112*J112</f>
        <v>1370.2</v>
      </c>
      <c r="U112" s="45" t="n">
        <f aca="false">T112*(K112+headroom)</f>
        <v>16784.95</v>
      </c>
      <c r="V112" s="45" t="n">
        <f aca="false">G112*c_lift</f>
        <v>300000</v>
      </c>
      <c r="W112" s="45" t="n">
        <f aca="false">Q112*c_shut</f>
        <v>450000</v>
      </c>
      <c r="X112" s="45" t="n">
        <f aca="false">R112*c_pos</f>
        <v>472000</v>
      </c>
      <c r="Y112" s="45" t="n">
        <f aca="false">T112*c_m2+U112*c_m3</f>
        <v>1051628.5</v>
      </c>
      <c r="Z112" s="45" t="n">
        <f aca="false">SUM(V112:Y112)</f>
        <v>2273628.5</v>
      </c>
      <c r="AA112" s="34" t="n">
        <f aca="false">B112*u_d/(H112*u_w)</f>
        <v>0.167741935483871</v>
      </c>
      <c r="AB112" s="46" t="n">
        <f aca="false">IF(G112=0,0,F112/G112)</f>
        <v>0.349801587301587</v>
      </c>
      <c r="AC112" s="46" t="n">
        <f aca="false">IF(G112&gt;1,F112/(G112-1),"n/a")</f>
        <v>0.699603174603175</v>
      </c>
      <c r="AD112" s="47" t="n">
        <f aca="false">moves_day*m_pallet*9.81*INDEX(Tc_mh,C112)/3600000</f>
        <v>10.0647157894737</v>
      </c>
      <c r="AE112" s="3" t="n">
        <f aca="false">IF(AND(K112&lt;=H_max,H112&lt;=300,OR(lane_policy="Free (optimize N_C)",B112=sku_pal),OR(env_use="No",AND(I112&lt;=L_bldg,J112&lt;=W_bldg),AND(I112&lt;=W_bldg,J112&lt;=L_bldg))),1,0)</f>
        <v>0</v>
      </c>
      <c r="AF112" s="48" t="n">
        <f aca="false">IF(obj_mode="Total cost",Z112,IF(obj_mode="Shuttle cycle",O112,T112))</f>
        <v>2273628.5</v>
      </c>
      <c r="AG112" s="3" t="n">
        <f aca="false">IF(AE112=1,AF112*(1+A112*0.0000000001),1E+099)</f>
        <v>1E+099</v>
      </c>
      <c r="AH112" s="3" t="str">
        <f aca="false">IF(AE112=1,"",IF(K112&gt;H_max,"height",IF(AND(lane_policy&lt;&gt;"Free (optimize N_C)",B112&lt;&gt;sku_pal),"lane policy","footprint")))</f>
        <v>footprint</v>
      </c>
    </row>
    <row r="113" customFormat="false" ht="15" hidden="false" customHeight="true" outlineLevel="0" collapsed="false">
      <c r="A113" s="3" t="n">
        <v>106</v>
      </c>
      <c r="B113" s="3" t="n">
        <f aca="false">$G$3</f>
        <v>8</v>
      </c>
      <c r="C113" s="3" t="n">
        <v>6</v>
      </c>
      <c r="D113" s="46" t="n">
        <f aca="false">INDEX(Tc_pl,C113)</f>
        <v>0.6</v>
      </c>
      <c r="E113" s="47" t="n">
        <f aca="false">INDEX(Tc_S,C113)</f>
        <v>44.7404761904762</v>
      </c>
      <c r="F113" s="34" t="n">
        <f aca="false">lam_total*D113*E113/3600</f>
        <v>0.745674603174603</v>
      </c>
      <c r="G113" s="3" t="n">
        <f aca="false">IF(F113&lt;=0.000000000001,0,MAX(ROUNDUP(F113/rho_max-0.000000001,0),IF(redund="Yes",ROUNDUP(F113/rho_fail-0.000000001,0)+1,0)))</f>
        <v>2</v>
      </c>
      <c r="H113" s="3" t="n">
        <f aca="false">MAX(1,ROUNDUP((P_req/(B113*C113)+G113*lpl)/2-0.000000001,0))</f>
        <v>53</v>
      </c>
      <c r="I113" s="47" t="n">
        <f aca="false">H113*u_w</f>
        <v>53</v>
      </c>
      <c r="J113" s="47" t="n">
        <f aca="false">2*B113*u_d+aisle_w</f>
        <v>22.1</v>
      </c>
      <c r="K113" s="47" t="n">
        <f aca="false">C113*u_h</f>
        <v>12.9</v>
      </c>
      <c r="L113" s="47" t="n">
        <f aca="false">IF(G113=0,I113,I113/(2*G113))</f>
        <v>13.25</v>
      </c>
      <c r="M113" s="34" t="n">
        <f aca="false">((IF((lane_off+(L113))&lt;=(v_sh^2/a_sh),(4/3)*(lane_off+(L113))^1.5/SQRT(a_sh),(4/3)*(v_sh^2/a_sh)^1.5/SQRT(a_sh)+((lane_off+(L113))^2-(v_sh^2/a_sh)^2)/(2*v_sh)+(v_sh/a_sh)*((lane_off+(L113))-(v_sh^2/a_sh))))-(IF((lane_off)&lt;=(v_sh^2/a_sh),(4/3)*(lane_off)^1.5/SQRT(a_sh),(4/3)*(v_sh^2/a_sh)^1.5/SQRT(a_sh)+((lane_off)^2-(v_sh^2/a_sh)^2)/(2*v_sh)+(v_sh/a_sh)*((lane_off)-(v_sh^2/a_sh)))))/(L113)</f>
        <v>8.43198387634281</v>
      </c>
      <c r="N113" s="34" t="n">
        <f aca="false">IF(((B113-1)*u_d/2*(1+f_hc)+lane_off)&lt;=0,0,IF(((B113-1)*u_d/2*(1+f_hc)+lane_off)&gt;=v_sh^2/a_sh,((B113-1)*u_d/2*(1+f_hc)+lane_off)/v_sh+v_sh/a_sh,2*SQRT(((B113-1)*u_d/2*(1+f_hc)+lane_off)/a_sh)))</f>
        <v>7.62857142857143</v>
      </c>
      <c r="O113" s="47" t="n">
        <f aca="false">2*t_sh+2*t_turn+2*M113+2*N113</f>
        <v>90.1211106098285</v>
      </c>
      <c r="P113" s="47" t="n">
        <f aca="false">SUMPRODUCT((Tc_idx&lt;=C113)*(ROUNDUP(lam_total*INDEX(Tc_P,C113,0)*O113/(3600*rho_max)-0.000000001,0)+(ROUNDUP(lam_total*INDEX(Tc_P,C113,0)*O113/(3600*rho_max)-0.000000001,0)&lt;min_sh)*(min_sh-ROUNDUP(lam_total*INDEX(Tc_P,C113,0)*O113/(3600*rho_max)-0.000000001,0))))</f>
        <v>8</v>
      </c>
      <c r="Q113" s="3" t="n">
        <f aca="false">ROUNDUP(P113-0.000000001,0)+spares</f>
        <v>10</v>
      </c>
      <c r="R113" s="45" t="n">
        <f aca="false">B113*C113*(2*H113-G113*lpl)</f>
        <v>4800</v>
      </c>
      <c r="S113" s="45" t="n">
        <f aca="false">R113*fill</f>
        <v>4080</v>
      </c>
      <c r="T113" s="45" t="n">
        <f aca="false">I113*J113</f>
        <v>1171.3</v>
      </c>
      <c r="U113" s="45" t="n">
        <f aca="false">T113*(K113+headroom)</f>
        <v>16866.72</v>
      </c>
      <c r="V113" s="45" t="n">
        <f aca="false">G113*c_lift</f>
        <v>300000</v>
      </c>
      <c r="W113" s="45" t="n">
        <f aca="false">Q113*c_shut</f>
        <v>500000</v>
      </c>
      <c r="X113" s="45" t="n">
        <f aca="false">R113*c_pos</f>
        <v>480000</v>
      </c>
      <c r="Y113" s="45" t="n">
        <f aca="false">T113*c_m2+U113*c_m3</f>
        <v>974521.6</v>
      </c>
      <c r="Z113" s="45" t="n">
        <f aca="false">SUM(V113:Y113)</f>
        <v>2254521.6</v>
      </c>
      <c r="AA113" s="34" t="n">
        <f aca="false">B113*u_d/(H113*u_w)</f>
        <v>0.19622641509434</v>
      </c>
      <c r="AB113" s="46" t="n">
        <f aca="false">IF(G113=0,0,F113/G113)</f>
        <v>0.372837301587302</v>
      </c>
      <c r="AC113" s="46" t="n">
        <f aca="false">IF(G113&gt;1,F113/(G113-1),"n/a")</f>
        <v>0.745674603174603</v>
      </c>
      <c r="AD113" s="47" t="n">
        <f aca="false">moves_day*m_pallet*9.81*INDEX(Tc_mh,C113)/3600000</f>
        <v>12.37368</v>
      </c>
      <c r="AE113" s="3" t="n">
        <f aca="false">IF(AND(K113&lt;=H_max,H113&lt;=300,OR(lane_policy="Free (optimize N_C)",B113=sku_pal),OR(env_use="No",AND(I113&lt;=L_bldg,J113&lt;=W_bldg),AND(I113&lt;=W_bldg,J113&lt;=L_bldg))),1,0)</f>
        <v>0</v>
      </c>
      <c r="AF113" s="48" t="n">
        <f aca="false">IF(obj_mode="Total cost",Z113,IF(obj_mode="Shuttle cycle",O113,T113))</f>
        <v>2254521.6</v>
      </c>
      <c r="AG113" s="3" t="n">
        <f aca="false">IF(AE113=1,AF113*(1+A113*0.0000000001),1E+099)</f>
        <v>1E+099</v>
      </c>
      <c r="AH113" s="3" t="str">
        <f aca="false">IF(AE113=1,"",IF(K113&gt;H_max,"height",IF(AND(lane_policy&lt;&gt;"Free (optimize N_C)",B113&lt;&gt;sku_pal),"lane policy","footprint")))</f>
        <v>footprint</v>
      </c>
    </row>
    <row r="114" customFormat="false" ht="15" hidden="false" customHeight="true" outlineLevel="0" collapsed="false">
      <c r="A114" s="3" t="n">
        <v>107</v>
      </c>
      <c r="B114" s="3" t="n">
        <f aca="false">$G$3</f>
        <v>8</v>
      </c>
      <c r="C114" s="3" t="n">
        <v>7</v>
      </c>
      <c r="D114" s="46" t="n">
        <f aca="false">INDEX(Tc_pl,C114)</f>
        <v>0.6</v>
      </c>
      <c r="E114" s="47" t="n">
        <f aca="false">INDEX(Tc_S,C114)</f>
        <v>44.9196428571429</v>
      </c>
      <c r="F114" s="34" t="n">
        <f aca="false">lam_total*D114*E114/3600</f>
        <v>0.748660714285714</v>
      </c>
      <c r="G114" s="3" t="n">
        <f aca="false">IF(F114&lt;=0.000000000001,0,MAX(ROUNDUP(F114/rho_max-0.000000001,0),IF(redund="Yes",ROUNDUP(F114/rho_fail-0.000000001,0)+1,0)))</f>
        <v>2</v>
      </c>
      <c r="H114" s="3" t="n">
        <f aca="false">MAX(1,ROUNDUP((P_req/(B114*C114)+G114*lpl)/2-0.000000001,0))</f>
        <v>46</v>
      </c>
      <c r="I114" s="47" t="n">
        <f aca="false">H114*u_w</f>
        <v>46</v>
      </c>
      <c r="J114" s="47" t="n">
        <f aca="false">2*B114*u_d+aisle_w</f>
        <v>22.1</v>
      </c>
      <c r="K114" s="47" t="n">
        <f aca="false">C114*u_h</f>
        <v>15.05</v>
      </c>
      <c r="L114" s="47" t="n">
        <f aca="false">IF(G114=0,I114,I114/(2*G114))</f>
        <v>11.5</v>
      </c>
      <c r="M114" s="34" t="n">
        <f aca="false">((IF((lane_off+(L114))&lt;=(v_sh^2/a_sh),(4/3)*(lane_off+(L114))^1.5/SQRT(a_sh),(4/3)*(v_sh^2/a_sh)^1.5/SQRT(a_sh)+((lane_off+(L114))^2-(v_sh^2/a_sh)^2)/(2*v_sh)+(v_sh/a_sh)*((lane_off+(L114))-(v_sh^2/a_sh))))-(IF((lane_off)&lt;=(v_sh^2/a_sh),(4/3)*(lane_off)^1.5/SQRT(a_sh),(4/3)*(v_sh^2/a_sh)^1.5/SQRT(a_sh)+((lane_off)^2-(v_sh^2/a_sh)^2)/(2*v_sh)+(v_sh/a_sh)*((lane_off)-(v_sh^2/a_sh)))))/(L114)</f>
        <v>7.80261185752541</v>
      </c>
      <c r="N114" s="34" t="n">
        <f aca="false">IF(((B114-1)*u_d/2*(1+f_hc)+lane_off)&lt;=0,0,IF(((B114-1)*u_d/2*(1+f_hc)+lane_off)&gt;=v_sh^2/a_sh,((B114-1)*u_d/2*(1+f_hc)+lane_off)/v_sh+v_sh/a_sh,2*SQRT(((B114-1)*u_d/2*(1+f_hc)+lane_off)/a_sh)))</f>
        <v>7.62857142857143</v>
      </c>
      <c r="O114" s="47" t="n">
        <f aca="false">2*t_sh+2*t_turn+2*M114+2*N114</f>
        <v>88.8623665721937</v>
      </c>
      <c r="P114" s="47" t="n">
        <f aca="false">SUMPRODUCT((Tc_idx&lt;=C114)*(ROUNDUP(lam_total*INDEX(Tc_P,C114,0)*O114/(3600*rho_max)-0.000000001,0)+(ROUNDUP(lam_total*INDEX(Tc_P,C114,0)*O114/(3600*rho_max)-0.000000001,0)&lt;min_sh)*(min_sh-ROUNDUP(lam_total*INDEX(Tc_P,C114,0)*O114/(3600*rho_max)-0.000000001,0))))</f>
        <v>9</v>
      </c>
      <c r="Q114" s="3" t="n">
        <f aca="false">ROUNDUP(P114-0.000000001,0)+spares</f>
        <v>11</v>
      </c>
      <c r="R114" s="45" t="n">
        <f aca="false">B114*C114*(2*H114-G114*lpl)</f>
        <v>4816</v>
      </c>
      <c r="S114" s="45" t="n">
        <f aca="false">R114*fill</f>
        <v>4093.6</v>
      </c>
      <c r="T114" s="45" t="n">
        <f aca="false">I114*J114</f>
        <v>1016.6</v>
      </c>
      <c r="U114" s="45" t="n">
        <f aca="false">T114*(K114+headroom)</f>
        <v>16824.73</v>
      </c>
      <c r="V114" s="45" t="n">
        <f aca="false">G114*c_lift</f>
        <v>300000</v>
      </c>
      <c r="W114" s="45" t="n">
        <f aca="false">Q114*c_shut</f>
        <v>550000</v>
      </c>
      <c r="X114" s="45" t="n">
        <f aca="false">R114*c_pos</f>
        <v>481600</v>
      </c>
      <c r="Y114" s="45" t="n">
        <f aca="false">T114*c_m2+U114*c_m3</f>
        <v>911381.9</v>
      </c>
      <c r="Z114" s="45" t="n">
        <f aca="false">SUM(V114:Y114)</f>
        <v>2242981.9</v>
      </c>
      <c r="AA114" s="34" t="n">
        <f aca="false">B114*u_d/(H114*u_w)</f>
        <v>0.226086956521739</v>
      </c>
      <c r="AB114" s="46" t="n">
        <f aca="false">IF(G114=0,0,F114/G114)</f>
        <v>0.374330357142857</v>
      </c>
      <c r="AC114" s="46" t="n">
        <f aca="false">IF(G114&gt;1,F114/(G114-1),"n/a")</f>
        <v>0.748660714285714</v>
      </c>
      <c r="AD114" s="47" t="n">
        <f aca="false">moves_day*m_pallet*9.81*INDEX(Tc_mh,C114)/3600000</f>
        <v>12.6549</v>
      </c>
      <c r="AE114" s="3" t="n">
        <f aca="false">IF(AND(K114&lt;=H_max,H114&lt;=300,OR(lane_policy="Free (optimize N_C)",B114=sku_pal),OR(env_use="No",AND(I114&lt;=L_bldg,J114&lt;=W_bldg),AND(I114&lt;=W_bldg,J114&lt;=L_bldg))),1,0)</f>
        <v>0</v>
      </c>
      <c r="AF114" s="48" t="n">
        <f aca="false">IF(obj_mode="Total cost",Z114,IF(obj_mode="Shuttle cycle",O114,T114))</f>
        <v>2242981.9</v>
      </c>
      <c r="AG114" s="3" t="n">
        <f aca="false">IF(AE114=1,AF114*(1+A114*0.0000000001),1E+099)</f>
        <v>1E+099</v>
      </c>
      <c r="AH114" s="3" t="str">
        <f aca="false">IF(AE114=1,"",IF(K114&gt;H_max,"height",IF(AND(lane_policy&lt;&gt;"Free (optimize N_C)",B114&lt;&gt;sku_pal),"lane policy","footprint")))</f>
        <v>footprint</v>
      </c>
    </row>
    <row r="115" customFormat="false" ht="15" hidden="false" customHeight="true" outlineLevel="0" collapsed="false">
      <c r="A115" s="3" t="n">
        <v>108</v>
      </c>
      <c r="B115" s="3" t="n">
        <f aca="false">$G$3</f>
        <v>8</v>
      </c>
      <c r="C115" s="3" t="n">
        <v>8</v>
      </c>
      <c r="D115" s="46" t="n">
        <f aca="false">INDEX(Tc_pl,C115)</f>
        <v>0.6</v>
      </c>
      <c r="E115" s="47" t="n">
        <f aca="false">INDEX(Tc_S,C115)</f>
        <v>45.0988095238095</v>
      </c>
      <c r="F115" s="34" t="n">
        <f aca="false">lam_total*D115*E115/3600</f>
        <v>0.751646825396826</v>
      </c>
      <c r="G115" s="3" t="n">
        <f aca="false">IF(F115&lt;=0.000000000001,0,MAX(ROUNDUP(F115/rho_max-0.000000001,0),IF(redund="Yes",ROUNDUP(F115/rho_fail-0.000000001,0)+1,0)))</f>
        <v>2</v>
      </c>
      <c r="H115" s="3" t="n">
        <f aca="false">MAX(1,ROUNDUP((P_req/(B115*C115)+G115*lpl)/2-0.000000001,0))</f>
        <v>40</v>
      </c>
      <c r="I115" s="47" t="n">
        <f aca="false">H115*u_w</f>
        <v>40</v>
      </c>
      <c r="J115" s="47" t="n">
        <f aca="false">2*B115*u_d+aisle_w</f>
        <v>22.1</v>
      </c>
      <c r="K115" s="47" t="n">
        <f aca="false">C115*u_h</f>
        <v>17.2</v>
      </c>
      <c r="L115" s="47" t="n">
        <f aca="false">IF(G115=0,I115,I115/(2*G115))</f>
        <v>10</v>
      </c>
      <c r="M115" s="34" t="n">
        <f aca="false">((IF((lane_off+(L115))&lt;=(v_sh^2/a_sh),(4/3)*(lane_off+(L115))^1.5/SQRT(a_sh),(4/3)*(v_sh^2/a_sh)^1.5/SQRT(a_sh)+((lane_off+(L115))^2-(v_sh^2/a_sh)^2)/(2*v_sh)+(v_sh/a_sh)*((lane_off+(L115))-(v_sh^2/a_sh))))-(IF((lane_off)&lt;=(v_sh^2/a_sh),(4/3)*(lane_off)^1.5/SQRT(a_sh),(4/3)*(v_sh^2/a_sh)^1.5/SQRT(a_sh)+((lane_off)^2-(v_sh^2/a_sh)^2)/(2*v_sh)+(v_sh/a_sh)*((lane_off)-(v_sh^2/a_sh)))))/(L115)</f>
        <v>7.26193220758279</v>
      </c>
      <c r="N115" s="34" t="n">
        <f aca="false">IF(((B115-1)*u_d/2*(1+f_hc)+lane_off)&lt;=0,0,IF(((B115-1)*u_d/2*(1+f_hc)+lane_off)&gt;=v_sh^2/a_sh,((B115-1)*u_d/2*(1+f_hc)+lane_off)/v_sh+v_sh/a_sh,2*SQRT(((B115-1)*u_d/2*(1+f_hc)+lane_off)/a_sh)))</f>
        <v>7.62857142857143</v>
      </c>
      <c r="O115" s="47" t="n">
        <f aca="false">2*t_sh+2*t_turn+2*M115+2*N115</f>
        <v>87.7810072723084</v>
      </c>
      <c r="P115" s="47" t="n">
        <f aca="false">SUMPRODUCT((Tc_idx&lt;=C115)*(ROUNDUP(lam_total*INDEX(Tc_P,C115,0)*O115/(3600*rho_max)-0.000000001,0)+(ROUNDUP(lam_total*INDEX(Tc_P,C115,0)*O115/(3600*rho_max)-0.000000001,0)&lt;min_sh)*(min_sh-ROUNDUP(lam_total*INDEX(Tc_P,C115,0)*O115/(3600*rho_max)-0.000000001,0))))</f>
        <v>10</v>
      </c>
      <c r="Q115" s="3" t="n">
        <f aca="false">ROUNDUP(P115-0.000000001,0)+spares</f>
        <v>12</v>
      </c>
      <c r="R115" s="45" t="n">
        <f aca="false">B115*C115*(2*H115-G115*lpl)</f>
        <v>4736</v>
      </c>
      <c r="S115" s="45" t="n">
        <f aca="false">R115*fill</f>
        <v>4025.6</v>
      </c>
      <c r="T115" s="45" t="n">
        <f aca="false">I115*J115</f>
        <v>884</v>
      </c>
      <c r="U115" s="45" t="n">
        <f aca="false">T115*(K115+headroom)</f>
        <v>16530.8</v>
      </c>
      <c r="V115" s="45" t="n">
        <f aca="false">G115*c_lift</f>
        <v>300000</v>
      </c>
      <c r="W115" s="45" t="n">
        <f aca="false">Q115*c_shut</f>
        <v>600000</v>
      </c>
      <c r="X115" s="45" t="n">
        <f aca="false">R115*c_pos</f>
        <v>473600</v>
      </c>
      <c r="Y115" s="45" t="n">
        <f aca="false">T115*c_m2+U115*c_m3</f>
        <v>849524</v>
      </c>
      <c r="Z115" s="45" t="n">
        <f aca="false">SUM(V115:Y115)</f>
        <v>2223124</v>
      </c>
      <c r="AA115" s="34" t="n">
        <f aca="false">B115*u_d/(H115*u_w)</f>
        <v>0.26</v>
      </c>
      <c r="AB115" s="46" t="n">
        <f aca="false">IF(G115=0,0,F115/G115)</f>
        <v>0.375823412698413</v>
      </c>
      <c r="AC115" s="46" t="n">
        <f aca="false">IF(G115&gt;1,F115/(G115-1),"n/a")</f>
        <v>0.751646825396826</v>
      </c>
      <c r="AD115" s="47" t="n">
        <f aca="false">moves_day*m_pallet*9.81*INDEX(Tc_mh,C115)/3600000</f>
        <v>12.93612</v>
      </c>
      <c r="AE115" s="3" t="n">
        <f aca="false">IF(AND(K115&lt;=H_max,H115&lt;=300,OR(lane_policy="Free (optimize N_C)",B115=sku_pal),OR(env_use="No",AND(I115&lt;=L_bldg,J115&lt;=W_bldg),AND(I115&lt;=W_bldg,J115&lt;=L_bldg))),1,0)</f>
        <v>1</v>
      </c>
      <c r="AF115" s="48" t="n">
        <f aca="false">IF(obj_mode="Total cost",Z115,IF(obj_mode="Shuttle cycle",O115,T115))</f>
        <v>2223124</v>
      </c>
      <c r="AG115" s="3" t="n">
        <f aca="false">IF(AE115=1,AF115*(1+A115*0.0000000001),1E+099)</f>
        <v>2223124.02400974</v>
      </c>
      <c r="AH115" s="3" t="str">
        <f aca="false">IF(AE115=1,"",IF(K115&gt;H_max,"height",IF(AND(lane_policy&lt;&gt;"Free (optimize N_C)",B115&lt;&gt;sku_pal),"lane policy","footprint")))</f>
        <v/>
      </c>
    </row>
    <row r="116" customFormat="false" ht="15" hidden="false" customHeight="true" outlineLevel="0" collapsed="false">
      <c r="A116" s="3" t="n">
        <v>109</v>
      </c>
      <c r="B116" s="3" t="n">
        <f aca="false">$G$3</f>
        <v>8</v>
      </c>
      <c r="C116" s="3" t="n">
        <v>9</v>
      </c>
      <c r="D116" s="46" t="n">
        <f aca="false">INDEX(Tc_pl,C116)</f>
        <v>0.6</v>
      </c>
      <c r="E116" s="47" t="n">
        <f aca="false">INDEX(Tc_S,C116)</f>
        <v>45.2779761904762</v>
      </c>
      <c r="F116" s="34" t="n">
        <f aca="false">lam_total*D116*E116/3600</f>
        <v>0.754632936507936</v>
      </c>
      <c r="G116" s="3" t="n">
        <f aca="false">IF(F116&lt;=0.000000000001,0,MAX(ROUNDUP(F116/rho_max-0.000000001,0),IF(redund="Yes",ROUNDUP(F116/rho_fail-0.000000001,0)+1,0)))</f>
        <v>2</v>
      </c>
      <c r="H116" s="3" t="n">
        <f aca="false">MAX(1,ROUNDUP((P_req/(B116*C116)+G116*lpl)/2-0.000000001,0))</f>
        <v>36</v>
      </c>
      <c r="I116" s="47" t="n">
        <f aca="false">H116*u_w</f>
        <v>36</v>
      </c>
      <c r="J116" s="47" t="n">
        <f aca="false">2*B116*u_d+aisle_w</f>
        <v>22.1</v>
      </c>
      <c r="K116" s="47" t="n">
        <f aca="false">C116*u_h</f>
        <v>19.35</v>
      </c>
      <c r="L116" s="47" t="n">
        <f aca="false">IF(G116=0,I116,I116/(2*G116))</f>
        <v>9</v>
      </c>
      <c r="M116" s="34" t="n">
        <f aca="false">((IF((lane_off+(L116))&lt;=(v_sh^2/a_sh),(4/3)*(lane_off+(L116))^1.5/SQRT(a_sh),(4/3)*(v_sh^2/a_sh)^1.5/SQRT(a_sh)+((lane_off+(L116))^2-(v_sh^2/a_sh)^2)/(2*v_sh)+(v_sh/a_sh)*((lane_off+(L116))-(v_sh^2/a_sh))))-(IF((lane_off)&lt;=(v_sh^2/a_sh),(4/3)*(lane_off)^1.5/SQRT(a_sh),(4/3)*(v_sh^2/a_sh)^1.5/SQRT(a_sh)+((lane_off)^2-(v_sh^2/a_sh)^2)/(2*v_sh)+(v_sh/a_sh)*((lane_off)-(v_sh^2/a_sh)))))/(L116)</f>
        <v>6.90055959572691</v>
      </c>
      <c r="N116" s="34" t="n">
        <f aca="false">IF(((B116-1)*u_d/2*(1+f_hc)+lane_off)&lt;=0,0,IF(((B116-1)*u_d/2*(1+f_hc)+lane_off)&gt;=v_sh^2/a_sh,((B116-1)*u_d/2*(1+f_hc)+lane_off)/v_sh+v_sh/a_sh,2*SQRT(((B116-1)*u_d/2*(1+f_hc)+lane_off)/a_sh)))</f>
        <v>7.62857142857143</v>
      </c>
      <c r="O116" s="47" t="n">
        <f aca="false">2*t_sh+2*t_turn+2*M116+2*N116</f>
        <v>87.0582620485967</v>
      </c>
      <c r="P116" s="47" t="n">
        <f aca="false">SUMPRODUCT((Tc_idx&lt;=C116)*(ROUNDUP(lam_total*INDEX(Tc_P,C116,0)*O116/(3600*rho_max)-0.000000001,0)+(ROUNDUP(lam_total*INDEX(Tc_P,C116,0)*O116/(3600*rho_max)-0.000000001,0)&lt;min_sh)*(min_sh-ROUNDUP(lam_total*INDEX(Tc_P,C116,0)*O116/(3600*rho_max)-0.000000001,0))))</f>
        <v>11</v>
      </c>
      <c r="Q116" s="3" t="n">
        <f aca="false">ROUNDUP(P116-0.000000001,0)+spares</f>
        <v>13</v>
      </c>
      <c r="R116" s="45" t="n">
        <f aca="false">B116*C116*(2*H116-G116*lpl)</f>
        <v>4752</v>
      </c>
      <c r="S116" s="45" t="n">
        <f aca="false">R116*fill</f>
        <v>4039.2</v>
      </c>
      <c r="T116" s="45" t="n">
        <f aca="false">I116*J116</f>
        <v>795.6</v>
      </c>
      <c r="U116" s="45" t="n">
        <f aca="false">T116*(K116+headroom)</f>
        <v>16588.26</v>
      </c>
      <c r="V116" s="45" t="n">
        <f aca="false">G116*c_lift</f>
        <v>300000</v>
      </c>
      <c r="W116" s="45" t="n">
        <f aca="false">Q116*c_shut</f>
        <v>650000</v>
      </c>
      <c r="X116" s="45" t="n">
        <f aca="false">R116*c_pos</f>
        <v>475200</v>
      </c>
      <c r="Y116" s="45" t="n">
        <f aca="false">T116*c_m2+U116*c_m3</f>
        <v>815887.8</v>
      </c>
      <c r="Z116" s="45" t="n">
        <f aca="false">SUM(V116:Y116)</f>
        <v>2241087.8</v>
      </c>
      <c r="AA116" s="34" t="n">
        <f aca="false">B116*u_d/(H116*u_w)</f>
        <v>0.288888888888889</v>
      </c>
      <c r="AB116" s="46" t="n">
        <f aca="false">IF(G116=0,0,F116/G116)</f>
        <v>0.377316468253968</v>
      </c>
      <c r="AC116" s="46" t="n">
        <f aca="false">IF(G116&gt;1,F116/(G116-1),"n/a")</f>
        <v>0.754632936507936</v>
      </c>
      <c r="AD116" s="47" t="n">
        <f aca="false">moves_day*m_pallet*9.81*INDEX(Tc_mh,C116)/3600000</f>
        <v>13.21734</v>
      </c>
      <c r="AE116" s="3" t="n">
        <f aca="false">IF(AND(K116&lt;=H_max,H116&lt;=300,OR(lane_policy="Free (optimize N_C)",B116=sku_pal),OR(env_use="No",AND(I116&lt;=L_bldg,J116&lt;=W_bldg),AND(I116&lt;=W_bldg,J116&lt;=L_bldg))),1,0)</f>
        <v>1</v>
      </c>
      <c r="AF116" s="48" t="n">
        <f aca="false">IF(obj_mode="Total cost",Z116,IF(obj_mode="Shuttle cycle",O116,T116))</f>
        <v>2241087.8</v>
      </c>
      <c r="AG116" s="3" t="n">
        <f aca="false">IF(AE116=1,AF116*(1+A116*0.0000000001),1E+099)</f>
        <v>2241087.82442786</v>
      </c>
      <c r="AH116" s="3" t="str">
        <f aca="false">IF(AE116=1,"",IF(K116&gt;H_max,"height",IF(AND(lane_policy&lt;&gt;"Free (optimize N_C)",B116&lt;&gt;sku_pal),"lane policy","footprint")))</f>
        <v/>
      </c>
    </row>
    <row r="117" customFormat="false" ht="15" hidden="false" customHeight="true" outlineLevel="0" collapsed="false">
      <c r="A117" s="3" t="n">
        <v>110</v>
      </c>
      <c r="B117" s="3" t="n">
        <f aca="false">$G$3</f>
        <v>8</v>
      </c>
      <c r="C117" s="3" t="n">
        <v>10</v>
      </c>
      <c r="D117" s="46" t="n">
        <f aca="false">INDEX(Tc_pl,C117)</f>
        <v>0.6</v>
      </c>
      <c r="E117" s="47" t="n">
        <f aca="false">INDEX(Tc_S,C117)</f>
        <v>45.4571428571429</v>
      </c>
      <c r="F117" s="34" t="n">
        <f aca="false">lam_total*D117*E117/3600</f>
        <v>0.757619047619048</v>
      </c>
      <c r="G117" s="3" t="n">
        <f aca="false">IF(F117&lt;=0.000000000001,0,MAX(ROUNDUP(F117/rho_max-0.000000001,0),IF(redund="Yes",ROUNDUP(F117/rho_fail-0.000000001,0)+1,0)))</f>
        <v>2</v>
      </c>
      <c r="H117" s="3" t="n">
        <f aca="false">MAX(1,ROUNDUP((P_req/(B117*C117)+G117*lpl)/2-0.000000001,0))</f>
        <v>33</v>
      </c>
      <c r="I117" s="47" t="n">
        <f aca="false">H117*u_w</f>
        <v>33</v>
      </c>
      <c r="J117" s="47" t="n">
        <f aca="false">2*B117*u_d+aisle_w</f>
        <v>22.1</v>
      </c>
      <c r="K117" s="47" t="n">
        <f aca="false">C117*u_h</f>
        <v>21.5</v>
      </c>
      <c r="L117" s="47" t="n">
        <f aca="false">IF(G117=0,I117,I117/(2*G117))</f>
        <v>8.25</v>
      </c>
      <c r="M117" s="34" t="n">
        <f aca="false">((IF((lane_off+(L117))&lt;=(v_sh^2/a_sh),(4/3)*(lane_off+(L117))^1.5/SQRT(a_sh),(4/3)*(v_sh^2/a_sh)^1.5/SQRT(a_sh)+((lane_off+(L117))^2-(v_sh^2/a_sh)^2)/(2*v_sh)+(v_sh/a_sh)*((lane_off+(L117))-(v_sh^2/a_sh))))-(IF((lane_off)&lt;=(v_sh^2/a_sh),(4/3)*(lane_off)^1.5/SQRT(a_sh),(4/3)*(v_sh^2/a_sh)^1.5/SQRT(a_sh)+((lane_off)^2-(v_sh^2/a_sh)^2)/(2*v_sh)+(v_sh/a_sh)*((lane_off)-(v_sh^2/a_sh)))))/(L117)</f>
        <v>6.62885722131248</v>
      </c>
      <c r="N117" s="34" t="n">
        <f aca="false">IF(((B117-1)*u_d/2*(1+f_hc)+lane_off)&lt;=0,0,IF(((B117-1)*u_d/2*(1+f_hc)+lane_off)&gt;=v_sh^2/a_sh,((B117-1)*u_d/2*(1+f_hc)+lane_off)/v_sh+v_sh/a_sh,2*SQRT(((B117-1)*u_d/2*(1+f_hc)+lane_off)/a_sh)))</f>
        <v>7.62857142857143</v>
      </c>
      <c r="O117" s="47" t="n">
        <f aca="false">2*t_sh+2*t_turn+2*M117+2*N117</f>
        <v>86.5148572997678</v>
      </c>
      <c r="P117" s="47" t="n">
        <f aca="false">SUMPRODUCT((Tc_idx&lt;=C117)*(ROUNDUP(lam_total*INDEX(Tc_P,C117,0)*O117/(3600*rho_max)-0.000000001,0)+(ROUNDUP(lam_total*INDEX(Tc_P,C117,0)*O117/(3600*rho_max)-0.000000001,0)&lt;min_sh)*(min_sh-ROUNDUP(lam_total*INDEX(Tc_P,C117,0)*O117/(3600*rho_max)-0.000000001,0))))</f>
        <v>12</v>
      </c>
      <c r="Q117" s="3" t="n">
        <f aca="false">ROUNDUP(P117-0.000000001,0)+spares</f>
        <v>14</v>
      </c>
      <c r="R117" s="45" t="n">
        <f aca="false">B117*C117*(2*H117-G117*lpl)</f>
        <v>4800</v>
      </c>
      <c r="S117" s="45" t="n">
        <f aca="false">R117*fill</f>
        <v>4080</v>
      </c>
      <c r="T117" s="45" t="n">
        <f aca="false">I117*J117</f>
        <v>729.3</v>
      </c>
      <c r="U117" s="45" t="n">
        <f aca="false">T117*(K117+headroom)</f>
        <v>16773.9</v>
      </c>
      <c r="V117" s="45" t="n">
        <f aca="false">G117*c_lift</f>
        <v>300000</v>
      </c>
      <c r="W117" s="45" t="n">
        <f aca="false">Q117*c_shut</f>
        <v>700000</v>
      </c>
      <c r="X117" s="45" t="n">
        <f aca="false">R117*c_pos</f>
        <v>480000</v>
      </c>
      <c r="Y117" s="45" t="n">
        <f aca="false">T117*c_m2+U117*c_m3</f>
        <v>794937</v>
      </c>
      <c r="Z117" s="45" t="n">
        <f aca="false">SUM(V117:Y117)</f>
        <v>2274937</v>
      </c>
      <c r="AA117" s="34" t="n">
        <f aca="false">B117*u_d/(H117*u_w)</f>
        <v>0.315151515151515</v>
      </c>
      <c r="AB117" s="46" t="n">
        <f aca="false">IF(G117=0,0,F117/G117)</f>
        <v>0.378809523809524</v>
      </c>
      <c r="AC117" s="46" t="n">
        <f aca="false">IF(G117&gt;1,F117/(G117-1),"n/a")</f>
        <v>0.757619047619048</v>
      </c>
      <c r="AD117" s="47" t="n">
        <f aca="false">moves_day*m_pallet*9.81*INDEX(Tc_mh,C117)/3600000</f>
        <v>13.49856</v>
      </c>
      <c r="AE117" s="3" t="n">
        <f aca="false">IF(AND(K117&lt;=H_max,H117&lt;=300,OR(lane_policy="Free (optimize N_C)",B117=sku_pal),OR(env_use="No",AND(I117&lt;=L_bldg,J117&lt;=W_bldg),AND(I117&lt;=W_bldg,J117&lt;=L_bldg))),1,0)</f>
        <v>0</v>
      </c>
      <c r="AF117" s="48" t="n">
        <f aca="false">IF(obj_mode="Total cost",Z117,IF(obj_mode="Shuttle cycle",O117,T117))</f>
        <v>2274937</v>
      </c>
      <c r="AG117" s="3" t="n">
        <f aca="false">IF(AE117=1,AF117*(1+A117*0.0000000001),1E+099)</f>
        <v>1E+099</v>
      </c>
      <c r="AH117" s="3" t="str">
        <f aca="false">IF(AE117=1,"",IF(K117&gt;H_max,"height",IF(AND(lane_policy&lt;&gt;"Free (optimize N_C)",B117&lt;&gt;sku_pal),"lane policy","footprint")))</f>
        <v>height</v>
      </c>
    </row>
    <row r="118" customFormat="false" ht="15" hidden="false" customHeight="true" outlineLevel="0" collapsed="false">
      <c r="A118" s="3" t="n">
        <v>111</v>
      </c>
      <c r="B118" s="3" t="n">
        <f aca="false">$G$3</f>
        <v>8</v>
      </c>
      <c r="C118" s="3" t="n">
        <v>11</v>
      </c>
      <c r="D118" s="46" t="n">
        <f aca="false">INDEX(Tc_pl,C118)</f>
        <v>0.6</v>
      </c>
      <c r="E118" s="47" t="n">
        <f aca="false">INDEX(Tc_S,C118)</f>
        <v>45.6363095238095</v>
      </c>
      <c r="F118" s="34" t="n">
        <f aca="false">lam_total*D118*E118/3600</f>
        <v>0.760605158730159</v>
      </c>
      <c r="G118" s="3" t="n">
        <f aca="false">IF(F118&lt;=0.000000000001,0,MAX(ROUNDUP(F118/rho_max-0.000000001,0),IF(redund="Yes",ROUNDUP(F118/rho_fail-0.000000001,0)+1,0)))</f>
        <v>2</v>
      </c>
      <c r="H118" s="3" t="n">
        <f aca="false">MAX(1,ROUNDUP((P_req/(B118*C118)+G118*lpl)/2-0.000000001,0))</f>
        <v>30</v>
      </c>
      <c r="I118" s="47" t="n">
        <f aca="false">H118*u_w</f>
        <v>30</v>
      </c>
      <c r="J118" s="47" t="n">
        <f aca="false">2*B118*u_d+aisle_w</f>
        <v>22.1</v>
      </c>
      <c r="K118" s="47" t="n">
        <f aca="false">C118*u_h</f>
        <v>23.65</v>
      </c>
      <c r="L118" s="47" t="n">
        <f aca="false">IF(G118=0,I118,I118/(2*G118))</f>
        <v>7.5</v>
      </c>
      <c r="M118" s="34" t="n">
        <f aca="false">((IF((lane_off+(L118))&lt;=(v_sh^2/a_sh),(4/3)*(lane_off+(L118))^1.5/SQRT(a_sh),(4/3)*(v_sh^2/a_sh)^1.5/SQRT(a_sh)+((lane_off+(L118))^2-(v_sh^2/a_sh)^2)/(2*v_sh)+(v_sh/a_sh)*((lane_off+(L118))-(v_sh^2/a_sh))))-(IF((lane_off)&lt;=(v_sh^2/a_sh),(4/3)*(lane_off)^1.5/SQRT(a_sh),(4/3)*(v_sh^2/a_sh)^1.5/SQRT(a_sh)+((lane_off)^2-(v_sh^2/a_sh)^2)/(2*v_sh)+(v_sh/a_sh)*((lane_off)-(v_sh^2/a_sh)))))/(L118)</f>
        <v>6.35638580058658</v>
      </c>
      <c r="N118" s="34" t="n">
        <f aca="false">IF(((B118-1)*u_d/2*(1+f_hc)+lane_off)&lt;=0,0,IF(((B118-1)*u_d/2*(1+f_hc)+lane_off)&gt;=v_sh^2/a_sh,((B118-1)*u_d/2*(1+f_hc)+lane_off)/v_sh+v_sh/a_sh,2*SQRT(((B118-1)*u_d/2*(1+f_hc)+lane_off)/a_sh)))</f>
        <v>7.62857142857143</v>
      </c>
      <c r="O118" s="47" t="n">
        <f aca="false">2*t_sh+2*t_turn+2*M118+2*N118</f>
        <v>85.969914458316</v>
      </c>
      <c r="P118" s="47" t="n">
        <f aca="false">SUMPRODUCT((Tc_idx&lt;=C118)*(ROUNDUP(lam_total*INDEX(Tc_P,C118,0)*O118/(3600*rho_max)-0.000000001,0)+(ROUNDUP(lam_total*INDEX(Tc_P,C118,0)*O118/(3600*rho_max)-0.000000001,0)&lt;min_sh)*(min_sh-ROUNDUP(lam_total*INDEX(Tc_P,C118,0)*O118/(3600*rho_max)-0.000000001,0))))</f>
        <v>13</v>
      </c>
      <c r="Q118" s="3" t="n">
        <f aca="false">ROUNDUP(P118-0.000000001,0)+spares</f>
        <v>15</v>
      </c>
      <c r="R118" s="45" t="n">
        <f aca="false">B118*C118*(2*H118-G118*lpl)</f>
        <v>4752</v>
      </c>
      <c r="S118" s="45" t="n">
        <f aca="false">R118*fill</f>
        <v>4039.2</v>
      </c>
      <c r="T118" s="45" t="n">
        <f aca="false">I118*J118</f>
        <v>663</v>
      </c>
      <c r="U118" s="45" t="n">
        <f aca="false">T118*(K118+headroom)</f>
        <v>16674.45</v>
      </c>
      <c r="V118" s="45" t="n">
        <f aca="false">G118*c_lift</f>
        <v>300000</v>
      </c>
      <c r="W118" s="45" t="n">
        <f aca="false">Q118*c_shut</f>
        <v>750000</v>
      </c>
      <c r="X118" s="45" t="n">
        <f aca="false">R118*c_pos</f>
        <v>475200</v>
      </c>
      <c r="Y118" s="45" t="n">
        <f aca="false">T118*c_m2+U118*c_m3</f>
        <v>765433.5</v>
      </c>
      <c r="Z118" s="45" t="n">
        <f aca="false">SUM(V118:Y118)</f>
        <v>2290633.5</v>
      </c>
      <c r="AA118" s="34" t="n">
        <f aca="false">B118*u_d/(H118*u_w)</f>
        <v>0.346666666666667</v>
      </c>
      <c r="AB118" s="46" t="n">
        <f aca="false">IF(G118=0,0,F118/G118)</f>
        <v>0.380302579365079</v>
      </c>
      <c r="AC118" s="46" t="n">
        <f aca="false">IF(G118&gt;1,F118/(G118-1),"n/a")</f>
        <v>0.760605158730159</v>
      </c>
      <c r="AD118" s="47" t="n">
        <f aca="false">moves_day*m_pallet*9.81*INDEX(Tc_mh,C118)/3600000</f>
        <v>13.77978</v>
      </c>
      <c r="AE118" s="3" t="n">
        <f aca="false">IF(AND(K118&lt;=H_max,H118&lt;=300,OR(lane_policy="Free (optimize N_C)",B118=sku_pal),OR(env_use="No",AND(I118&lt;=L_bldg,J118&lt;=W_bldg),AND(I118&lt;=W_bldg,J118&lt;=L_bldg))),1,0)</f>
        <v>0</v>
      </c>
      <c r="AF118" s="48" t="n">
        <f aca="false">IF(obj_mode="Total cost",Z118,IF(obj_mode="Shuttle cycle",O118,T118))</f>
        <v>2290633.5</v>
      </c>
      <c r="AG118" s="3" t="n">
        <f aca="false">IF(AE118=1,AF118*(1+A118*0.0000000001),1E+099)</f>
        <v>1E+099</v>
      </c>
      <c r="AH118" s="3" t="str">
        <f aca="false">IF(AE118=1,"",IF(K118&gt;H_max,"height",IF(AND(lane_policy&lt;&gt;"Free (optimize N_C)",B118&lt;&gt;sku_pal),"lane policy","footprint")))</f>
        <v>height</v>
      </c>
    </row>
    <row r="119" customFormat="false" ht="15" hidden="false" customHeight="true" outlineLevel="0" collapsed="false">
      <c r="A119" s="3" t="n">
        <v>112</v>
      </c>
      <c r="B119" s="3" t="n">
        <f aca="false">$G$3</f>
        <v>8</v>
      </c>
      <c r="C119" s="3" t="n">
        <v>12</v>
      </c>
      <c r="D119" s="46" t="n">
        <f aca="false">INDEX(Tc_pl,C119)</f>
        <v>0.6</v>
      </c>
      <c r="E119" s="47" t="n">
        <f aca="false">INDEX(Tc_S,C119)</f>
        <v>45.8154761904762</v>
      </c>
      <c r="F119" s="34" t="n">
        <f aca="false">lam_total*D119*E119/3600</f>
        <v>0.76359126984127</v>
      </c>
      <c r="G119" s="3" t="n">
        <f aca="false">IF(F119&lt;=0.000000000001,0,MAX(ROUNDUP(F119/rho_max-0.000000001,0),IF(redund="Yes",ROUNDUP(F119/rho_fail-0.000000001,0)+1,0)))</f>
        <v>2</v>
      </c>
      <c r="H119" s="3" t="n">
        <f aca="false">MAX(1,ROUNDUP((P_req/(B119*C119)+G119*lpl)/2-0.000000001,0))</f>
        <v>28</v>
      </c>
      <c r="I119" s="47" t="n">
        <f aca="false">H119*u_w</f>
        <v>28</v>
      </c>
      <c r="J119" s="47" t="n">
        <f aca="false">2*B119*u_d+aisle_w</f>
        <v>22.1</v>
      </c>
      <c r="K119" s="47" t="n">
        <f aca="false">C119*u_h</f>
        <v>25.8</v>
      </c>
      <c r="L119" s="47" t="n">
        <f aca="false">IF(G119=0,I119,I119/(2*G119))</f>
        <v>7</v>
      </c>
      <c r="M119" s="34" t="n">
        <f aca="false">((IF((lane_off+(L119))&lt;=(v_sh^2/a_sh),(4/3)*(lane_off+(L119))^1.5/SQRT(a_sh),(4/3)*(v_sh^2/a_sh)^1.5/SQRT(a_sh)+((lane_off+(L119))^2-(v_sh^2/a_sh)^2)/(2*v_sh)+(v_sh/a_sh)*((lane_off+(L119))-(v_sh^2/a_sh))))-(IF((lane_off)&lt;=(v_sh^2/a_sh),(4/3)*(lane_off)^1.5/SQRT(a_sh),(4/3)*(v_sh^2/a_sh)^1.5/SQRT(a_sh)+((lane_off)^2-(v_sh^2/a_sh)^2)/(2*v_sh)+(v_sh/a_sh)*((lane_off)-(v_sh^2/a_sh)))))/(L119)</f>
        <v>6.17418886797542</v>
      </c>
      <c r="N119" s="34" t="n">
        <f aca="false">IF(((B119-1)*u_d/2*(1+f_hc)+lane_off)&lt;=0,0,IF(((B119-1)*u_d/2*(1+f_hc)+lane_off)&gt;=v_sh^2/a_sh,((B119-1)*u_d/2*(1+f_hc)+lane_off)/v_sh+v_sh/a_sh,2*SQRT(((B119-1)*u_d/2*(1+f_hc)+lane_off)/a_sh)))</f>
        <v>7.62857142857143</v>
      </c>
      <c r="O119" s="47" t="n">
        <f aca="false">2*t_sh+2*t_turn+2*M119+2*N119</f>
        <v>85.6055205930937</v>
      </c>
      <c r="P119" s="47" t="n">
        <f aca="false">SUMPRODUCT((Tc_idx&lt;=C119)*(ROUNDUP(lam_total*INDEX(Tc_P,C119,0)*O119/(3600*rho_max)-0.000000001,0)+(ROUNDUP(lam_total*INDEX(Tc_P,C119,0)*O119/(3600*rho_max)-0.000000001,0)&lt;min_sh)*(min_sh-ROUNDUP(lam_total*INDEX(Tc_P,C119,0)*O119/(3600*rho_max)-0.000000001,0))))</f>
        <v>14</v>
      </c>
      <c r="Q119" s="3" t="n">
        <f aca="false">ROUNDUP(P119-0.000000001,0)+spares</f>
        <v>16</v>
      </c>
      <c r="R119" s="45" t="n">
        <f aca="false">B119*C119*(2*H119-G119*lpl)</f>
        <v>4800</v>
      </c>
      <c r="S119" s="45" t="n">
        <f aca="false">R119*fill</f>
        <v>4080</v>
      </c>
      <c r="T119" s="45" t="n">
        <f aca="false">I119*J119</f>
        <v>618.8</v>
      </c>
      <c r="U119" s="45" t="n">
        <f aca="false">T119*(K119+headroom)</f>
        <v>16893.24</v>
      </c>
      <c r="V119" s="45" t="n">
        <f aca="false">G119*c_lift</f>
        <v>300000</v>
      </c>
      <c r="W119" s="45" t="n">
        <f aca="false">Q119*c_shut</f>
        <v>800000</v>
      </c>
      <c r="X119" s="45" t="n">
        <f aca="false">R119*c_pos</f>
        <v>480000</v>
      </c>
      <c r="Y119" s="45" t="n">
        <f aca="false">T119*c_m2+U119*c_m3</f>
        <v>754317.2</v>
      </c>
      <c r="Z119" s="45" t="n">
        <f aca="false">SUM(V119:Y119)</f>
        <v>2334317.2</v>
      </c>
      <c r="AA119" s="34" t="n">
        <f aca="false">B119*u_d/(H119*u_w)</f>
        <v>0.371428571428571</v>
      </c>
      <c r="AB119" s="46" t="n">
        <f aca="false">IF(G119=0,0,F119/G119)</f>
        <v>0.381795634920635</v>
      </c>
      <c r="AC119" s="46" t="n">
        <f aca="false">IF(G119&gt;1,F119/(G119-1),"n/a")</f>
        <v>0.76359126984127</v>
      </c>
      <c r="AD119" s="47" t="n">
        <f aca="false">moves_day*m_pallet*9.81*INDEX(Tc_mh,C119)/3600000</f>
        <v>14.061</v>
      </c>
      <c r="AE119" s="3" t="n">
        <f aca="false">IF(AND(K119&lt;=H_max,H119&lt;=300,OR(lane_policy="Free (optimize N_C)",B119=sku_pal),OR(env_use="No",AND(I119&lt;=L_bldg,J119&lt;=W_bldg),AND(I119&lt;=W_bldg,J119&lt;=L_bldg))),1,0)</f>
        <v>0</v>
      </c>
      <c r="AF119" s="48" t="n">
        <f aca="false">IF(obj_mode="Total cost",Z119,IF(obj_mode="Shuttle cycle",O119,T119))</f>
        <v>2334317.2</v>
      </c>
      <c r="AG119" s="3" t="n">
        <f aca="false">IF(AE119=1,AF119*(1+A119*0.0000000001),1E+099)</f>
        <v>1E+099</v>
      </c>
      <c r="AH119" s="3" t="str">
        <f aca="false">IF(AE119=1,"",IF(K119&gt;H_max,"height",IF(AND(lane_policy&lt;&gt;"Free (optimize N_C)",B119&lt;&gt;sku_pal),"lane policy","footprint")))</f>
        <v>height</v>
      </c>
    </row>
    <row r="120" customFormat="false" ht="15" hidden="false" customHeight="true" outlineLevel="0" collapsed="false">
      <c r="A120" s="3" t="n">
        <v>113</v>
      </c>
      <c r="B120" s="3" t="n">
        <f aca="false">$G$3</f>
        <v>8</v>
      </c>
      <c r="C120" s="3" t="n">
        <v>13</v>
      </c>
      <c r="D120" s="46" t="n">
        <f aca="false">INDEX(Tc_pl,C120)</f>
        <v>0.6</v>
      </c>
      <c r="E120" s="47" t="n">
        <f aca="false">INDEX(Tc_S,C120)</f>
        <v>45.9946428571429</v>
      </c>
      <c r="F120" s="34" t="n">
        <f aca="false">lam_total*D120*E120/3600</f>
        <v>0.766577380952381</v>
      </c>
      <c r="G120" s="3" t="n">
        <f aca="false">IF(F120&lt;=0.000000000001,0,MAX(ROUNDUP(F120/rho_max-0.000000001,0),IF(redund="Yes",ROUNDUP(F120/rho_fail-0.000000001,0)+1,0)))</f>
        <v>2</v>
      </c>
      <c r="H120" s="3" t="n">
        <f aca="false">MAX(1,ROUNDUP((P_req/(B120*C120)+G120*lpl)/2-0.000000001,0))</f>
        <v>26</v>
      </c>
      <c r="I120" s="47" t="n">
        <f aca="false">H120*u_w</f>
        <v>26</v>
      </c>
      <c r="J120" s="47" t="n">
        <f aca="false">2*B120*u_d+aisle_w</f>
        <v>22.1</v>
      </c>
      <c r="K120" s="47" t="n">
        <f aca="false">C120*u_h</f>
        <v>27.95</v>
      </c>
      <c r="L120" s="47" t="n">
        <f aca="false">IF(G120=0,I120,I120/(2*G120))</f>
        <v>6.5</v>
      </c>
      <c r="M120" s="34" t="n">
        <f aca="false">((IF((lane_off+(L120))&lt;=(v_sh^2/a_sh),(4/3)*(lane_off+(L120))^1.5/SQRT(a_sh),(4/3)*(v_sh^2/a_sh)^1.5/SQRT(a_sh)+((lane_off+(L120))^2-(v_sh^2/a_sh)^2)/(2*v_sh)+(v_sh/a_sh)*((lane_off+(L120))-(v_sh^2/a_sh))))-(IF((lane_off)&lt;=(v_sh^2/a_sh),(4/3)*(lane_off)^1.5/SQRT(a_sh),(4/3)*(v_sh^2/a_sh)^1.5/SQRT(a_sh)+((lane_off)^2-(v_sh^2/a_sh)^2)/(2*v_sh)+(v_sh/a_sh)*((lane_off)-(v_sh^2/a_sh)))))/(L120)</f>
        <v>5.99143416551199</v>
      </c>
      <c r="N120" s="34" t="n">
        <f aca="false">IF(((B120-1)*u_d/2*(1+f_hc)+lane_off)&lt;=0,0,IF(((B120-1)*u_d/2*(1+f_hc)+lane_off)&gt;=v_sh^2/a_sh,((B120-1)*u_d/2*(1+f_hc)+lane_off)/v_sh+v_sh/a_sh,2*SQRT(((B120-1)*u_d/2*(1+f_hc)+lane_off)/a_sh)))</f>
        <v>7.62857142857143</v>
      </c>
      <c r="O120" s="47" t="n">
        <f aca="false">2*t_sh+2*t_turn+2*M120+2*N120</f>
        <v>85.2400111881668</v>
      </c>
      <c r="P120" s="47" t="n">
        <f aca="false">SUMPRODUCT((Tc_idx&lt;=C120)*(ROUNDUP(lam_total*INDEX(Tc_P,C120,0)*O120/(3600*rho_max)-0.000000001,0)+(ROUNDUP(lam_total*INDEX(Tc_P,C120,0)*O120/(3600*rho_max)-0.000000001,0)&lt;min_sh)*(min_sh-ROUNDUP(lam_total*INDEX(Tc_P,C120,0)*O120/(3600*rho_max)-0.000000001,0))))</f>
        <v>15</v>
      </c>
      <c r="Q120" s="3" t="n">
        <f aca="false">ROUNDUP(P120-0.000000001,0)+spares</f>
        <v>17</v>
      </c>
      <c r="R120" s="45" t="n">
        <f aca="false">B120*C120*(2*H120-G120*lpl)</f>
        <v>4784</v>
      </c>
      <c r="S120" s="45" t="n">
        <f aca="false">R120*fill</f>
        <v>4066.4</v>
      </c>
      <c r="T120" s="45" t="n">
        <f aca="false">I120*J120</f>
        <v>574.6</v>
      </c>
      <c r="U120" s="45" t="n">
        <f aca="false">T120*(K120+headroom)</f>
        <v>16921.97</v>
      </c>
      <c r="V120" s="45" t="n">
        <f aca="false">G120*c_lift</f>
        <v>300000</v>
      </c>
      <c r="W120" s="45" t="n">
        <f aca="false">Q120*c_shut</f>
        <v>850000</v>
      </c>
      <c r="X120" s="45" t="n">
        <f aca="false">R120*c_pos</f>
        <v>478400</v>
      </c>
      <c r="Y120" s="45" t="n">
        <f aca="false">T120*c_m2+U120*c_m3</f>
        <v>737499.1</v>
      </c>
      <c r="Z120" s="45" t="n">
        <f aca="false">SUM(V120:Y120)</f>
        <v>2365899.1</v>
      </c>
      <c r="AA120" s="34" t="n">
        <f aca="false">B120*u_d/(H120*u_w)</f>
        <v>0.4</v>
      </c>
      <c r="AB120" s="46" t="n">
        <f aca="false">IF(G120=0,0,F120/G120)</f>
        <v>0.383288690476191</v>
      </c>
      <c r="AC120" s="46" t="n">
        <f aca="false">IF(G120&gt;1,F120/(G120-1),"n/a")</f>
        <v>0.766577380952381</v>
      </c>
      <c r="AD120" s="47" t="n">
        <f aca="false">moves_day*m_pallet*9.81*INDEX(Tc_mh,C120)/3600000</f>
        <v>14.34222</v>
      </c>
      <c r="AE120" s="3" t="n">
        <f aca="false">IF(AND(K120&lt;=H_max,H120&lt;=300,OR(lane_policy="Free (optimize N_C)",B120=sku_pal),OR(env_use="No",AND(I120&lt;=L_bldg,J120&lt;=W_bldg),AND(I120&lt;=W_bldg,J120&lt;=L_bldg))),1,0)</f>
        <v>0</v>
      </c>
      <c r="AF120" s="48" t="n">
        <f aca="false">IF(obj_mode="Total cost",Z120,IF(obj_mode="Shuttle cycle",O120,T120))</f>
        <v>2365899.1</v>
      </c>
      <c r="AG120" s="3" t="n">
        <f aca="false">IF(AE120=1,AF120*(1+A120*0.0000000001),1E+099)</f>
        <v>1E+099</v>
      </c>
      <c r="AH120" s="3" t="str">
        <f aca="false">IF(AE120=1,"",IF(K120&gt;H_max,"height",IF(AND(lane_policy&lt;&gt;"Free (optimize N_C)",B120&lt;&gt;sku_pal),"lane policy","footprint")))</f>
        <v>height</v>
      </c>
    </row>
    <row r="121" customFormat="false" ht="15" hidden="false" customHeight="true" outlineLevel="0" collapsed="false">
      <c r="A121" s="3" t="n">
        <v>114</v>
      </c>
      <c r="B121" s="3" t="n">
        <f aca="false">$G$3</f>
        <v>8</v>
      </c>
      <c r="C121" s="3" t="n">
        <v>14</v>
      </c>
      <c r="D121" s="46" t="n">
        <f aca="false">INDEX(Tc_pl,C121)</f>
        <v>0.6</v>
      </c>
      <c r="E121" s="47" t="n">
        <f aca="false">INDEX(Tc_S,C121)</f>
        <v>46.1738095238095</v>
      </c>
      <c r="F121" s="34" t="n">
        <f aca="false">lam_total*D121*E121/3600</f>
        <v>0.769563492063492</v>
      </c>
      <c r="G121" s="3" t="n">
        <f aca="false">IF(F121&lt;=0.000000000001,0,MAX(ROUNDUP(F121/rho_max-0.000000001,0),IF(redund="Yes",ROUNDUP(F121/rho_fail-0.000000001,0)+1,0)))</f>
        <v>2</v>
      </c>
      <c r="H121" s="3" t="n">
        <f aca="false">MAX(1,ROUNDUP((P_req/(B121*C121)+G121*lpl)/2-0.000000001,0))</f>
        <v>25</v>
      </c>
      <c r="I121" s="47" t="n">
        <f aca="false">H121*u_w</f>
        <v>25</v>
      </c>
      <c r="J121" s="47" t="n">
        <f aca="false">2*B121*u_d+aisle_w</f>
        <v>22.1</v>
      </c>
      <c r="K121" s="47" t="n">
        <f aca="false">C121*u_h</f>
        <v>30.1</v>
      </c>
      <c r="L121" s="47" t="n">
        <f aca="false">IF(G121=0,I121,I121/(2*G121))</f>
        <v>6.25</v>
      </c>
      <c r="M121" s="34" t="n">
        <f aca="false">((IF((lane_off+(L121))&lt;=(v_sh^2/a_sh),(4/3)*(lane_off+(L121))^1.5/SQRT(a_sh),(4/3)*(v_sh^2/a_sh)^1.5/SQRT(a_sh)+((lane_off+(L121))^2-(v_sh^2/a_sh)^2)/(2*v_sh)+(v_sh/a_sh)*((lane_off+(L121))-(v_sh^2/a_sh))))-(IF((lane_off)&lt;=(v_sh^2/a_sh),(4/3)*(lane_off)^1.5/SQRT(a_sh),(4/3)*(v_sh^2/a_sh)^1.5/SQRT(a_sh)+((lane_off)^2-(v_sh^2/a_sh)^2)/(2*v_sh)+(v_sh/a_sh)*((lane_off)-(v_sh^2/a_sh)))))/(L121)</f>
        <v>5.89980581784675</v>
      </c>
      <c r="N121" s="34" t="n">
        <f aca="false">IF(((B121-1)*u_d/2*(1+f_hc)+lane_off)&lt;=0,0,IF(((B121-1)*u_d/2*(1+f_hc)+lane_off)&gt;=v_sh^2/a_sh,((B121-1)*u_d/2*(1+f_hc)+lane_off)/v_sh+v_sh/a_sh,2*SQRT(((B121-1)*u_d/2*(1+f_hc)+lane_off)/a_sh)))</f>
        <v>7.62857142857143</v>
      </c>
      <c r="O121" s="47" t="n">
        <f aca="false">2*t_sh+2*t_turn+2*M121+2*N121</f>
        <v>85.0567544928364</v>
      </c>
      <c r="P121" s="47" t="n">
        <f aca="false">SUMPRODUCT((Tc_idx&lt;=C121)*(ROUNDUP(lam_total*INDEX(Tc_P,C121,0)*O121/(3600*rho_max)-0.000000001,0)+(ROUNDUP(lam_total*INDEX(Tc_P,C121,0)*O121/(3600*rho_max)-0.000000001,0)&lt;min_sh)*(min_sh-ROUNDUP(lam_total*INDEX(Tc_P,C121,0)*O121/(3600*rho_max)-0.000000001,0))))</f>
        <v>16</v>
      </c>
      <c r="Q121" s="3" t="n">
        <f aca="false">ROUNDUP(P121-0.000000001,0)+spares</f>
        <v>18</v>
      </c>
      <c r="R121" s="45" t="n">
        <f aca="false">B121*C121*(2*H121-G121*lpl)</f>
        <v>4928</v>
      </c>
      <c r="S121" s="45" t="n">
        <f aca="false">R121*fill</f>
        <v>4188.8</v>
      </c>
      <c r="T121" s="45" t="n">
        <f aca="false">I121*J121</f>
        <v>552.5</v>
      </c>
      <c r="U121" s="45" t="n">
        <f aca="false">T121*(K121+headroom)</f>
        <v>17459</v>
      </c>
      <c r="V121" s="45" t="n">
        <f aca="false">G121*c_lift</f>
        <v>300000</v>
      </c>
      <c r="W121" s="45" t="n">
        <f aca="false">Q121*c_shut</f>
        <v>900000</v>
      </c>
      <c r="X121" s="45" t="n">
        <f aca="false">R121*c_pos</f>
        <v>492800</v>
      </c>
      <c r="Y121" s="45" t="n">
        <f aca="false">T121*c_m2+U121*c_m3</f>
        <v>744770</v>
      </c>
      <c r="Z121" s="45" t="n">
        <f aca="false">SUM(V121:Y121)</f>
        <v>2437570</v>
      </c>
      <c r="AA121" s="34" t="n">
        <f aca="false">B121*u_d/(H121*u_w)</f>
        <v>0.416</v>
      </c>
      <c r="AB121" s="46" t="n">
        <f aca="false">IF(G121=0,0,F121/G121)</f>
        <v>0.384781746031746</v>
      </c>
      <c r="AC121" s="46" t="n">
        <f aca="false">IF(G121&gt;1,F121/(G121-1),"n/a")</f>
        <v>0.769563492063492</v>
      </c>
      <c r="AD121" s="47" t="n">
        <f aca="false">moves_day*m_pallet*9.81*INDEX(Tc_mh,C121)/3600000</f>
        <v>14.62344</v>
      </c>
      <c r="AE121" s="3" t="n">
        <f aca="false">IF(AND(K121&lt;=H_max,H121&lt;=300,OR(lane_policy="Free (optimize N_C)",B121=sku_pal),OR(env_use="No",AND(I121&lt;=L_bldg,J121&lt;=W_bldg),AND(I121&lt;=W_bldg,J121&lt;=L_bldg))),1,0)</f>
        <v>0</v>
      </c>
      <c r="AF121" s="48" t="n">
        <f aca="false">IF(obj_mode="Total cost",Z121,IF(obj_mode="Shuttle cycle",O121,T121))</f>
        <v>2437570</v>
      </c>
      <c r="AG121" s="3" t="n">
        <f aca="false">IF(AE121=1,AF121*(1+A121*0.0000000001),1E+099)</f>
        <v>1E+099</v>
      </c>
      <c r="AH121" s="3" t="str">
        <f aca="false">IF(AE121=1,"",IF(K121&gt;H_max,"height",IF(AND(lane_policy&lt;&gt;"Free (optimize N_C)",B121&lt;&gt;sku_pal),"lane policy","footprint")))</f>
        <v>height</v>
      </c>
    </row>
    <row r="122" customFormat="false" ht="15" hidden="false" customHeight="true" outlineLevel="0" collapsed="false">
      <c r="A122" s="3" t="n">
        <v>115</v>
      </c>
      <c r="B122" s="3" t="n">
        <f aca="false">$G$3</f>
        <v>8</v>
      </c>
      <c r="C122" s="3" t="n">
        <v>15</v>
      </c>
      <c r="D122" s="46" t="n">
        <f aca="false">INDEX(Tc_pl,C122)</f>
        <v>0.6</v>
      </c>
      <c r="E122" s="47" t="n">
        <f aca="false">INDEX(Tc_S,C122)</f>
        <v>46.3529761904762</v>
      </c>
      <c r="F122" s="34" t="n">
        <f aca="false">lam_total*D122*E122/3600</f>
        <v>0.772549603174603</v>
      </c>
      <c r="G122" s="3" t="n">
        <f aca="false">IF(F122&lt;=0.000000000001,0,MAX(ROUNDUP(F122/rho_max-0.000000001,0),IF(redund="Yes",ROUNDUP(F122/rho_fail-0.000000001,0)+1,0)))</f>
        <v>2</v>
      </c>
      <c r="H122" s="3" t="n">
        <f aca="false">MAX(1,ROUNDUP((P_req/(B122*C122)+G122*lpl)/2-0.000000001,0))</f>
        <v>23</v>
      </c>
      <c r="I122" s="47" t="n">
        <f aca="false">H122*u_w</f>
        <v>23</v>
      </c>
      <c r="J122" s="47" t="n">
        <f aca="false">2*B122*u_d+aisle_w</f>
        <v>22.1</v>
      </c>
      <c r="K122" s="47" t="n">
        <f aca="false">C122*u_h</f>
        <v>32.25</v>
      </c>
      <c r="L122" s="47" t="n">
        <f aca="false">IF(G122=0,I122,I122/(2*G122))</f>
        <v>5.75</v>
      </c>
      <c r="M122" s="34" t="n">
        <f aca="false">((IF((lane_off+(L122))&lt;=(v_sh^2/a_sh),(4/3)*(lane_off+(L122))^1.5/SQRT(a_sh),(4/3)*(v_sh^2/a_sh)^1.5/SQRT(a_sh)+((lane_off+(L122))^2-(v_sh^2/a_sh)^2)/(2*v_sh)+(v_sh/a_sh)*((lane_off+(L122))-(v_sh^2/a_sh))))-(IF((lane_off)&lt;=(v_sh^2/a_sh),(4/3)*(lane_off)^1.5/SQRT(a_sh),(4/3)*(v_sh^2/a_sh)^1.5/SQRT(a_sh)+((lane_off)^2-(v_sh^2/a_sh)^2)/(2*v_sh)+(v_sh/a_sh)*((lane_off)-(v_sh^2/a_sh)))))/(L122)</f>
        <v>5.71593800076511</v>
      </c>
      <c r="N122" s="34" t="n">
        <f aca="false">IF(((B122-1)*u_d/2*(1+f_hc)+lane_off)&lt;=0,0,IF(((B122-1)*u_d/2*(1+f_hc)+lane_off)&gt;=v_sh^2/a_sh,((B122-1)*u_d/2*(1+f_hc)+lane_off)/v_sh+v_sh/a_sh,2*SQRT(((B122-1)*u_d/2*(1+f_hc)+lane_off)/a_sh)))</f>
        <v>7.62857142857143</v>
      </c>
      <c r="O122" s="47" t="n">
        <f aca="false">2*t_sh+2*t_turn+2*M122+2*N122</f>
        <v>84.6890188586731</v>
      </c>
      <c r="P122" s="47" t="n">
        <f aca="false">SUMPRODUCT((Tc_idx&lt;=C122)*(ROUNDUP(lam_total*INDEX(Tc_P,C122,0)*O122/(3600*rho_max)-0.000000001,0)+(ROUNDUP(lam_total*INDEX(Tc_P,C122,0)*O122/(3600*rho_max)-0.000000001,0)&lt;min_sh)*(min_sh-ROUNDUP(lam_total*INDEX(Tc_P,C122,0)*O122/(3600*rho_max)-0.000000001,0))))</f>
        <v>17</v>
      </c>
      <c r="Q122" s="3" t="n">
        <f aca="false">ROUNDUP(P122-0.000000001,0)+spares</f>
        <v>19</v>
      </c>
      <c r="R122" s="45" t="n">
        <f aca="false">B122*C122*(2*H122-G122*lpl)</f>
        <v>4800</v>
      </c>
      <c r="S122" s="45" t="n">
        <f aca="false">R122*fill</f>
        <v>4080</v>
      </c>
      <c r="T122" s="45" t="n">
        <f aca="false">I122*J122</f>
        <v>508.3</v>
      </c>
      <c r="U122" s="45" t="n">
        <f aca="false">T122*(K122+headroom)</f>
        <v>17155.125</v>
      </c>
      <c r="V122" s="45" t="n">
        <f aca="false">G122*c_lift</f>
        <v>300000</v>
      </c>
      <c r="W122" s="45" t="n">
        <f aca="false">Q122*c_shut</f>
        <v>950000</v>
      </c>
      <c r="X122" s="45" t="n">
        <f aca="false">R122*c_pos</f>
        <v>480000</v>
      </c>
      <c r="Y122" s="45" t="n">
        <f aca="false">T122*c_m2+U122*c_m3</f>
        <v>717973.75</v>
      </c>
      <c r="Z122" s="45" t="n">
        <f aca="false">SUM(V122:Y122)</f>
        <v>2447973.75</v>
      </c>
      <c r="AA122" s="34" t="n">
        <f aca="false">B122*u_d/(H122*u_w)</f>
        <v>0.452173913043478</v>
      </c>
      <c r="AB122" s="46" t="n">
        <f aca="false">IF(G122=0,0,F122/G122)</f>
        <v>0.386274801587302</v>
      </c>
      <c r="AC122" s="46" t="n">
        <f aca="false">IF(G122&gt;1,F122/(G122-1),"n/a")</f>
        <v>0.772549603174603</v>
      </c>
      <c r="AD122" s="47" t="n">
        <f aca="false">moves_day*m_pallet*9.81*INDEX(Tc_mh,C122)/3600000</f>
        <v>14.90466</v>
      </c>
      <c r="AE122" s="3" t="n">
        <f aca="false">IF(AND(K122&lt;=H_max,H122&lt;=300,OR(lane_policy="Free (optimize N_C)",B122=sku_pal),OR(env_use="No",AND(I122&lt;=L_bldg,J122&lt;=W_bldg),AND(I122&lt;=W_bldg,J122&lt;=L_bldg))),1,0)</f>
        <v>0</v>
      </c>
      <c r="AF122" s="48" t="n">
        <f aca="false">IF(obj_mode="Total cost",Z122,IF(obj_mode="Shuttle cycle",O122,T122))</f>
        <v>2447973.75</v>
      </c>
      <c r="AG122" s="3" t="n">
        <f aca="false">IF(AE122=1,AF122*(1+A122*0.0000000001),1E+099)</f>
        <v>1E+099</v>
      </c>
      <c r="AH122" s="3" t="str">
        <f aca="false">IF(AE122=1,"",IF(K122&gt;H_max,"height",IF(AND(lane_policy&lt;&gt;"Free (optimize N_C)",B122&lt;&gt;sku_pal),"lane policy","footprint")))</f>
        <v>height</v>
      </c>
    </row>
    <row r="123" customFormat="false" ht="15" hidden="false" customHeight="true" outlineLevel="0" collapsed="false">
      <c r="A123" s="3" t="n">
        <v>116</v>
      </c>
      <c r="B123" s="3" t="n">
        <f aca="false">$G$3</f>
        <v>8</v>
      </c>
      <c r="C123" s="3" t="n">
        <v>16</v>
      </c>
      <c r="D123" s="46" t="n">
        <f aca="false">INDEX(Tc_pl,C123)</f>
        <v>0.6</v>
      </c>
      <c r="E123" s="47" t="n">
        <f aca="false">INDEX(Tc_S,C123)</f>
        <v>46.5321428571429</v>
      </c>
      <c r="F123" s="34" t="n">
        <f aca="false">lam_total*D123*E123/3600</f>
        <v>0.775535714285714</v>
      </c>
      <c r="G123" s="3" t="n">
        <f aca="false">IF(F123&lt;=0.000000000001,0,MAX(ROUNDUP(F123/rho_max-0.000000001,0),IF(redund="Yes",ROUNDUP(F123/rho_fail-0.000000001,0)+1,0)))</f>
        <v>2</v>
      </c>
      <c r="H123" s="3" t="n">
        <f aca="false">MAX(1,ROUNDUP((P_req/(B123*C123)+G123*lpl)/2-0.000000001,0))</f>
        <v>22</v>
      </c>
      <c r="I123" s="47" t="n">
        <f aca="false">H123*u_w</f>
        <v>22</v>
      </c>
      <c r="J123" s="47" t="n">
        <f aca="false">2*B123*u_d+aisle_w</f>
        <v>22.1</v>
      </c>
      <c r="K123" s="47" t="n">
        <f aca="false">C123*u_h</f>
        <v>34.4</v>
      </c>
      <c r="L123" s="47" t="n">
        <f aca="false">IF(G123=0,I123,I123/(2*G123))</f>
        <v>5.5</v>
      </c>
      <c r="M123" s="34" t="n">
        <f aca="false">((IF((lane_off+(L123))&lt;=(v_sh^2/a_sh),(4/3)*(lane_off+(L123))^1.5/SQRT(a_sh),(4/3)*(v_sh^2/a_sh)^1.5/SQRT(a_sh)+((lane_off+(L123))^2-(v_sh^2/a_sh)^2)/(2*v_sh)+(v_sh/a_sh)*((lane_off+(L123))-(v_sh^2/a_sh))))-(IF((lane_off)&lt;=(v_sh^2/a_sh),(4/3)*(lane_off)^1.5/SQRT(a_sh),(4/3)*(v_sh^2/a_sh)^1.5/SQRT(a_sh)+((lane_off)^2-(v_sh^2/a_sh)^2)/(2*v_sh)+(v_sh/a_sh)*((lane_off)-(v_sh^2/a_sh)))))/(L123)</f>
        <v>5.62364297482586</v>
      </c>
      <c r="N123" s="34" t="n">
        <f aca="false">IF(((B123-1)*u_d/2*(1+f_hc)+lane_off)&lt;=0,0,IF(((B123-1)*u_d/2*(1+f_hc)+lane_off)&gt;=v_sh^2/a_sh,((B123-1)*u_d/2*(1+f_hc)+lane_off)/v_sh+v_sh/a_sh,2*SQRT(((B123-1)*u_d/2*(1+f_hc)+lane_off)/a_sh)))</f>
        <v>7.62857142857143</v>
      </c>
      <c r="O123" s="47" t="n">
        <f aca="false">2*t_sh+2*t_turn+2*M123+2*N123</f>
        <v>84.5044288067946</v>
      </c>
      <c r="P123" s="47" t="n">
        <f aca="false">SUMPRODUCT((Tc_idx&lt;=C123)*(ROUNDUP(lam_total*INDEX(Tc_P,C123,0)*O123/(3600*rho_max)-0.000000001,0)+(ROUNDUP(lam_total*INDEX(Tc_P,C123,0)*O123/(3600*rho_max)-0.000000001,0)&lt;min_sh)*(min_sh-ROUNDUP(lam_total*INDEX(Tc_P,C123,0)*O123/(3600*rho_max)-0.000000001,0))))</f>
        <v>18</v>
      </c>
      <c r="Q123" s="3" t="n">
        <f aca="false">ROUNDUP(P123-0.000000001,0)+spares</f>
        <v>20</v>
      </c>
      <c r="R123" s="45" t="n">
        <f aca="false">B123*C123*(2*H123-G123*lpl)</f>
        <v>4864</v>
      </c>
      <c r="S123" s="45" t="n">
        <f aca="false">R123*fill</f>
        <v>4134.4</v>
      </c>
      <c r="T123" s="45" t="n">
        <f aca="false">I123*J123</f>
        <v>486.2</v>
      </c>
      <c r="U123" s="45" t="n">
        <f aca="false">T123*(K123+headroom)</f>
        <v>17454.58</v>
      </c>
      <c r="V123" s="45" t="n">
        <f aca="false">G123*c_lift</f>
        <v>300000</v>
      </c>
      <c r="W123" s="45" t="n">
        <f aca="false">Q123*c_shut</f>
        <v>1000000</v>
      </c>
      <c r="X123" s="45" t="n">
        <f aca="false">R123*c_pos</f>
        <v>486400</v>
      </c>
      <c r="Y123" s="45" t="n">
        <f aca="false">T123*c_m2+U123*c_m3</f>
        <v>718117.4</v>
      </c>
      <c r="Z123" s="45" t="n">
        <f aca="false">SUM(V123:Y123)</f>
        <v>2504517.4</v>
      </c>
      <c r="AA123" s="34" t="n">
        <f aca="false">B123*u_d/(H123*u_w)</f>
        <v>0.472727272727273</v>
      </c>
      <c r="AB123" s="46" t="n">
        <f aca="false">IF(G123=0,0,F123/G123)</f>
        <v>0.387767857142857</v>
      </c>
      <c r="AC123" s="46" t="n">
        <f aca="false">IF(G123&gt;1,F123/(G123-1),"n/a")</f>
        <v>0.775535714285714</v>
      </c>
      <c r="AD123" s="47" t="n">
        <f aca="false">moves_day*m_pallet*9.81*INDEX(Tc_mh,C123)/3600000</f>
        <v>15.18588</v>
      </c>
      <c r="AE123" s="3" t="n">
        <f aca="false">IF(AND(K123&lt;=H_max,H123&lt;=300,OR(lane_policy="Free (optimize N_C)",B123=sku_pal),OR(env_use="No",AND(I123&lt;=L_bldg,J123&lt;=W_bldg),AND(I123&lt;=W_bldg,J123&lt;=L_bldg))),1,0)</f>
        <v>0</v>
      </c>
      <c r="AF123" s="48" t="n">
        <f aca="false">IF(obj_mode="Total cost",Z123,IF(obj_mode="Shuttle cycle",O123,T123))</f>
        <v>2504517.4</v>
      </c>
      <c r="AG123" s="3" t="n">
        <f aca="false">IF(AE123=1,AF123*(1+A123*0.0000000001),1E+099)</f>
        <v>1E+099</v>
      </c>
      <c r="AH123" s="3" t="str">
        <f aca="false">IF(AE123=1,"",IF(K123&gt;H_max,"height",IF(AND(lane_policy&lt;&gt;"Free (optimize N_C)",B123&lt;&gt;sku_pal),"lane policy","footprint")))</f>
        <v>height</v>
      </c>
    </row>
    <row r="124" customFormat="false" ht="15" hidden="false" customHeight="true" outlineLevel="0" collapsed="false">
      <c r="A124" s="3" t="n">
        <v>117</v>
      </c>
      <c r="B124" s="3" t="n">
        <f aca="false">$G$3</f>
        <v>8</v>
      </c>
      <c r="C124" s="3" t="n">
        <v>17</v>
      </c>
      <c r="D124" s="46" t="n">
        <f aca="false">INDEX(Tc_pl,C124)</f>
        <v>0.6</v>
      </c>
      <c r="E124" s="47" t="n">
        <f aca="false">INDEX(Tc_S,C124)</f>
        <v>46.7113095238095</v>
      </c>
      <c r="F124" s="34" t="n">
        <f aca="false">lam_total*D124*E124/3600</f>
        <v>0.778521825396825</v>
      </c>
      <c r="G124" s="3" t="n">
        <f aca="false">IF(F124&lt;=0.000000000001,0,MAX(ROUNDUP(F124/rho_max-0.000000001,0),IF(redund="Yes",ROUNDUP(F124/rho_fail-0.000000001,0)+1,0)))</f>
        <v>2</v>
      </c>
      <c r="H124" s="3" t="n">
        <f aca="false">MAX(1,ROUNDUP((P_req/(B124*C124)+G124*lpl)/2-0.000000001,0))</f>
        <v>21</v>
      </c>
      <c r="I124" s="47" t="n">
        <f aca="false">H124*u_w</f>
        <v>21</v>
      </c>
      <c r="J124" s="47" t="n">
        <f aca="false">2*B124*u_d+aisle_w</f>
        <v>22.1</v>
      </c>
      <c r="K124" s="47" t="n">
        <f aca="false">C124*u_h</f>
        <v>36.55</v>
      </c>
      <c r="L124" s="47" t="n">
        <f aca="false">IF(G124=0,I124,I124/(2*G124))</f>
        <v>5.25</v>
      </c>
      <c r="M124" s="34" t="n">
        <f aca="false">((IF((lane_off+(L124))&lt;=(v_sh^2/a_sh),(4/3)*(lane_off+(L124))^1.5/SQRT(a_sh),(4/3)*(v_sh^2/a_sh)^1.5/SQRT(a_sh)+((lane_off+(L124))^2-(v_sh^2/a_sh)^2)/(2*v_sh)+(v_sh/a_sh)*((lane_off+(L124))-(v_sh^2/a_sh))))-(IF((lane_off)&lt;=(v_sh^2/a_sh),(4/3)*(lane_off)^1.5/SQRT(a_sh),(4/3)*(v_sh^2/a_sh)^1.5/SQRT(a_sh)+((lane_off)^2-(v_sh^2/a_sh)^2)/(2*v_sh)+(v_sh/a_sh)*((lane_off)-(v_sh^2/a_sh)))))/(L124)</f>
        <v>5.53106134777675</v>
      </c>
      <c r="N124" s="34" t="n">
        <f aca="false">IF(((B124-1)*u_d/2*(1+f_hc)+lane_off)&lt;=0,0,IF(((B124-1)*u_d/2*(1+f_hc)+lane_off)&gt;=v_sh^2/a_sh,((B124-1)*u_d/2*(1+f_hc)+lane_off)/v_sh+v_sh/a_sh,2*SQRT(((B124-1)*u_d/2*(1+f_hc)+lane_off)/a_sh)))</f>
        <v>7.62857142857143</v>
      </c>
      <c r="O124" s="47" t="n">
        <f aca="false">2*t_sh+2*t_turn+2*M124+2*N124</f>
        <v>84.3192655526964</v>
      </c>
      <c r="P124" s="47" t="n">
        <f aca="false">SUMPRODUCT((Tc_idx&lt;=C124)*(ROUNDUP(lam_total*INDEX(Tc_P,C124,0)*O124/(3600*rho_max)-0.000000001,0)+(ROUNDUP(lam_total*INDEX(Tc_P,C124,0)*O124/(3600*rho_max)-0.000000001,0)&lt;min_sh)*(min_sh-ROUNDUP(lam_total*INDEX(Tc_P,C124,0)*O124/(3600*rho_max)-0.000000001,0))))</f>
        <v>19</v>
      </c>
      <c r="Q124" s="3" t="n">
        <f aca="false">ROUNDUP(P124-0.000000001,0)+spares</f>
        <v>21</v>
      </c>
      <c r="R124" s="45" t="n">
        <f aca="false">B124*C124*(2*H124-G124*lpl)</f>
        <v>4896</v>
      </c>
      <c r="S124" s="45" t="n">
        <f aca="false">R124*fill</f>
        <v>4161.6</v>
      </c>
      <c r="T124" s="45" t="n">
        <f aca="false">I124*J124</f>
        <v>464.1</v>
      </c>
      <c r="U124" s="45" t="n">
        <f aca="false">T124*(K124+headroom)</f>
        <v>17659.005</v>
      </c>
      <c r="V124" s="45" t="n">
        <f aca="false">G124*c_lift</f>
        <v>300000</v>
      </c>
      <c r="W124" s="45" t="n">
        <f aca="false">Q124*c_shut</f>
        <v>1050000</v>
      </c>
      <c r="X124" s="45" t="n">
        <f aca="false">R124*c_pos</f>
        <v>489600</v>
      </c>
      <c r="Y124" s="45" t="n">
        <f aca="false">T124*c_m2+U124*c_m3</f>
        <v>715410.15</v>
      </c>
      <c r="Z124" s="45" t="n">
        <f aca="false">SUM(V124:Y124)</f>
        <v>2555010.15</v>
      </c>
      <c r="AA124" s="34" t="n">
        <f aca="false">B124*u_d/(H124*u_w)</f>
        <v>0.495238095238095</v>
      </c>
      <c r="AB124" s="46" t="n">
        <f aca="false">IF(G124=0,0,F124/G124)</f>
        <v>0.389260912698413</v>
      </c>
      <c r="AC124" s="46" t="n">
        <f aca="false">IF(G124&gt;1,F124/(G124-1),"n/a")</f>
        <v>0.778521825396825</v>
      </c>
      <c r="AD124" s="47" t="n">
        <f aca="false">moves_day*m_pallet*9.81*INDEX(Tc_mh,C124)/3600000</f>
        <v>15.4671</v>
      </c>
      <c r="AE124" s="3" t="n">
        <f aca="false">IF(AND(K124&lt;=H_max,H124&lt;=300,OR(lane_policy="Free (optimize N_C)",B124=sku_pal),OR(env_use="No",AND(I124&lt;=L_bldg,J124&lt;=W_bldg),AND(I124&lt;=W_bldg,J124&lt;=L_bldg))),1,0)</f>
        <v>0</v>
      </c>
      <c r="AF124" s="48" t="n">
        <f aca="false">IF(obj_mode="Total cost",Z124,IF(obj_mode="Shuttle cycle",O124,T124))</f>
        <v>2555010.15</v>
      </c>
      <c r="AG124" s="3" t="n">
        <f aca="false">IF(AE124=1,AF124*(1+A124*0.0000000001),1E+099)</f>
        <v>1E+099</v>
      </c>
      <c r="AH124" s="3" t="str">
        <f aca="false">IF(AE124=1,"",IF(K124&gt;H_max,"height",IF(AND(lane_policy&lt;&gt;"Free (optimize N_C)",B124&lt;&gt;sku_pal),"lane policy","footprint")))</f>
        <v>height</v>
      </c>
    </row>
    <row r="125" customFormat="false" ht="15" hidden="false" customHeight="true" outlineLevel="0" collapsed="false">
      <c r="A125" s="3" t="n">
        <v>118</v>
      </c>
      <c r="B125" s="3" t="n">
        <f aca="false">$G$3</f>
        <v>8</v>
      </c>
      <c r="C125" s="3" t="n">
        <v>18</v>
      </c>
      <c r="D125" s="46" t="n">
        <f aca="false">INDEX(Tc_pl,C125)</f>
        <v>0.6</v>
      </c>
      <c r="E125" s="47" t="n">
        <f aca="false">INDEX(Tc_S,C125)</f>
        <v>46.8904761904762</v>
      </c>
      <c r="F125" s="34" t="n">
        <f aca="false">lam_total*D125*E125/3600</f>
        <v>0.781507936507937</v>
      </c>
      <c r="G125" s="3" t="n">
        <f aca="false">IF(F125&lt;=0.000000000001,0,MAX(ROUNDUP(F125/rho_max-0.000000001,0),IF(redund="Yes",ROUNDUP(F125/rho_fail-0.000000001,0)+1,0)))</f>
        <v>2</v>
      </c>
      <c r="H125" s="3" t="n">
        <f aca="false">MAX(1,ROUNDUP((P_req/(B125*C125)+G125*lpl)/2-0.000000001,0))</f>
        <v>20</v>
      </c>
      <c r="I125" s="47" t="n">
        <f aca="false">H125*u_w</f>
        <v>20</v>
      </c>
      <c r="J125" s="47" t="n">
        <f aca="false">2*B125*u_d+aisle_w</f>
        <v>22.1</v>
      </c>
      <c r="K125" s="47" t="n">
        <f aca="false">C125*u_h</f>
        <v>38.7</v>
      </c>
      <c r="L125" s="47" t="n">
        <f aca="false">IF(G125=0,I125,I125/(2*G125))</f>
        <v>5</v>
      </c>
      <c r="M125" s="34" t="n">
        <f aca="false">((IF((lane_off+(L125))&lt;=(v_sh^2/a_sh),(4/3)*(lane_off+(L125))^1.5/SQRT(a_sh),(4/3)*(v_sh^2/a_sh)^1.5/SQRT(a_sh)+((lane_off+(L125))^2-(v_sh^2/a_sh)^2)/(2*v_sh)+(v_sh/a_sh)*((lane_off+(L125))-(v_sh^2/a_sh))))-(IF((lane_off)&lt;=(v_sh^2/a_sh),(4/3)*(lane_off)^1.5/SQRT(a_sh),(4/3)*(v_sh^2/a_sh)^1.5/SQRT(a_sh)+((lane_off)^2-(v_sh^2/a_sh)^2)/(2*v_sh)+(v_sh/a_sh)*((lane_off)-(v_sh^2/a_sh)))))/(L125)</f>
        <v>5.4381501294513</v>
      </c>
      <c r="N125" s="34" t="n">
        <f aca="false">IF(((B125-1)*u_d/2*(1+f_hc)+lane_off)&lt;=0,0,IF(((B125-1)*u_d/2*(1+f_hc)+lane_off)&gt;=v_sh^2/a_sh,((B125-1)*u_d/2*(1+f_hc)+lane_off)/v_sh+v_sh/a_sh,2*SQRT(((B125-1)*u_d/2*(1+f_hc)+lane_off)/a_sh)))</f>
        <v>7.62857142857143</v>
      </c>
      <c r="O125" s="47" t="n">
        <f aca="false">2*t_sh+2*t_turn+2*M125+2*N125</f>
        <v>84.1334431160455</v>
      </c>
      <c r="P125" s="47" t="n">
        <f aca="false">SUMPRODUCT((Tc_idx&lt;=C125)*(ROUNDUP(lam_total*INDEX(Tc_P,C125,0)*O125/(3600*rho_max)-0.000000001,0)+(ROUNDUP(lam_total*INDEX(Tc_P,C125,0)*O125/(3600*rho_max)-0.000000001,0)&lt;min_sh)*(min_sh-ROUNDUP(lam_total*INDEX(Tc_P,C125,0)*O125/(3600*rho_max)-0.000000001,0))))</f>
        <v>20</v>
      </c>
      <c r="Q125" s="3" t="n">
        <f aca="false">ROUNDUP(P125-0.000000001,0)+spares</f>
        <v>22</v>
      </c>
      <c r="R125" s="45" t="n">
        <f aca="false">B125*C125*(2*H125-G125*lpl)</f>
        <v>4896</v>
      </c>
      <c r="S125" s="45" t="n">
        <f aca="false">R125*fill</f>
        <v>4161.6</v>
      </c>
      <c r="T125" s="45" t="n">
        <f aca="false">I125*J125</f>
        <v>442</v>
      </c>
      <c r="U125" s="45" t="n">
        <f aca="false">T125*(K125+headroom)</f>
        <v>17768.4</v>
      </c>
      <c r="V125" s="45" t="n">
        <f aca="false">G125*c_lift</f>
        <v>300000</v>
      </c>
      <c r="W125" s="45" t="n">
        <f aca="false">Q125*c_shut</f>
        <v>1100000</v>
      </c>
      <c r="X125" s="45" t="n">
        <f aca="false">R125*c_pos</f>
        <v>489600</v>
      </c>
      <c r="Y125" s="45" t="n">
        <f aca="false">T125*c_m2+U125*c_m3</f>
        <v>709852</v>
      </c>
      <c r="Z125" s="45" t="n">
        <f aca="false">SUM(V125:Y125)</f>
        <v>2599452</v>
      </c>
      <c r="AA125" s="34" t="n">
        <f aca="false">B125*u_d/(H125*u_w)</f>
        <v>0.52</v>
      </c>
      <c r="AB125" s="46" t="n">
        <f aca="false">IF(G125=0,0,F125/G125)</f>
        <v>0.390753968253968</v>
      </c>
      <c r="AC125" s="46" t="n">
        <f aca="false">IF(G125&gt;1,F125/(G125-1),"n/a")</f>
        <v>0.781507936507937</v>
      </c>
      <c r="AD125" s="47" t="n">
        <f aca="false">moves_day*m_pallet*9.81*INDEX(Tc_mh,C125)/3600000</f>
        <v>15.74832</v>
      </c>
      <c r="AE125" s="3" t="n">
        <f aca="false">IF(AND(K125&lt;=H_max,H125&lt;=300,OR(lane_policy="Free (optimize N_C)",B125=sku_pal),OR(env_use="No",AND(I125&lt;=L_bldg,J125&lt;=W_bldg),AND(I125&lt;=W_bldg,J125&lt;=L_bldg))),1,0)</f>
        <v>0</v>
      </c>
      <c r="AF125" s="48" t="n">
        <f aca="false">IF(obj_mode="Total cost",Z125,IF(obj_mode="Shuttle cycle",O125,T125))</f>
        <v>2599452</v>
      </c>
      <c r="AG125" s="3" t="n">
        <f aca="false">IF(AE125=1,AF125*(1+A125*0.0000000001),1E+099)</f>
        <v>1E+099</v>
      </c>
      <c r="AH125" s="3" t="str">
        <f aca="false">IF(AE125=1,"",IF(K125&gt;H_max,"height",IF(AND(lane_policy&lt;&gt;"Free (optimize N_C)",B125&lt;&gt;sku_pal),"lane policy","footprint")))</f>
        <v>height</v>
      </c>
    </row>
    <row r="126" customFormat="false" ht="15" hidden="false" customHeight="true" outlineLevel="0" collapsed="false">
      <c r="A126" s="3" t="n">
        <v>119</v>
      </c>
      <c r="B126" s="3" t="n">
        <f aca="false">$G$3</f>
        <v>8</v>
      </c>
      <c r="C126" s="3" t="n">
        <v>19</v>
      </c>
      <c r="D126" s="46" t="n">
        <f aca="false">INDEX(Tc_pl,C126)</f>
        <v>0.6</v>
      </c>
      <c r="E126" s="47" t="n">
        <f aca="false">INDEX(Tc_S,C126)</f>
        <v>47.0696428571429</v>
      </c>
      <c r="F126" s="34" t="n">
        <f aca="false">lam_total*D126*E126/3600</f>
        <v>0.784494047619048</v>
      </c>
      <c r="G126" s="3" t="n">
        <f aca="false">IF(F126&lt;=0.000000000001,0,MAX(ROUNDUP(F126/rho_max-0.000000001,0),IF(redund="Yes",ROUNDUP(F126/rho_fail-0.000000001,0)+1,0)))</f>
        <v>2</v>
      </c>
      <c r="H126" s="3" t="n">
        <f aca="false">MAX(1,ROUNDUP((P_req/(B126*C126)+G126*lpl)/2-0.000000001,0))</f>
        <v>19</v>
      </c>
      <c r="I126" s="47" t="n">
        <f aca="false">H126*u_w</f>
        <v>19</v>
      </c>
      <c r="J126" s="47" t="n">
        <f aca="false">2*B126*u_d+aisle_w</f>
        <v>22.1</v>
      </c>
      <c r="K126" s="47" t="n">
        <f aca="false">C126*u_h</f>
        <v>40.85</v>
      </c>
      <c r="L126" s="47" t="n">
        <f aca="false">IF(G126=0,I126,I126/(2*G126))</f>
        <v>4.75</v>
      </c>
      <c r="M126" s="34" t="n">
        <f aca="false">((IF((lane_off+(L126))&lt;=(v_sh^2/a_sh),(4/3)*(lane_off+(L126))^1.5/SQRT(a_sh),(4/3)*(v_sh^2/a_sh)^1.5/SQRT(a_sh)+((lane_off+(L126))^2-(v_sh^2/a_sh)^2)/(2*v_sh)+(v_sh/a_sh)*((lane_off+(L126))-(v_sh^2/a_sh))))-(IF((lane_off)&lt;=(v_sh^2/a_sh),(4/3)*(lane_off)^1.5/SQRT(a_sh),(4/3)*(v_sh^2/a_sh)^1.5/SQRT(a_sh)+((lane_off)^2-(v_sh^2/a_sh)^2)/(2*v_sh)+(v_sh/a_sh)*((lane_off)-(v_sh^2/a_sh)))))/(L126)</f>
        <v>5.34485727912167</v>
      </c>
      <c r="N126" s="34" t="n">
        <f aca="false">IF(((B126-1)*u_d/2*(1+f_hc)+lane_off)&lt;=0,0,IF(((B126-1)*u_d/2*(1+f_hc)+lane_off)&gt;=v_sh^2/a_sh,((B126-1)*u_d/2*(1+f_hc)+lane_off)/v_sh+v_sh/a_sh,2*SQRT(((B126-1)*u_d/2*(1+f_hc)+lane_off)/a_sh)))</f>
        <v>7.62857142857143</v>
      </c>
      <c r="O126" s="47" t="n">
        <f aca="false">2*t_sh+2*t_turn+2*M126+2*N126</f>
        <v>83.9468574153862</v>
      </c>
      <c r="P126" s="47" t="n">
        <f aca="false">SUMPRODUCT((Tc_idx&lt;=C126)*(ROUNDUP(lam_total*INDEX(Tc_P,C126,0)*O126/(3600*rho_max)-0.000000001,0)+(ROUNDUP(lam_total*INDEX(Tc_P,C126,0)*O126/(3600*rho_max)-0.000000001,0)&lt;min_sh)*(min_sh-ROUNDUP(lam_total*INDEX(Tc_P,C126,0)*O126/(3600*rho_max)-0.000000001,0))))</f>
        <v>21</v>
      </c>
      <c r="Q126" s="3" t="n">
        <f aca="false">ROUNDUP(P126-0.000000001,0)+spares</f>
        <v>23</v>
      </c>
      <c r="R126" s="45" t="n">
        <f aca="false">B126*C126*(2*H126-G126*lpl)</f>
        <v>4864</v>
      </c>
      <c r="S126" s="45" t="n">
        <f aca="false">R126*fill</f>
        <v>4134.4</v>
      </c>
      <c r="T126" s="45" t="n">
        <f aca="false">I126*J126</f>
        <v>419.9</v>
      </c>
      <c r="U126" s="45" t="n">
        <f aca="false">T126*(K126+headroom)</f>
        <v>17782.765</v>
      </c>
      <c r="V126" s="45" t="n">
        <f aca="false">G126*c_lift</f>
        <v>300000</v>
      </c>
      <c r="W126" s="45" t="n">
        <f aca="false">Q126*c_shut</f>
        <v>1150000</v>
      </c>
      <c r="X126" s="45" t="n">
        <f aca="false">R126*c_pos</f>
        <v>486400</v>
      </c>
      <c r="Y126" s="45" t="n">
        <f aca="false">T126*c_m2+U126*c_m3</f>
        <v>701442.95</v>
      </c>
      <c r="Z126" s="45" t="n">
        <f aca="false">SUM(V126:Y126)</f>
        <v>2637842.95</v>
      </c>
      <c r="AA126" s="34" t="n">
        <f aca="false">B126*u_d/(H126*u_w)</f>
        <v>0.547368421052632</v>
      </c>
      <c r="AB126" s="46" t="n">
        <f aca="false">IF(G126=0,0,F126/G126)</f>
        <v>0.392247023809524</v>
      </c>
      <c r="AC126" s="46" t="n">
        <f aca="false">IF(G126&gt;1,F126/(G126-1),"n/a")</f>
        <v>0.784494047619048</v>
      </c>
      <c r="AD126" s="47" t="n">
        <f aca="false">moves_day*m_pallet*9.81*INDEX(Tc_mh,C126)/3600000</f>
        <v>16.02954</v>
      </c>
      <c r="AE126" s="3" t="n">
        <f aca="false">IF(AND(K126&lt;=H_max,H126&lt;=300,OR(lane_policy="Free (optimize N_C)",B126=sku_pal),OR(env_use="No",AND(I126&lt;=L_bldg,J126&lt;=W_bldg),AND(I126&lt;=W_bldg,J126&lt;=L_bldg))),1,0)</f>
        <v>0</v>
      </c>
      <c r="AF126" s="48" t="n">
        <f aca="false">IF(obj_mode="Total cost",Z126,IF(obj_mode="Shuttle cycle",O126,T126))</f>
        <v>2637842.95</v>
      </c>
      <c r="AG126" s="3" t="n">
        <f aca="false">IF(AE126=1,AF126*(1+A126*0.0000000001),1E+099)</f>
        <v>1E+099</v>
      </c>
      <c r="AH126" s="3" t="str">
        <f aca="false">IF(AE126=1,"",IF(K126&gt;H_max,"height",IF(AND(lane_policy&lt;&gt;"Free (optimize N_C)",B126&lt;&gt;sku_pal),"lane policy","footprint")))</f>
        <v>height</v>
      </c>
    </row>
    <row r="127" customFormat="false" ht="15" hidden="false" customHeight="true" outlineLevel="0" collapsed="false">
      <c r="A127" s="3" t="n">
        <v>120</v>
      </c>
      <c r="B127" s="3" t="n">
        <f aca="false">$G$3</f>
        <v>8</v>
      </c>
      <c r="C127" s="3" t="n">
        <v>20</v>
      </c>
      <c r="D127" s="46" t="n">
        <f aca="false">INDEX(Tc_pl,C127)</f>
        <v>0.6</v>
      </c>
      <c r="E127" s="47" t="n">
        <f aca="false">INDEX(Tc_S,C127)</f>
        <v>47.2488095238095</v>
      </c>
      <c r="F127" s="34" t="n">
        <f aca="false">lam_total*D127*E127/3600</f>
        <v>0.787480158730159</v>
      </c>
      <c r="G127" s="3" t="n">
        <f aca="false">IF(F127&lt;=0.000000000001,0,MAX(ROUNDUP(F127/rho_max-0.000000001,0),IF(redund="Yes",ROUNDUP(F127/rho_fail-0.000000001,0)+1,0)))</f>
        <v>2</v>
      </c>
      <c r="H127" s="3" t="n">
        <f aca="false">MAX(1,ROUNDUP((P_req/(B127*C127)+G127*lpl)/2-0.000000001,0))</f>
        <v>18</v>
      </c>
      <c r="I127" s="47" t="n">
        <f aca="false">H127*u_w</f>
        <v>18</v>
      </c>
      <c r="J127" s="47" t="n">
        <f aca="false">2*B127*u_d+aisle_w</f>
        <v>22.1</v>
      </c>
      <c r="K127" s="47" t="n">
        <f aca="false">C127*u_h</f>
        <v>43</v>
      </c>
      <c r="L127" s="47" t="n">
        <f aca="false">IF(G127=0,I127,I127/(2*G127))</f>
        <v>4.5</v>
      </c>
      <c r="M127" s="34" t="n">
        <f aca="false">((IF((lane_off+(L127))&lt;=(v_sh^2/a_sh),(4/3)*(lane_off+(L127))^1.5/SQRT(a_sh),(4/3)*(v_sh^2/a_sh)^1.5/SQRT(a_sh)+((lane_off+(L127))^2-(v_sh^2/a_sh)^2)/(2*v_sh)+(v_sh/a_sh)*((lane_off+(L127))-(v_sh^2/a_sh))))-(IF((lane_off)&lt;=(v_sh^2/a_sh),(4/3)*(lane_off)^1.5/SQRT(a_sh),(4/3)*(v_sh^2/a_sh)^1.5/SQRT(a_sh)+((lane_off)^2-(v_sh^2/a_sh)^2)/(2*v_sh)+(v_sh/a_sh)*((lane_off)-(v_sh^2/a_sh)))))/(L127)</f>
        <v>5.25111919145383</v>
      </c>
      <c r="N127" s="34" t="n">
        <f aca="false">IF(((B127-1)*u_d/2*(1+f_hc)+lane_off)&lt;=0,0,IF(((B127-1)*u_d/2*(1+f_hc)+lane_off)&gt;=v_sh^2/a_sh,((B127-1)*u_d/2*(1+f_hc)+lane_off)/v_sh+v_sh/a_sh,2*SQRT(((B127-1)*u_d/2*(1+f_hc)+lane_off)/a_sh)))</f>
        <v>7.62857142857143</v>
      </c>
      <c r="O127" s="47" t="n">
        <f aca="false">2*t_sh+2*t_turn+2*M127+2*N127</f>
        <v>83.7593812400505</v>
      </c>
      <c r="P127" s="47" t="n">
        <f aca="false">SUMPRODUCT((Tc_idx&lt;=C127)*(ROUNDUP(lam_total*INDEX(Tc_P,C127,0)*O127/(3600*rho_max)-0.000000001,0)+(ROUNDUP(lam_total*INDEX(Tc_P,C127,0)*O127/(3600*rho_max)-0.000000001,0)&lt;min_sh)*(min_sh-ROUNDUP(lam_total*INDEX(Tc_P,C127,0)*O127/(3600*rho_max)-0.000000001,0))))</f>
        <v>22</v>
      </c>
      <c r="Q127" s="3" t="n">
        <f aca="false">ROUNDUP(P127-0.000000001,0)+spares</f>
        <v>24</v>
      </c>
      <c r="R127" s="45" t="n">
        <f aca="false">B127*C127*(2*H127-G127*lpl)</f>
        <v>4800</v>
      </c>
      <c r="S127" s="45" t="n">
        <f aca="false">R127*fill</f>
        <v>4080</v>
      </c>
      <c r="T127" s="45" t="n">
        <f aca="false">I127*J127</f>
        <v>397.8</v>
      </c>
      <c r="U127" s="45" t="n">
        <f aca="false">T127*(K127+headroom)</f>
        <v>17702.1</v>
      </c>
      <c r="V127" s="45" t="n">
        <f aca="false">G127*c_lift</f>
        <v>300000</v>
      </c>
      <c r="W127" s="45" t="n">
        <f aca="false">Q127*c_shut</f>
        <v>1200000</v>
      </c>
      <c r="X127" s="45" t="n">
        <f aca="false">R127*c_pos</f>
        <v>480000</v>
      </c>
      <c r="Y127" s="45" t="n">
        <f aca="false">T127*c_m2+U127*c_m3</f>
        <v>690183</v>
      </c>
      <c r="Z127" s="45" t="n">
        <f aca="false">SUM(V127:Y127)</f>
        <v>2670183</v>
      </c>
      <c r="AA127" s="34" t="n">
        <f aca="false">B127*u_d/(H127*u_w)</f>
        <v>0.577777777777778</v>
      </c>
      <c r="AB127" s="46" t="n">
        <f aca="false">IF(G127=0,0,F127/G127)</f>
        <v>0.393740079365079</v>
      </c>
      <c r="AC127" s="46" t="n">
        <f aca="false">IF(G127&gt;1,F127/(G127-1),"n/a")</f>
        <v>0.787480158730159</v>
      </c>
      <c r="AD127" s="47" t="n">
        <f aca="false">moves_day*m_pallet*9.81*INDEX(Tc_mh,C127)/3600000</f>
        <v>16.31076</v>
      </c>
      <c r="AE127" s="3" t="n">
        <f aca="false">IF(AND(K127&lt;=H_max,H127&lt;=300,OR(lane_policy="Free (optimize N_C)",B127=sku_pal),OR(env_use="No",AND(I127&lt;=L_bldg,J127&lt;=W_bldg),AND(I127&lt;=W_bldg,J127&lt;=L_bldg))),1,0)</f>
        <v>0</v>
      </c>
      <c r="AF127" s="48" t="n">
        <f aca="false">IF(obj_mode="Total cost",Z127,IF(obj_mode="Shuttle cycle",O127,T127))</f>
        <v>2670183</v>
      </c>
      <c r="AG127" s="3" t="n">
        <f aca="false">IF(AE127=1,AF127*(1+A127*0.0000000001),1E+099)</f>
        <v>1E+099</v>
      </c>
      <c r="AH127" s="3" t="str">
        <f aca="false">IF(AE127=1,"",IF(K127&gt;H_max,"height",IF(AND(lane_policy&lt;&gt;"Free (optimize N_C)",B127&lt;&gt;sku_pal),"lane policy","footprint")))</f>
        <v>height</v>
      </c>
    </row>
    <row r="128" customFormat="false" ht="15" hidden="false" customHeight="true" outlineLevel="0" collapsed="false">
      <c r="A128" s="3" t="n">
        <v>121</v>
      </c>
      <c r="B128" s="3" t="n">
        <f aca="false">$H$3</f>
        <v>10</v>
      </c>
      <c r="C128" s="3" t="n">
        <v>1</v>
      </c>
      <c r="D128" s="46" t="n">
        <f aca="false">INDEX(Tc_pl,C128)</f>
        <v>0</v>
      </c>
      <c r="E128" s="47" t="n">
        <f aca="false">INDEX(Tc_S,C128)</f>
        <v>0</v>
      </c>
      <c r="F128" s="34" t="n">
        <f aca="false">lam_total*D128*E128/3600</f>
        <v>0</v>
      </c>
      <c r="G128" s="3" t="n">
        <f aca="false">IF(F128&lt;=0.000000000001,0,MAX(ROUNDUP(F128/rho_max-0.000000001,0),IF(redund="Yes",ROUNDUP(F128/rho_fail-0.000000001,0)+1,0)))</f>
        <v>0</v>
      </c>
      <c r="H128" s="3" t="n">
        <f aca="false">MAX(1,ROUNDUP((P_req/(B128*C128)+G128*lpl)/2-0.000000001,0))</f>
        <v>236</v>
      </c>
      <c r="I128" s="47" t="n">
        <f aca="false">H128*u_w</f>
        <v>236</v>
      </c>
      <c r="J128" s="47" t="n">
        <f aca="false">2*B128*u_d+aisle_w</f>
        <v>27.3</v>
      </c>
      <c r="K128" s="47" t="n">
        <f aca="false">C128*u_h</f>
        <v>2.15</v>
      </c>
      <c r="L128" s="47" t="n">
        <f aca="false">IF(G128=0,I128,I128/(2*G128))</f>
        <v>236</v>
      </c>
      <c r="M128" s="34" t="n">
        <f aca="false">((IF((lane_off+(L128))&lt;=(v_sh^2/a_sh),(4/3)*(lane_off+(L128))^1.5/SQRT(a_sh),(4/3)*(v_sh^2/a_sh)^1.5/SQRT(a_sh)+((lane_off+(L128))^2-(v_sh^2/a_sh)^2)/(2*v_sh)+(v_sh/a_sh)*((lane_off+(L128))-(v_sh^2/a_sh))))-(IF((lane_off)&lt;=(v_sh^2/a_sh),(4/3)*(lane_off)^1.5/SQRT(a_sh),(4/3)*(v_sh^2/a_sh)^1.5/SQRT(a_sh)+((lane_off)^2-(v_sh^2/a_sh)^2)/(2*v_sh)+(v_sh/a_sh)*((lane_off)-(v_sh^2/a_sh)))))/(L128)</f>
        <v>88.0126726722342</v>
      </c>
      <c r="N128" s="34" t="n">
        <f aca="false">IF(((B128-1)*u_d/2*(1+f_hc)+lane_off)&lt;=0,0,IF(((B128-1)*u_d/2*(1+f_hc)+lane_off)&gt;=v_sh^2/a_sh,((B128-1)*u_d/2*(1+f_hc)+lane_off)/v_sh+v_sh/a_sh,2*SQRT(((B128-1)*u_d/2*(1+f_hc)+lane_off)/a_sh)))</f>
        <v>8.74285714285714</v>
      </c>
      <c r="O128" s="47" t="n">
        <f aca="false">2*t_sh+2*t_turn+2*M128+2*N128</f>
        <v>251.511059630183</v>
      </c>
      <c r="P128" s="47" t="n">
        <f aca="false">SUMPRODUCT((Tc_idx&lt;=C128)*(ROUNDUP(lam_total*INDEX(Tc_P,C128,0)*O128/(3600*rho_max)-0.000000001,0)+(ROUNDUP(lam_total*INDEX(Tc_P,C128,0)*O128/(3600*rho_max)-0.000000001,0)&lt;min_sh)*(min_sh-ROUNDUP(lam_total*INDEX(Tc_P,C128,0)*O128/(3600*rho_max)-0.000000001,0))))</f>
        <v>10</v>
      </c>
      <c r="Q128" s="3" t="n">
        <f aca="false">ROUNDUP(P128-0.000000001,0)+spares</f>
        <v>12</v>
      </c>
      <c r="R128" s="45" t="n">
        <f aca="false">B128*C128*(2*H128-G128*lpl)</f>
        <v>4720</v>
      </c>
      <c r="S128" s="45" t="n">
        <f aca="false">R128*fill</f>
        <v>4012</v>
      </c>
      <c r="T128" s="45" t="n">
        <f aca="false">I128*J128</f>
        <v>6442.8</v>
      </c>
      <c r="U128" s="45" t="n">
        <f aca="false">T128*(K128+headroom)</f>
        <v>23516.22</v>
      </c>
      <c r="V128" s="45" t="n">
        <f aca="false">G128*c_lift</f>
        <v>0</v>
      </c>
      <c r="W128" s="45" t="n">
        <f aca="false">Q128*c_shut</f>
        <v>600000</v>
      </c>
      <c r="X128" s="45" t="n">
        <f aca="false">R128*c_pos</f>
        <v>472000</v>
      </c>
      <c r="Y128" s="45" t="n">
        <f aca="false">T128*c_m2+U128*c_m3</f>
        <v>3282606.6</v>
      </c>
      <c r="Z128" s="45" t="n">
        <f aca="false">SUM(V128:Y128)</f>
        <v>4354606.6</v>
      </c>
      <c r="AA128" s="34" t="n">
        <f aca="false">B128*u_d/(H128*u_w)</f>
        <v>0.0550847457627119</v>
      </c>
      <c r="AB128" s="46" t="n">
        <f aca="false">IF(G128=0,0,F128/G128)</f>
        <v>0</v>
      </c>
      <c r="AC128" s="46" t="str">
        <f aca="false">IF(G128&gt;1,F128/(G128-1),"n/a")</f>
        <v>n/a</v>
      </c>
      <c r="AD128" s="47" t="n">
        <f aca="false">moves_day*m_pallet*9.81*INDEX(Tc_mh,C128)/3600000</f>
        <v>0</v>
      </c>
      <c r="AE128" s="3" t="n">
        <f aca="false">IF(AND(K128&lt;=H_max,H128&lt;=300,OR(lane_policy="Free (optimize N_C)",B128=sku_pal),OR(env_use="No",AND(I128&lt;=L_bldg,J128&lt;=W_bldg),AND(I128&lt;=W_bldg,J128&lt;=L_bldg))),1,0)</f>
        <v>0</v>
      </c>
      <c r="AF128" s="48" t="n">
        <f aca="false">IF(obj_mode="Total cost",Z128,IF(obj_mode="Shuttle cycle",O128,T128))</f>
        <v>4354606.6</v>
      </c>
      <c r="AG128" s="3" t="n">
        <f aca="false">IF(AE128=1,AF128*(1+A128*0.0000000001),1E+099)</f>
        <v>1E+099</v>
      </c>
      <c r="AH128" s="3" t="str">
        <f aca="false">IF(AE128=1,"",IF(K128&gt;H_max,"height",IF(AND(lane_policy&lt;&gt;"Free (optimize N_C)",B128&lt;&gt;sku_pal),"lane policy","footprint")))</f>
        <v>footprint</v>
      </c>
    </row>
    <row r="129" customFormat="false" ht="15" hidden="false" customHeight="true" outlineLevel="0" collapsed="false">
      <c r="A129" s="3" t="n">
        <v>122</v>
      </c>
      <c r="B129" s="3" t="n">
        <f aca="false">$H$3</f>
        <v>10</v>
      </c>
      <c r="C129" s="3" t="n">
        <v>2</v>
      </c>
      <c r="D129" s="46" t="n">
        <f aca="false">INDEX(Tc_pl,C129)</f>
        <v>0.5</v>
      </c>
      <c r="E129" s="47" t="n">
        <f aca="false">INDEX(Tc_S,C129)</f>
        <v>41.1571428571429</v>
      </c>
      <c r="F129" s="34" t="n">
        <f aca="false">lam_total*D129*E129/3600</f>
        <v>0.571626984126984</v>
      </c>
      <c r="G129" s="3" t="n">
        <f aca="false">IF(F129&lt;=0.000000000001,0,MAX(ROUNDUP(F129/rho_max-0.000000001,0),IF(redund="Yes",ROUNDUP(F129/rho_fail-0.000000001,0)+1,0)))</f>
        <v>2</v>
      </c>
      <c r="H129" s="3" t="n">
        <f aca="false">MAX(1,ROUNDUP((P_req/(B129*C129)+G129*lpl)/2-0.000000001,0))</f>
        <v>121</v>
      </c>
      <c r="I129" s="47" t="n">
        <f aca="false">H129*u_w</f>
        <v>121</v>
      </c>
      <c r="J129" s="47" t="n">
        <f aca="false">2*B129*u_d+aisle_w</f>
        <v>27.3</v>
      </c>
      <c r="K129" s="47" t="n">
        <f aca="false">C129*u_h</f>
        <v>4.3</v>
      </c>
      <c r="L129" s="47" t="n">
        <f aca="false">IF(G129=0,I129,I129/(2*G129))</f>
        <v>30.25</v>
      </c>
      <c r="M129" s="34" t="n">
        <f aca="false">((IF((lane_off+(L129))&lt;=(v_sh^2/a_sh),(4/3)*(lane_off+(L129))^1.5/SQRT(a_sh),(4/3)*(v_sh^2/a_sh)^1.5/SQRT(a_sh)+((lane_off+(L129))^2-(v_sh^2/a_sh)^2)/(2*v_sh)+(v_sh/a_sh)*((lane_off+(L129))-(v_sh^2/a_sh))))-(IF((lane_off)&lt;=(v_sh^2/a_sh),(4/3)*(lane_off)^1.5/SQRT(a_sh),(4/3)*(v_sh^2/a_sh)^1.5/SQRT(a_sh)+((lane_off)^2-(v_sh^2/a_sh)^2)/(2*v_sh)+(v_sh/a_sh)*((lane_off)-(v_sh^2/a_sh)))))/(L129)</f>
        <v>14.5195584629554</v>
      </c>
      <c r="N129" s="34" t="n">
        <f aca="false">IF(((B129-1)*u_d/2*(1+f_hc)+lane_off)&lt;=0,0,IF(((B129-1)*u_d/2*(1+f_hc)+lane_off)&gt;=v_sh^2/a_sh,((B129-1)*u_d/2*(1+f_hc)+lane_off)/v_sh+v_sh/a_sh,2*SQRT(((B129-1)*u_d/2*(1+f_hc)+lane_off)/a_sh)))</f>
        <v>8.74285714285714</v>
      </c>
      <c r="O129" s="47" t="n">
        <f aca="false">2*t_sh+2*t_turn+2*M129+2*N129</f>
        <v>104.524831211625</v>
      </c>
      <c r="P129" s="47" t="n">
        <f aca="false">SUMPRODUCT((Tc_idx&lt;=C129)*(ROUNDUP(lam_total*INDEX(Tc_P,C129,0)*O129/(3600*rho_max)-0.000000001,0)+(ROUNDUP(lam_total*INDEX(Tc_P,C129,0)*O129/(3600*rho_max)-0.000000001,0)&lt;min_sh)*(min_sh-ROUNDUP(lam_total*INDEX(Tc_P,C129,0)*O129/(3600*rho_max)-0.000000001,0))))</f>
        <v>4</v>
      </c>
      <c r="Q129" s="3" t="n">
        <f aca="false">ROUNDUP(P129-0.000000001,0)+spares</f>
        <v>6</v>
      </c>
      <c r="R129" s="45" t="n">
        <f aca="false">B129*C129*(2*H129-G129*lpl)</f>
        <v>4720</v>
      </c>
      <c r="S129" s="45" t="n">
        <f aca="false">R129*fill</f>
        <v>4012</v>
      </c>
      <c r="T129" s="45" t="n">
        <f aca="false">I129*J129</f>
        <v>3303.3</v>
      </c>
      <c r="U129" s="45" t="n">
        <f aca="false">T129*(K129+headroom)</f>
        <v>19159.14</v>
      </c>
      <c r="V129" s="45" t="n">
        <f aca="false">G129*c_lift</f>
        <v>300000</v>
      </c>
      <c r="W129" s="45" t="n">
        <f aca="false">Q129*c_shut</f>
        <v>300000</v>
      </c>
      <c r="X129" s="45" t="n">
        <f aca="false">R129*c_pos</f>
        <v>472000</v>
      </c>
      <c r="Y129" s="45" t="n">
        <f aca="false">T129*c_m2+U129*c_m3</f>
        <v>1896094.2</v>
      </c>
      <c r="Z129" s="45" t="n">
        <f aca="false">SUM(V129:Y129)</f>
        <v>2968094.2</v>
      </c>
      <c r="AA129" s="34" t="n">
        <f aca="false">B129*u_d/(H129*u_w)</f>
        <v>0.107438016528926</v>
      </c>
      <c r="AB129" s="46" t="n">
        <f aca="false">IF(G129=0,0,F129/G129)</f>
        <v>0.285813492063492</v>
      </c>
      <c r="AC129" s="46" t="n">
        <f aca="false">IF(G129&gt;1,F129/(G129-1),"n/a")</f>
        <v>0.571626984126984</v>
      </c>
      <c r="AD129" s="47" t="n">
        <f aca="false">moves_day*m_pallet*9.81*INDEX(Tc_mh,C129)/3600000</f>
        <v>5.6244</v>
      </c>
      <c r="AE129" s="3" t="n">
        <f aca="false">IF(AND(K129&lt;=H_max,H129&lt;=300,OR(lane_policy="Free (optimize N_C)",B129=sku_pal),OR(env_use="No",AND(I129&lt;=L_bldg,J129&lt;=W_bldg),AND(I129&lt;=W_bldg,J129&lt;=L_bldg))),1,0)</f>
        <v>0</v>
      </c>
      <c r="AF129" s="48" t="n">
        <f aca="false">IF(obj_mode="Total cost",Z129,IF(obj_mode="Shuttle cycle",O129,T129))</f>
        <v>2968094.2</v>
      </c>
      <c r="AG129" s="3" t="n">
        <f aca="false">IF(AE129=1,AF129*(1+A129*0.0000000001),1E+099)</f>
        <v>1E+099</v>
      </c>
      <c r="AH129" s="3" t="str">
        <f aca="false">IF(AE129=1,"",IF(K129&gt;H_max,"height",IF(AND(lane_policy&lt;&gt;"Free (optimize N_C)",B129&lt;&gt;sku_pal),"lane policy","footprint")))</f>
        <v>footprint</v>
      </c>
    </row>
    <row r="130" customFormat="false" ht="15" hidden="false" customHeight="true" outlineLevel="0" collapsed="false">
      <c r="A130" s="3" t="n">
        <v>123</v>
      </c>
      <c r="B130" s="3" t="n">
        <f aca="false">$H$3</f>
        <v>10</v>
      </c>
      <c r="C130" s="3" t="n">
        <v>3</v>
      </c>
      <c r="D130" s="46" t="n">
        <f aca="false">INDEX(Tc_pl,C130)</f>
        <v>0.529411764705882</v>
      </c>
      <c r="E130" s="47" t="n">
        <f aca="false">INDEX(Tc_S,C130)</f>
        <v>41.6349206349206</v>
      </c>
      <c r="F130" s="34" t="n">
        <f aca="false">lam_total*D130*E130/3600</f>
        <v>0.612278244631186</v>
      </c>
      <c r="G130" s="3" t="n">
        <f aca="false">IF(F130&lt;=0.000000000001,0,MAX(ROUNDUP(F130/rho_max-0.000000001,0),IF(redund="Yes",ROUNDUP(F130/rho_fail-0.000000001,0)+1,0)))</f>
        <v>2</v>
      </c>
      <c r="H130" s="3" t="n">
        <f aca="false">MAX(1,ROUNDUP((P_req/(B130*C130)+G130*lpl)/2-0.000000001,0))</f>
        <v>82</v>
      </c>
      <c r="I130" s="47" t="n">
        <f aca="false">H130*u_w</f>
        <v>82</v>
      </c>
      <c r="J130" s="47" t="n">
        <f aca="false">2*B130*u_d+aisle_w</f>
        <v>27.3</v>
      </c>
      <c r="K130" s="47" t="n">
        <f aca="false">C130*u_h</f>
        <v>6.45</v>
      </c>
      <c r="L130" s="47" t="n">
        <f aca="false">IF(G130=0,I130,I130/(2*G130))</f>
        <v>20.5</v>
      </c>
      <c r="M130" s="34" t="n">
        <f aca="false">((IF((lane_off+(L130))&lt;=(v_sh^2/a_sh),(4/3)*(lane_off+(L130))^1.5/SQRT(a_sh),(4/3)*(v_sh^2/a_sh)^1.5/SQRT(a_sh)+((lane_off+(L130))^2-(v_sh^2/a_sh)^2)/(2*v_sh)+(v_sh/a_sh)*((lane_off+(L130))-(v_sh^2/a_sh))))-(IF((lane_off)&lt;=(v_sh^2/a_sh),(4/3)*(lane_off)^1.5/SQRT(a_sh),(4/3)*(v_sh^2/a_sh)^1.5/SQRT(a_sh)+((lane_off)^2-(v_sh^2/a_sh)^2)/(2*v_sh)+(v_sh/a_sh)*((lane_off)-(v_sh^2/a_sh)))))/(L130)</f>
        <v>11.0314303451623</v>
      </c>
      <c r="N130" s="34" t="n">
        <f aca="false">IF(((B130-1)*u_d/2*(1+f_hc)+lane_off)&lt;=0,0,IF(((B130-1)*u_d/2*(1+f_hc)+lane_off)&gt;=v_sh^2/a_sh,((B130-1)*u_d/2*(1+f_hc)+lane_off)/v_sh+v_sh/a_sh,2*SQRT(((B130-1)*u_d/2*(1+f_hc)+lane_off)/a_sh)))</f>
        <v>8.74285714285714</v>
      </c>
      <c r="O130" s="47" t="n">
        <f aca="false">2*t_sh+2*t_turn+2*M130+2*N130</f>
        <v>97.548574976039</v>
      </c>
      <c r="P130" s="47" t="n">
        <f aca="false">SUMPRODUCT((Tc_idx&lt;=C130)*(ROUNDUP(lam_total*INDEX(Tc_P,C130,0)*O130/(3600*rho_max)-0.000000001,0)+(ROUNDUP(lam_total*INDEX(Tc_P,C130,0)*O130/(3600*rho_max)-0.000000001,0)&lt;min_sh)*(min_sh-ROUNDUP(lam_total*INDEX(Tc_P,C130,0)*O130/(3600*rho_max)-0.000000001,0))))</f>
        <v>5</v>
      </c>
      <c r="Q130" s="3" t="n">
        <f aca="false">ROUNDUP(P130-0.000000001,0)+spares</f>
        <v>7</v>
      </c>
      <c r="R130" s="45" t="n">
        <f aca="false">B130*C130*(2*H130-G130*lpl)</f>
        <v>4740</v>
      </c>
      <c r="S130" s="45" t="n">
        <f aca="false">R130*fill</f>
        <v>4029</v>
      </c>
      <c r="T130" s="45" t="n">
        <f aca="false">I130*J130</f>
        <v>2238.6</v>
      </c>
      <c r="U130" s="45" t="n">
        <f aca="false">T130*(K130+headroom)</f>
        <v>17796.87</v>
      </c>
      <c r="V130" s="45" t="n">
        <f aca="false">G130*c_lift</f>
        <v>300000</v>
      </c>
      <c r="W130" s="45" t="n">
        <f aca="false">Q130*c_shut</f>
        <v>350000</v>
      </c>
      <c r="X130" s="45" t="n">
        <f aca="false">R130*c_pos</f>
        <v>474000</v>
      </c>
      <c r="Y130" s="45" t="n">
        <f aca="false">T130*c_m2+U130*c_m3</f>
        <v>1429346.1</v>
      </c>
      <c r="Z130" s="45" t="n">
        <f aca="false">SUM(V130:Y130)</f>
        <v>2553346.1</v>
      </c>
      <c r="AA130" s="34" t="n">
        <f aca="false">B130*u_d/(H130*u_w)</f>
        <v>0.158536585365854</v>
      </c>
      <c r="AB130" s="46" t="n">
        <f aca="false">IF(G130=0,0,F130/G130)</f>
        <v>0.306139122315593</v>
      </c>
      <c r="AC130" s="46" t="n">
        <f aca="false">IF(G130&gt;1,F130/(G130-1),"n/a")</f>
        <v>0.612278244631186</v>
      </c>
      <c r="AD130" s="47" t="n">
        <f aca="false">moves_day*m_pallet*9.81*INDEX(Tc_mh,C130)/3600000</f>
        <v>6.61694117647059</v>
      </c>
      <c r="AE130" s="3" t="n">
        <f aca="false">IF(AND(K130&lt;=H_max,H130&lt;=300,OR(lane_policy="Free (optimize N_C)",B130=sku_pal),OR(env_use="No",AND(I130&lt;=L_bldg,J130&lt;=W_bldg),AND(I130&lt;=W_bldg,J130&lt;=L_bldg))),1,0)</f>
        <v>0</v>
      </c>
      <c r="AF130" s="48" t="n">
        <f aca="false">IF(obj_mode="Total cost",Z130,IF(obj_mode="Shuttle cycle",O130,T130))</f>
        <v>2553346.1</v>
      </c>
      <c r="AG130" s="3" t="n">
        <f aca="false">IF(AE130=1,AF130*(1+A130*0.0000000001),1E+099)</f>
        <v>1E+099</v>
      </c>
      <c r="AH130" s="3" t="str">
        <f aca="false">IF(AE130=1,"",IF(K130&gt;H_max,"height",IF(AND(lane_policy&lt;&gt;"Free (optimize N_C)",B130&lt;&gt;sku_pal),"lane policy","footprint")))</f>
        <v>footprint</v>
      </c>
    </row>
    <row r="131" customFormat="false" ht="15" hidden="false" customHeight="true" outlineLevel="0" collapsed="false">
      <c r="A131" s="3" t="n">
        <v>124</v>
      </c>
      <c r="B131" s="3" t="n">
        <f aca="false">$H$3</f>
        <v>10</v>
      </c>
      <c r="C131" s="3" t="n">
        <v>4</v>
      </c>
      <c r="D131" s="46" t="n">
        <f aca="false">INDEX(Tc_pl,C131)</f>
        <v>0.555555555555556</v>
      </c>
      <c r="E131" s="47" t="n">
        <f aca="false">INDEX(Tc_S,C131)</f>
        <v>42.4471428571429</v>
      </c>
      <c r="F131" s="34" t="n">
        <f aca="false">lam_total*D131*E131/3600</f>
        <v>0.655048500881834</v>
      </c>
      <c r="G131" s="3" t="n">
        <f aca="false">IF(F131&lt;=0.000000000001,0,MAX(ROUNDUP(F131/rho_max-0.000000001,0),IF(redund="Yes",ROUNDUP(F131/rho_fail-0.000000001,0)+1,0)))</f>
        <v>2</v>
      </c>
      <c r="H131" s="3" t="n">
        <f aca="false">MAX(1,ROUNDUP((P_req/(B131*C131)+G131*lpl)/2-0.000000001,0))</f>
        <v>62</v>
      </c>
      <c r="I131" s="47" t="n">
        <f aca="false">H131*u_w</f>
        <v>62</v>
      </c>
      <c r="J131" s="47" t="n">
        <f aca="false">2*B131*u_d+aisle_w</f>
        <v>27.3</v>
      </c>
      <c r="K131" s="47" t="n">
        <f aca="false">C131*u_h</f>
        <v>8.6</v>
      </c>
      <c r="L131" s="47" t="n">
        <f aca="false">IF(G131=0,I131,I131/(2*G131))</f>
        <v>15.5</v>
      </c>
      <c r="M131" s="34" t="n">
        <f aca="false">((IF((lane_off+(L131))&lt;=(v_sh^2/a_sh),(4/3)*(lane_off+(L131))^1.5/SQRT(a_sh),(4/3)*(v_sh^2/a_sh)^1.5/SQRT(a_sh)+((lane_off+(L131))^2-(v_sh^2/a_sh)^2)/(2*v_sh)+(v_sh/a_sh)*((lane_off+(L131))-(v_sh^2/a_sh))))-(IF((lane_off)&lt;=(v_sh^2/a_sh),(4/3)*(lane_off)^1.5/SQRT(a_sh),(4/3)*(v_sh^2/a_sh)^1.5/SQRT(a_sh)+((lane_off)^2-(v_sh^2/a_sh)^2)/(2*v_sh)+(v_sh/a_sh)*((lane_off)-(v_sh^2/a_sh)))))/(L131)</f>
        <v>9.2397258482101</v>
      </c>
      <c r="N131" s="34" t="n">
        <f aca="false">IF(((B131-1)*u_d/2*(1+f_hc)+lane_off)&lt;=0,0,IF(((B131-1)*u_d/2*(1+f_hc)+lane_off)&gt;=v_sh^2/a_sh,((B131-1)*u_d/2*(1+f_hc)+lane_off)/v_sh+v_sh/a_sh,2*SQRT(((B131-1)*u_d/2*(1+f_hc)+lane_off)/a_sh)))</f>
        <v>8.74285714285714</v>
      </c>
      <c r="O131" s="47" t="n">
        <f aca="false">2*t_sh+2*t_turn+2*M131+2*N131</f>
        <v>93.9651659821345</v>
      </c>
      <c r="P131" s="47" t="n">
        <f aca="false">SUMPRODUCT((Tc_idx&lt;=C131)*(ROUNDUP(lam_total*INDEX(Tc_P,C131,0)*O131/(3600*rho_max)-0.000000001,0)+(ROUNDUP(lam_total*INDEX(Tc_P,C131,0)*O131/(3600*rho_max)-0.000000001,0)&lt;min_sh)*(min_sh-ROUNDUP(lam_total*INDEX(Tc_P,C131,0)*O131/(3600*rho_max)-0.000000001,0))))</f>
        <v>6</v>
      </c>
      <c r="Q131" s="3" t="n">
        <f aca="false">ROUNDUP(P131-0.000000001,0)+spares</f>
        <v>8</v>
      </c>
      <c r="R131" s="45" t="n">
        <f aca="false">B131*C131*(2*H131-G131*lpl)</f>
        <v>4720</v>
      </c>
      <c r="S131" s="45" t="n">
        <f aca="false">R131*fill</f>
        <v>4012</v>
      </c>
      <c r="T131" s="45" t="n">
        <f aca="false">I131*J131</f>
        <v>1692.6</v>
      </c>
      <c r="U131" s="45" t="n">
        <f aca="false">T131*(K131+headroom)</f>
        <v>17095.26</v>
      </c>
      <c r="V131" s="45" t="n">
        <f aca="false">G131*c_lift</f>
        <v>300000</v>
      </c>
      <c r="W131" s="45" t="n">
        <f aca="false">Q131*c_shut</f>
        <v>400000</v>
      </c>
      <c r="X131" s="45" t="n">
        <f aca="false">R131*c_pos</f>
        <v>472000</v>
      </c>
      <c r="Y131" s="45" t="n">
        <f aca="false">T131*c_m2+U131*c_m3</f>
        <v>1189897.8</v>
      </c>
      <c r="Z131" s="45" t="n">
        <f aca="false">SUM(V131:Y131)</f>
        <v>2361897.8</v>
      </c>
      <c r="AA131" s="34" t="n">
        <f aca="false">B131*u_d/(H131*u_w)</f>
        <v>0.209677419354839</v>
      </c>
      <c r="AB131" s="46" t="n">
        <f aca="false">IF(G131=0,0,F131/G131)</f>
        <v>0.327524250440917</v>
      </c>
      <c r="AC131" s="46" t="n">
        <f aca="false">IF(G131&gt;1,F131/(G131-1),"n/a")</f>
        <v>0.655048500881834</v>
      </c>
      <c r="AD131" s="47" t="n">
        <f aca="false">moves_day*m_pallet*9.81*INDEX(Tc_mh,C131)/3600000</f>
        <v>8.12413333333333</v>
      </c>
      <c r="AE131" s="3" t="n">
        <f aca="false">IF(AND(K131&lt;=H_max,H131&lt;=300,OR(lane_policy="Free (optimize N_C)",B131=sku_pal),OR(env_use="No",AND(I131&lt;=L_bldg,J131&lt;=W_bldg),AND(I131&lt;=W_bldg,J131&lt;=L_bldg))),1,0)</f>
        <v>0</v>
      </c>
      <c r="AF131" s="48" t="n">
        <f aca="false">IF(obj_mode="Total cost",Z131,IF(obj_mode="Shuttle cycle",O131,T131))</f>
        <v>2361897.8</v>
      </c>
      <c r="AG131" s="3" t="n">
        <f aca="false">IF(AE131=1,AF131*(1+A131*0.0000000001),1E+099)</f>
        <v>1E+099</v>
      </c>
      <c r="AH131" s="3" t="str">
        <f aca="false">IF(AE131=1,"",IF(K131&gt;H_max,"height",IF(AND(lane_policy&lt;&gt;"Free (optimize N_C)",B131&lt;&gt;sku_pal),"lane policy","footprint")))</f>
        <v>footprint</v>
      </c>
    </row>
    <row r="132" customFormat="false" ht="15" hidden="false" customHeight="true" outlineLevel="0" collapsed="false">
      <c r="A132" s="3" t="n">
        <v>125</v>
      </c>
      <c r="B132" s="3" t="n">
        <f aca="false">$H$3</f>
        <v>10</v>
      </c>
      <c r="C132" s="3" t="n">
        <v>5</v>
      </c>
      <c r="D132" s="46" t="n">
        <f aca="false">INDEX(Tc_pl,C132)</f>
        <v>0.578947368421053</v>
      </c>
      <c r="E132" s="47" t="n">
        <f aca="false">INDEX(Tc_S,C132)</f>
        <v>43.5025974025974</v>
      </c>
      <c r="F132" s="34" t="n">
        <f aca="false">lam_total*D132*E132/3600</f>
        <v>0.699603174603175</v>
      </c>
      <c r="G132" s="3" t="n">
        <f aca="false">IF(F132&lt;=0.000000000001,0,MAX(ROUNDUP(F132/rho_max-0.000000001,0),IF(redund="Yes",ROUNDUP(F132/rho_fail-0.000000001,0)+1,0)))</f>
        <v>2</v>
      </c>
      <c r="H132" s="3" t="n">
        <f aca="false">MAX(1,ROUNDUP((P_req/(B132*C132)+G132*lpl)/2-0.000000001,0))</f>
        <v>51</v>
      </c>
      <c r="I132" s="47" t="n">
        <f aca="false">H132*u_w</f>
        <v>51</v>
      </c>
      <c r="J132" s="47" t="n">
        <f aca="false">2*B132*u_d+aisle_w</f>
        <v>27.3</v>
      </c>
      <c r="K132" s="47" t="n">
        <f aca="false">C132*u_h</f>
        <v>10.75</v>
      </c>
      <c r="L132" s="47" t="n">
        <f aca="false">IF(G132=0,I132,I132/(2*G132))</f>
        <v>12.75</v>
      </c>
      <c r="M132" s="34" t="n">
        <f aca="false">((IF((lane_off+(L132))&lt;=(v_sh^2/a_sh),(4/3)*(lane_off+(L132))^1.5/SQRT(a_sh),(4/3)*(v_sh^2/a_sh)^1.5/SQRT(a_sh)+((lane_off+(L132))^2-(v_sh^2/a_sh)^2)/(2*v_sh)+(v_sh/a_sh)*((lane_off+(L132))-(v_sh^2/a_sh))))-(IF((lane_off)&lt;=(v_sh^2/a_sh),(4/3)*(lane_off)^1.5/SQRT(a_sh),(4/3)*(v_sh^2/a_sh)^1.5/SQRT(a_sh)+((lane_off)^2-(v_sh^2/a_sh)^2)/(2*v_sh)+(v_sh/a_sh)*((lane_off)-(v_sh^2/a_sh)))))/(L132)</f>
        <v>8.25228576505093</v>
      </c>
      <c r="N132" s="34" t="n">
        <f aca="false">IF(((B132-1)*u_d/2*(1+f_hc)+lane_off)&lt;=0,0,IF(((B132-1)*u_d/2*(1+f_hc)+lane_off)&gt;=v_sh^2/a_sh,((B132-1)*u_d/2*(1+f_hc)+lane_off)/v_sh+v_sh/a_sh,2*SQRT(((B132-1)*u_d/2*(1+f_hc)+lane_off)/a_sh)))</f>
        <v>8.74285714285714</v>
      </c>
      <c r="O132" s="47" t="n">
        <f aca="false">2*t_sh+2*t_turn+2*M132+2*N132</f>
        <v>91.9902858158162</v>
      </c>
      <c r="P132" s="47" t="n">
        <f aca="false">SUMPRODUCT((Tc_idx&lt;=C132)*(ROUNDUP(lam_total*INDEX(Tc_P,C132,0)*O132/(3600*rho_max)-0.000000001,0)+(ROUNDUP(lam_total*INDEX(Tc_P,C132,0)*O132/(3600*rho_max)-0.000000001,0)&lt;min_sh)*(min_sh-ROUNDUP(lam_total*INDEX(Tc_P,C132,0)*O132/(3600*rho_max)-0.000000001,0))))</f>
        <v>7</v>
      </c>
      <c r="Q132" s="3" t="n">
        <f aca="false">ROUNDUP(P132-0.000000001,0)+spares</f>
        <v>9</v>
      </c>
      <c r="R132" s="45" t="n">
        <f aca="false">B132*C132*(2*H132-G132*lpl)</f>
        <v>4800</v>
      </c>
      <c r="S132" s="45" t="n">
        <f aca="false">R132*fill</f>
        <v>4080</v>
      </c>
      <c r="T132" s="45" t="n">
        <f aca="false">I132*J132</f>
        <v>1392.3</v>
      </c>
      <c r="U132" s="45" t="n">
        <f aca="false">T132*(K132+headroom)</f>
        <v>17055.675</v>
      </c>
      <c r="V132" s="45" t="n">
        <f aca="false">G132*c_lift</f>
        <v>300000</v>
      </c>
      <c r="W132" s="45" t="n">
        <f aca="false">Q132*c_shut</f>
        <v>450000</v>
      </c>
      <c r="X132" s="45" t="n">
        <f aca="false">R132*c_pos</f>
        <v>480000</v>
      </c>
      <c r="Y132" s="45" t="n">
        <f aca="false">T132*c_m2+U132*c_m3</f>
        <v>1068590.25</v>
      </c>
      <c r="Z132" s="45" t="n">
        <f aca="false">SUM(V132:Y132)</f>
        <v>2298590.25</v>
      </c>
      <c r="AA132" s="34" t="n">
        <f aca="false">B132*u_d/(H132*u_w)</f>
        <v>0.254901960784314</v>
      </c>
      <c r="AB132" s="46" t="n">
        <f aca="false">IF(G132=0,0,F132/G132)</f>
        <v>0.349801587301587</v>
      </c>
      <c r="AC132" s="46" t="n">
        <f aca="false">IF(G132&gt;1,F132/(G132-1),"n/a")</f>
        <v>0.699603174603175</v>
      </c>
      <c r="AD132" s="47" t="n">
        <f aca="false">moves_day*m_pallet*9.81*INDEX(Tc_mh,C132)/3600000</f>
        <v>10.0647157894737</v>
      </c>
      <c r="AE132" s="3" t="n">
        <f aca="false">IF(AND(K132&lt;=H_max,H132&lt;=300,OR(lane_policy="Free (optimize N_C)",B132=sku_pal),OR(env_use="No",AND(I132&lt;=L_bldg,J132&lt;=W_bldg),AND(I132&lt;=W_bldg,J132&lt;=L_bldg))),1,0)</f>
        <v>0</v>
      </c>
      <c r="AF132" s="48" t="n">
        <f aca="false">IF(obj_mode="Total cost",Z132,IF(obj_mode="Shuttle cycle",O132,T132))</f>
        <v>2298590.25</v>
      </c>
      <c r="AG132" s="3" t="n">
        <f aca="false">IF(AE132=1,AF132*(1+A132*0.0000000001),1E+099)</f>
        <v>1E+099</v>
      </c>
      <c r="AH132" s="3" t="str">
        <f aca="false">IF(AE132=1,"",IF(K132&gt;H_max,"height",IF(AND(lane_policy&lt;&gt;"Free (optimize N_C)",B132&lt;&gt;sku_pal),"lane policy","footprint")))</f>
        <v>footprint</v>
      </c>
    </row>
    <row r="133" customFormat="false" ht="15" hidden="false" customHeight="true" outlineLevel="0" collapsed="false">
      <c r="A133" s="3" t="n">
        <v>126</v>
      </c>
      <c r="B133" s="3" t="n">
        <f aca="false">$H$3</f>
        <v>10</v>
      </c>
      <c r="C133" s="3" t="n">
        <v>6</v>
      </c>
      <c r="D133" s="46" t="n">
        <f aca="false">INDEX(Tc_pl,C133)</f>
        <v>0.6</v>
      </c>
      <c r="E133" s="47" t="n">
        <f aca="false">INDEX(Tc_S,C133)</f>
        <v>44.7404761904762</v>
      </c>
      <c r="F133" s="34" t="n">
        <f aca="false">lam_total*D133*E133/3600</f>
        <v>0.745674603174603</v>
      </c>
      <c r="G133" s="3" t="n">
        <f aca="false">IF(F133&lt;=0.000000000001,0,MAX(ROUNDUP(F133/rho_max-0.000000001,0),IF(redund="Yes",ROUNDUP(F133/rho_fail-0.000000001,0)+1,0)))</f>
        <v>2</v>
      </c>
      <c r="H133" s="3" t="n">
        <f aca="false">MAX(1,ROUNDUP((P_req/(B133*C133)+G133*lpl)/2-0.000000001,0))</f>
        <v>43</v>
      </c>
      <c r="I133" s="47" t="n">
        <f aca="false">H133*u_w</f>
        <v>43</v>
      </c>
      <c r="J133" s="47" t="n">
        <f aca="false">2*B133*u_d+aisle_w</f>
        <v>27.3</v>
      </c>
      <c r="K133" s="47" t="n">
        <f aca="false">C133*u_h</f>
        <v>12.9</v>
      </c>
      <c r="L133" s="47" t="n">
        <f aca="false">IF(G133=0,I133,I133/(2*G133))</f>
        <v>10.75</v>
      </c>
      <c r="M133" s="34" t="n">
        <f aca="false">((IF((lane_off+(L133))&lt;=(v_sh^2/a_sh),(4/3)*(lane_off+(L133))^1.5/SQRT(a_sh),(4/3)*(v_sh^2/a_sh)^1.5/SQRT(a_sh)+((lane_off+(L133))^2-(v_sh^2/a_sh)^2)/(2*v_sh)+(v_sh/a_sh)*((lane_off+(L133))-(v_sh^2/a_sh))))-(IF((lane_off)&lt;=(v_sh^2/a_sh),(4/3)*(lane_off)^1.5/SQRT(a_sh),(4/3)*(v_sh^2/a_sh)^1.5/SQRT(a_sh)+((lane_off)^2-(v_sh^2/a_sh)^2)/(2*v_sh)+(v_sh/a_sh)*((lane_off)-(v_sh^2/a_sh)))))/(L133)</f>
        <v>7.53244524293416</v>
      </c>
      <c r="N133" s="34" t="n">
        <f aca="false">IF(((B133-1)*u_d/2*(1+f_hc)+lane_off)&lt;=0,0,IF(((B133-1)*u_d/2*(1+f_hc)+lane_off)&gt;=v_sh^2/a_sh,((B133-1)*u_d/2*(1+f_hc)+lane_off)/v_sh+v_sh/a_sh,2*SQRT(((B133-1)*u_d/2*(1+f_hc)+lane_off)/a_sh)))</f>
        <v>8.74285714285714</v>
      </c>
      <c r="O133" s="47" t="n">
        <f aca="false">2*t_sh+2*t_turn+2*M133+2*N133</f>
        <v>90.5506047715826</v>
      </c>
      <c r="P133" s="47" t="n">
        <f aca="false">SUMPRODUCT((Tc_idx&lt;=C133)*(ROUNDUP(lam_total*INDEX(Tc_P,C133,0)*O133/(3600*rho_max)-0.000000001,0)+(ROUNDUP(lam_total*INDEX(Tc_P,C133,0)*O133/(3600*rho_max)-0.000000001,0)&lt;min_sh)*(min_sh-ROUNDUP(lam_total*INDEX(Tc_P,C133,0)*O133/(3600*rho_max)-0.000000001,0))))</f>
        <v>8</v>
      </c>
      <c r="Q133" s="3" t="n">
        <f aca="false">ROUNDUP(P133-0.000000001,0)+spares</f>
        <v>10</v>
      </c>
      <c r="R133" s="45" t="n">
        <f aca="false">B133*C133*(2*H133-G133*lpl)</f>
        <v>4800</v>
      </c>
      <c r="S133" s="45" t="n">
        <f aca="false">R133*fill</f>
        <v>4080</v>
      </c>
      <c r="T133" s="45" t="n">
        <f aca="false">I133*J133</f>
        <v>1173.9</v>
      </c>
      <c r="U133" s="45" t="n">
        <f aca="false">T133*(K133+headroom)</f>
        <v>16904.16</v>
      </c>
      <c r="V133" s="45" t="n">
        <f aca="false">G133*c_lift</f>
        <v>300000</v>
      </c>
      <c r="W133" s="45" t="n">
        <f aca="false">Q133*c_shut</f>
        <v>500000</v>
      </c>
      <c r="X133" s="45" t="n">
        <f aca="false">R133*c_pos</f>
        <v>480000</v>
      </c>
      <c r="Y133" s="45" t="n">
        <f aca="false">T133*c_m2+U133*c_m3</f>
        <v>976684.8</v>
      </c>
      <c r="Z133" s="45" t="n">
        <f aca="false">SUM(V133:Y133)</f>
        <v>2256684.8</v>
      </c>
      <c r="AA133" s="34" t="n">
        <f aca="false">B133*u_d/(H133*u_w)</f>
        <v>0.302325581395349</v>
      </c>
      <c r="AB133" s="46" t="n">
        <f aca="false">IF(G133=0,0,F133/G133)</f>
        <v>0.372837301587302</v>
      </c>
      <c r="AC133" s="46" t="n">
        <f aca="false">IF(G133&gt;1,F133/(G133-1),"n/a")</f>
        <v>0.745674603174603</v>
      </c>
      <c r="AD133" s="47" t="n">
        <f aca="false">moves_day*m_pallet*9.81*INDEX(Tc_mh,C133)/3600000</f>
        <v>12.37368</v>
      </c>
      <c r="AE133" s="3" t="n">
        <f aca="false">IF(AND(K133&lt;=H_max,H133&lt;=300,OR(lane_policy="Free (optimize N_C)",B133=sku_pal),OR(env_use="No",AND(I133&lt;=L_bldg,J133&lt;=W_bldg),AND(I133&lt;=W_bldg,J133&lt;=L_bldg))),1,0)</f>
        <v>1</v>
      </c>
      <c r="AF133" s="48" t="n">
        <f aca="false">IF(obj_mode="Total cost",Z133,IF(obj_mode="Shuttle cycle",O133,T133))</f>
        <v>2256684.8</v>
      </c>
      <c r="AG133" s="3" t="n">
        <f aca="false">IF(AE133=1,AF133*(1+A133*0.0000000001),1E+099)</f>
        <v>2256684.82843423</v>
      </c>
      <c r="AH133" s="3" t="str">
        <f aca="false">IF(AE133=1,"",IF(K133&gt;H_max,"height",IF(AND(lane_policy&lt;&gt;"Free (optimize N_C)",B133&lt;&gt;sku_pal),"lane policy","footprint")))</f>
        <v/>
      </c>
    </row>
    <row r="134" customFormat="false" ht="15" hidden="false" customHeight="true" outlineLevel="0" collapsed="false">
      <c r="A134" s="3" t="n">
        <v>127</v>
      </c>
      <c r="B134" s="3" t="n">
        <f aca="false">$H$3</f>
        <v>10</v>
      </c>
      <c r="C134" s="3" t="n">
        <v>7</v>
      </c>
      <c r="D134" s="46" t="n">
        <f aca="false">INDEX(Tc_pl,C134)</f>
        <v>0.6</v>
      </c>
      <c r="E134" s="47" t="n">
        <f aca="false">INDEX(Tc_S,C134)</f>
        <v>44.9196428571429</v>
      </c>
      <c r="F134" s="34" t="n">
        <f aca="false">lam_total*D134*E134/3600</f>
        <v>0.748660714285714</v>
      </c>
      <c r="G134" s="3" t="n">
        <f aca="false">IF(F134&lt;=0.000000000001,0,MAX(ROUNDUP(F134/rho_max-0.000000001,0),IF(redund="Yes",ROUNDUP(F134/rho_fail-0.000000001,0)+1,0)))</f>
        <v>2</v>
      </c>
      <c r="H134" s="3" t="n">
        <f aca="false">MAX(1,ROUNDUP((P_req/(B134*C134)+G134*lpl)/2-0.000000001,0))</f>
        <v>37</v>
      </c>
      <c r="I134" s="47" t="n">
        <f aca="false">H134*u_w</f>
        <v>37</v>
      </c>
      <c r="J134" s="47" t="n">
        <f aca="false">2*B134*u_d+aisle_w</f>
        <v>27.3</v>
      </c>
      <c r="K134" s="47" t="n">
        <f aca="false">C134*u_h</f>
        <v>15.05</v>
      </c>
      <c r="L134" s="47" t="n">
        <f aca="false">IF(G134=0,I134,I134/(2*G134))</f>
        <v>9.25</v>
      </c>
      <c r="M134" s="34" t="n">
        <f aca="false">((IF((lane_off+(L134))&lt;=(v_sh^2/a_sh),(4/3)*(lane_off+(L134))^1.5/SQRT(a_sh),(4/3)*(v_sh^2/a_sh)^1.5/SQRT(a_sh)+((lane_off+(L134))^2-(v_sh^2/a_sh)^2)/(2*v_sh)+(v_sh/a_sh)*((lane_off+(L134))-(v_sh^2/a_sh))))-(IF((lane_off)&lt;=(v_sh^2/a_sh),(4/3)*(lane_off)^1.5/SQRT(a_sh),(4/3)*(v_sh^2/a_sh)^1.5/SQRT(a_sh)+((lane_off)^2-(v_sh^2/a_sh)^2)/(2*v_sh)+(v_sh/a_sh)*((lane_off)-(v_sh^2/a_sh)))))/(L134)</f>
        <v>6.99098848696209</v>
      </c>
      <c r="N134" s="34" t="n">
        <f aca="false">IF(((B134-1)*u_d/2*(1+f_hc)+lane_off)&lt;=0,0,IF(((B134-1)*u_d/2*(1+f_hc)+lane_off)&gt;=v_sh^2/a_sh,((B134-1)*u_d/2*(1+f_hc)+lane_off)/v_sh+v_sh/a_sh,2*SQRT(((B134-1)*u_d/2*(1+f_hc)+lane_off)/a_sh)))</f>
        <v>8.74285714285714</v>
      </c>
      <c r="O134" s="47" t="n">
        <f aca="false">2*t_sh+2*t_turn+2*M134+2*N134</f>
        <v>89.4676912596385</v>
      </c>
      <c r="P134" s="47" t="n">
        <f aca="false">SUMPRODUCT((Tc_idx&lt;=C134)*(ROUNDUP(lam_total*INDEX(Tc_P,C134,0)*O134/(3600*rho_max)-0.000000001,0)+(ROUNDUP(lam_total*INDEX(Tc_P,C134,0)*O134/(3600*rho_max)-0.000000001,0)&lt;min_sh)*(min_sh-ROUNDUP(lam_total*INDEX(Tc_P,C134,0)*O134/(3600*rho_max)-0.000000001,0))))</f>
        <v>9</v>
      </c>
      <c r="Q134" s="3" t="n">
        <f aca="false">ROUNDUP(P134-0.000000001,0)+spares</f>
        <v>11</v>
      </c>
      <c r="R134" s="45" t="n">
        <f aca="false">B134*C134*(2*H134-G134*lpl)</f>
        <v>4760</v>
      </c>
      <c r="S134" s="45" t="n">
        <f aca="false">R134*fill</f>
        <v>4046</v>
      </c>
      <c r="T134" s="45" t="n">
        <f aca="false">I134*J134</f>
        <v>1010.1</v>
      </c>
      <c r="U134" s="45" t="n">
        <f aca="false">T134*(K134+headroom)</f>
        <v>16717.155</v>
      </c>
      <c r="V134" s="45" t="n">
        <f aca="false">G134*c_lift</f>
        <v>300000</v>
      </c>
      <c r="W134" s="45" t="n">
        <f aca="false">Q134*c_shut</f>
        <v>550000</v>
      </c>
      <c r="X134" s="45" t="n">
        <f aca="false">R134*c_pos</f>
        <v>476000</v>
      </c>
      <c r="Y134" s="45" t="n">
        <f aca="false">T134*c_m2+U134*c_m3</f>
        <v>905554.65</v>
      </c>
      <c r="Z134" s="45" t="n">
        <f aca="false">SUM(V134:Y134)</f>
        <v>2231554.65</v>
      </c>
      <c r="AA134" s="34" t="n">
        <f aca="false">B134*u_d/(H134*u_w)</f>
        <v>0.351351351351351</v>
      </c>
      <c r="AB134" s="46" t="n">
        <f aca="false">IF(G134=0,0,F134/G134)</f>
        <v>0.374330357142857</v>
      </c>
      <c r="AC134" s="46" t="n">
        <f aca="false">IF(G134&gt;1,F134/(G134-1),"n/a")</f>
        <v>0.748660714285714</v>
      </c>
      <c r="AD134" s="47" t="n">
        <f aca="false">moves_day*m_pallet*9.81*INDEX(Tc_mh,C134)/3600000</f>
        <v>12.6549</v>
      </c>
      <c r="AE134" s="3" t="n">
        <f aca="false">IF(AND(K134&lt;=H_max,H134&lt;=300,OR(lane_policy="Free (optimize N_C)",B134=sku_pal),OR(env_use="No",AND(I134&lt;=L_bldg,J134&lt;=W_bldg),AND(I134&lt;=W_bldg,J134&lt;=L_bldg))),1,0)</f>
        <v>1</v>
      </c>
      <c r="AF134" s="48" t="n">
        <f aca="false">IF(obj_mode="Total cost",Z134,IF(obj_mode="Shuttle cycle",O134,T134))</f>
        <v>2231554.65</v>
      </c>
      <c r="AG134" s="3" t="n">
        <f aca="false">IF(AE134=1,AF134*(1+A134*0.0000000001),1E+099)</f>
        <v>2231554.67834074</v>
      </c>
      <c r="AH134" s="3" t="str">
        <f aca="false">IF(AE134=1,"",IF(K134&gt;H_max,"height",IF(AND(lane_policy&lt;&gt;"Free (optimize N_C)",B134&lt;&gt;sku_pal),"lane policy","footprint")))</f>
        <v/>
      </c>
    </row>
    <row r="135" customFormat="false" ht="15" hidden="false" customHeight="true" outlineLevel="0" collapsed="false">
      <c r="A135" s="3" t="n">
        <v>128</v>
      </c>
      <c r="B135" s="3" t="n">
        <f aca="false">$H$3</f>
        <v>10</v>
      </c>
      <c r="C135" s="3" t="n">
        <v>8</v>
      </c>
      <c r="D135" s="46" t="n">
        <f aca="false">INDEX(Tc_pl,C135)</f>
        <v>0.6</v>
      </c>
      <c r="E135" s="47" t="n">
        <f aca="false">INDEX(Tc_S,C135)</f>
        <v>45.0988095238095</v>
      </c>
      <c r="F135" s="34" t="n">
        <f aca="false">lam_total*D135*E135/3600</f>
        <v>0.751646825396826</v>
      </c>
      <c r="G135" s="3" t="n">
        <f aca="false">IF(F135&lt;=0.000000000001,0,MAX(ROUNDUP(F135/rho_max-0.000000001,0),IF(redund="Yes",ROUNDUP(F135/rho_fail-0.000000001,0)+1,0)))</f>
        <v>2</v>
      </c>
      <c r="H135" s="3" t="n">
        <f aca="false">MAX(1,ROUNDUP((P_req/(B135*C135)+G135*lpl)/2-0.000000001,0))</f>
        <v>33</v>
      </c>
      <c r="I135" s="47" t="n">
        <f aca="false">H135*u_w</f>
        <v>33</v>
      </c>
      <c r="J135" s="47" t="n">
        <f aca="false">2*B135*u_d+aisle_w</f>
        <v>27.3</v>
      </c>
      <c r="K135" s="47" t="n">
        <f aca="false">C135*u_h</f>
        <v>17.2</v>
      </c>
      <c r="L135" s="47" t="n">
        <f aca="false">IF(G135=0,I135,I135/(2*G135))</f>
        <v>8.25</v>
      </c>
      <c r="M135" s="34" t="n">
        <f aca="false">((IF((lane_off+(L135))&lt;=(v_sh^2/a_sh),(4/3)*(lane_off+(L135))^1.5/SQRT(a_sh),(4/3)*(v_sh^2/a_sh)^1.5/SQRT(a_sh)+((lane_off+(L135))^2-(v_sh^2/a_sh)^2)/(2*v_sh)+(v_sh/a_sh)*((lane_off+(L135))-(v_sh^2/a_sh))))-(IF((lane_off)&lt;=(v_sh^2/a_sh),(4/3)*(lane_off)^1.5/SQRT(a_sh),(4/3)*(v_sh^2/a_sh)^1.5/SQRT(a_sh)+((lane_off)^2-(v_sh^2/a_sh)^2)/(2*v_sh)+(v_sh/a_sh)*((lane_off)-(v_sh^2/a_sh)))))/(L135)</f>
        <v>6.62885722131248</v>
      </c>
      <c r="N135" s="34" t="n">
        <f aca="false">IF(((B135-1)*u_d/2*(1+f_hc)+lane_off)&lt;=0,0,IF(((B135-1)*u_d/2*(1+f_hc)+lane_off)&gt;=v_sh^2/a_sh,((B135-1)*u_d/2*(1+f_hc)+lane_off)/v_sh+v_sh/a_sh,2*SQRT(((B135-1)*u_d/2*(1+f_hc)+lane_off)/a_sh)))</f>
        <v>8.74285714285714</v>
      </c>
      <c r="O135" s="47" t="n">
        <f aca="false">2*t_sh+2*t_turn+2*M135+2*N135</f>
        <v>88.7434287283392</v>
      </c>
      <c r="P135" s="47" t="n">
        <f aca="false">SUMPRODUCT((Tc_idx&lt;=C135)*(ROUNDUP(lam_total*INDEX(Tc_P,C135,0)*O135/(3600*rho_max)-0.000000001,0)+(ROUNDUP(lam_total*INDEX(Tc_P,C135,0)*O135/(3600*rho_max)-0.000000001,0)&lt;min_sh)*(min_sh-ROUNDUP(lam_total*INDEX(Tc_P,C135,0)*O135/(3600*rho_max)-0.000000001,0))))</f>
        <v>10</v>
      </c>
      <c r="Q135" s="3" t="n">
        <f aca="false">ROUNDUP(P135-0.000000001,0)+spares</f>
        <v>12</v>
      </c>
      <c r="R135" s="45" t="n">
        <f aca="false">B135*C135*(2*H135-G135*lpl)</f>
        <v>4800</v>
      </c>
      <c r="S135" s="45" t="n">
        <f aca="false">R135*fill</f>
        <v>4080</v>
      </c>
      <c r="T135" s="45" t="n">
        <f aca="false">I135*J135</f>
        <v>900.9</v>
      </c>
      <c r="U135" s="45" t="n">
        <f aca="false">T135*(K135+headroom)</f>
        <v>16846.83</v>
      </c>
      <c r="V135" s="45" t="n">
        <f aca="false">G135*c_lift</f>
        <v>300000</v>
      </c>
      <c r="W135" s="45" t="n">
        <f aca="false">Q135*c_shut</f>
        <v>600000</v>
      </c>
      <c r="X135" s="45" t="n">
        <f aca="false">R135*c_pos</f>
        <v>480000</v>
      </c>
      <c r="Y135" s="45" t="n">
        <f aca="false">T135*c_m2+U135*c_m3</f>
        <v>865764.9</v>
      </c>
      <c r="Z135" s="45" t="n">
        <f aca="false">SUM(V135:Y135)</f>
        <v>2245764.9</v>
      </c>
      <c r="AA135" s="34" t="n">
        <f aca="false">B135*u_d/(H135*u_w)</f>
        <v>0.393939393939394</v>
      </c>
      <c r="AB135" s="46" t="n">
        <f aca="false">IF(G135=0,0,F135/G135)</f>
        <v>0.375823412698413</v>
      </c>
      <c r="AC135" s="46" t="n">
        <f aca="false">IF(G135&gt;1,F135/(G135-1),"n/a")</f>
        <v>0.751646825396826</v>
      </c>
      <c r="AD135" s="47" t="n">
        <f aca="false">moves_day*m_pallet*9.81*INDEX(Tc_mh,C135)/3600000</f>
        <v>12.93612</v>
      </c>
      <c r="AE135" s="3" t="n">
        <f aca="false">IF(AND(K135&lt;=H_max,H135&lt;=300,OR(lane_policy="Free (optimize N_C)",B135=sku_pal),OR(env_use="No",AND(I135&lt;=L_bldg,J135&lt;=W_bldg),AND(I135&lt;=W_bldg,J135&lt;=L_bldg))),1,0)</f>
        <v>1</v>
      </c>
      <c r="AF135" s="48" t="n">
        <f aca="false">IF(obj_mode="Total cost",Z135,IF(obj_mode="Shuttle cycle",O135,T135))</f>
        <v>2245764.9</v>
      </c>
      <c r="AG135" s="3" t="n">
        <f aca="false">IF(AE135=1,AF135*(1+A135*0.0000000001),1E+099)</f>
        <v>2245764.92874579</v>
      </c>
      <c r="AH135" s="3" t="str">
        <f aca="false">IF(AE135=1,"",IF(K135&gt;H_max,"height",IF(AND(lane_policy&lt;&gt;"Free (optimize N_C)",B135&lt;&gt;sku_pal),"lane policy","footprint")))</f>
        <v/>
      </c>
    </row>
    <row r="136" customFormat="false" ht="15" hidden="false" customHeight="true" outlineLevel="0" collapsed="false">
      <c r="A136" s="3" t="n">
        <v>129</v>
      </c>
      <c r="B136" s="3" t="n">
        <f aca="false">$H$3</f>
        <v>10</v>
      </c>
      <c r="C136" s="3" t="n">
        <v>9</v>
      </c>
      <c r="D136" s="46" t="n">
        <f aca="false">INDEX(Tc_pl,C136)</f>
        <v>0.6</v>
      </c>
      <c r="E136" s="47" t="n">
        <f aca="false">INDEX(Tc_S,C136)</f>
        <v>45.2779761904762</v>
      </c>
      <c r="F136" s="34" t="n">
        <f aca="false">lam_total*D136*E136/3600</f>
        <v>0.754632936507936</v>
      </c>
      <c r="G136" s="3" t="n">
        <f aca="false">IF(F136&lt;=0.000000000001,0,MAX(ROUNDUP(F136/rho_max-0.000000001,0),IF(redund="Yes",ROUNDUP(F136/rho_fail-0.000000001,0)+1,0)))</f>
        <v>2</v>
      </c>
      <c r="H136" s="3" t="n">
        <f aca="false">MAX(1,ROUNDUP((P_req/(B136*C136)+G136*lpl)/2-0.000000001,0))</f>
        <v>30</v>
      </c>
      <c r="I136" s="47" t="n">
        <f aca="false">H136*u_w</f>
        <v>30</v>
      </c>
      <c r="J136" s="47" t="n">
        <f aca="false">2*B136*u_d+aisle_w</f>
        <v>27.3</v>
      </c>
      <c r="K136" s="47" t="n">
        <f aca="false">C136*u_h</f>
        <v>19.35</v>
      </c>
      <c r="L136" s="47" t="n">
        <f aca="false">IF(G136=0,I136,I136/(2*G136))</f>
        <v>7.5</v>
      </c>
      <c r="M136" s="34" t="n">
        <f aca="false">((IF((lane_off+(L136))&lt;=(v_sh^2/a_sh),(4/3)*(lane_off+(L136))^1.5/SQRT(a_sh),(4/3)*(v_sh^2/a_sh)^1.5/SQRT(a_sh)+((lane_off+(L136))^2-(v_sh^2/a_sh)^2)/(2*v_sh)+(v_sh/a_sh)*((lane_off+(L136))-(v_sh^2/a_sh))))-(IF((lane_off)&lt;=(v_sh^2/a_sh),(4/3)*(lane_off)^1.5/SQRT(a_sh),(4/3)*(v_sh^2/a_sh)^1.5/SQRT(a_sh)+((lane_off)^2-(v_sh^2/a_sh)^2)/(2*v_sh)+(v_sh/a_sh)*((lane_off)-(v_sh^2/a_sh)))))/(L136)</f>
        <v>6.35638580058658</v>
      </c>
      <c r="N136" s="34" t="n">
        <f aca="false">IF(((B136-1)*u_d/2*(1+f_hc)+lane_off)&lt;=0,0,IF(((B136-1)*u_d/2*(1+f_hc)+lane_off)&gt;=v_sh^2/a_sh,((B136-1)*u_d/2*(1+f_hc)+lane_off)/v_sh+v_sh/a_sh,2*SQRT(((B136-1)*u_d/2*(1+f_hc)+lane_off)/a_sh)))</f>
        <v>8.74285714285714</v>
      </c>
      <c r="O136" s="47" t="n">
        <f aca="false">2*t_sh+2*t_turn+2*M136+2*N136</f>
        <v>88.1984858868875</v>
      </c>
      <c r="P136" s="47" t="n">
        <f aca="false">SUMPRODUCT((Tc_idx&lt;=C136)*(ROUNDUP(lam_total*INDEX(Tc_P,C136,0)*O136/(3600*rho_max)-0.000000001,0)+(ROUNDUP(lam_total*INDEX(Tc_P,C136,0)*O136/(3600*rho_max)-0.000000001,0)&lt;min_sh)*(min_sh-ROUNDUP(lam_total*INDEX(Tc_P,C136,0)*O136/(3600*rho_max)-0.000000001,0))))</f>
        <v>11</v>
      </c>
      <c r="Q136" s="3" t="n">
        <f aca="false">ROUNDUP(P136-0.000000001,0)+spares</f>
        <v>13</v>
      </c>
      <c r="R136" s="45" t="n">
        <f aca="false">B136*C136*(2*H136-G136*lpl)</f>
        <v>4860</v>
      </c>
      <c r="S136" s="45" t="n">
        <f aca="false">R136*fill</f>
        <v>4131</v>
      </c>
      <c r="T136" s="45" t="n">
        <f aca="false">I136*J136</f>
        <v>819</v>
      </c>
      <c r="U136" s="45" t="n">
        <f aca="false">T136*(K136+headroom)</f>
        <v>17076.15</v>
      </c>
      <c r="V136" s="45" t="n">
        <f aca="false">G136*c_lift</f>
        <v>300000</v>
      </c>
      <c r="W136" s="45" t="n">
        <f aca="false">Q136*c_shut</f>
        <v>650000</v>
      </c>
      <c r="X136" s="45" t="n">
        <f aca="false">R136*c_pos</f>
        <v>486000</v>
      </c>
      <c r="Y136" s="45" t="n">
        <f aca="false">T136*c_m2+U136*c_m3</f>
        <v>839884.5</v>
      </c>
      <c r="Z136" s="45" t="n">
        <f aca="false">SUM(V136:Y136)</f>
        <v>2275884.5</v>
      </c>
      <c r="AA136" s="34" t="n">
        <f aca="false">B136*u_d/(H136*u_w)</f>
        <v>0.433333333333333</v>
      </c>
      <c r="AB136" s="46" t="n">
        <f aca="false">IF(G136=0,0,F136/G136)</f>
        <v>0.377316468253968</v>
      </c>
      <c r="AC136" s="46" t="n">
        <f aca="false">IF(G136&gt;1,F136/(G136-1),"n/a")</f>
        <v>0.754632936507936</v>
      </c>
      <c r="AD136" s="47" t="n">
        <f aca="false">moves_day*m_pallet*9.81*INDEX(Tc_mh,C136)/3600000</f>
        <v>13.21734</v>
      </c>
      <c r="AE136" s="3" t="n">
        <f aca="false">IF(AND(K136&lt;=H_max,H136&lt;=300,OR(lane_policy="Free (optimize N_C)",B136=sku_pal),OR(env_use="No",AND(I136&lt;=L_bldg,J136&lt;=W_bldg),AND(I136&lt;=W_bldg,J136&lt;=L_bldg))),1,0)</f>
        <v>1</v>
      </c>
      <c r="AF136" s="48" t="n">
        <f aca="false">IF(obj_mode="Total cost",Z136,IF(obj_mode="Shuttle cycle",O136,T136))</f>
        <v>2275884.5</v>
      </c>
      <c r="AG136" s="3" t="n">
        <f aca="false">IF(AE136=1,AF136*(1+A136*0.0000000001),1E+099)</f>
        <v>2275884.52935891</v>
      </c>
      <c r="AH136" s="3" t="str">
        <f aca="false">IF(AE136=1,"",IF(K136&gt;H_max,"height",IF(AND(lane_policy&lt;&gt;"Free (optimize N_C)",B136&lt;&gt;sku_pal),"lane policy","footprint")))</f>
        <v/>
      </c>
    </row>
    <row r="137" customFormat="false" ht="15" hidden="false" customHeight="true" outlineLevel="0" collapsed="false">
      <c r="A137" s="3" t="n">
        <v>130</v>
      </c>
      <c r="B137" s="3" t="n">
        <f aca="false">$H$3</f>
        <v>10</v>
      </c>
      <c r="C137" s="3" t="n">
        <v>10</v>
      </c>
      <c r="D137" s="46" t="n">
        <f aca="false">INDEX(Tc_pl,C137)</f>
        <v>0.6</v>
      </c>
      <c r="E137" s="47" t="n">
        <f aca="false">INDEX(Tc_S,C137)</f>
        <v>45.4571428571429</v>
      </c>
      <c r="F137" s="34" t="n">
        <f aca="false">lam_total*D137*E137/3600</f>
        <v>0.757619047619048</v>
      </c>
      <c r="G137" s="3" t="n">
        <f aca="false">IF(F137&lt;=0.000000000001,0,MAX(ROUNDUP(F137/rho_max-0.000000001,0),IF(redund="Yes",ROUNDUP(F137/rho_fail-0.000000001,0)+1,0)))</f>
        <v>2</v>
      </c>
      <c r="H137" s="3" t="n">
        <f aca="false">MAX(1,ROUNDUP((P_req/(B137*C137)+G137*lpl)/2-0.000000001,0))</f>
        <v>27</v>
      </c>
      <c r="I137" s="47" t="n">
        <f aca="false">H137*u_w</f>
        <v>27</v>
      </c>
      <c r="J137" s="47" t="n">
        <f aca="false">2*B137*u_d+aisle_w</f>
        <v>27.3</v>
      </c>
      <c r="K137" s="47" t="n">
        <f aca="false">C137*u_h</f>
        <v>21.5</v>
      </c>
      <c r="L137" s="47" t="n">
        <f aca="false">IF(G137=0,I137,I137/(2*G137))</f>
        <v>6.75</v>
      </c>
      <c r="M137" s="34" t="n">
        <f aca="false">((IF((lane_off+(L137))&lt;=(v_sh^2/a_sh),(4/3)*(lane_off+(L137))^1.5/SQRT(a_sh),(4/3)*(v_sh^2/a_sh)^1.5/SQRT(a_sh)+((lane_off+(L137))^2-(v_sh^2/a_sh)^2)/(2*v_sh)+(v_sh/a_sh)*((lane_off+(L137))-(v_sh^2/a_sh))))-(IF((lane_off)&lt;=(v_sh^2/a_sh),(4/3)*(lane_off)^1.5/SQRT(a_sh),(4/3)*(v_sh^2/a_sh)^1.5/SQRT(a_sh)+((lane_off)^2-(v_sh^2/a_sh)^2)/(2*v_sh)+(v_sh/a_sh)*((lane_off)-(v_sh^2/a_sh)))))/(L137)</f>
        <v>6.08288898477874</v>
      </c>
      <c r="N137" s="34" t="n">
        <f aca="false">IF(((B137-1)*u_d/2*(1+f_hc)+lane_off)&lt;=0,0,IF(((B137-1)*u_d/2*(1+f_hc)+lane_off)&gt;=v_sh^2/a_sh,((B137-1)*u_d/2*(1+f_hc)+lane_off)/v_sh+v_sh/a_sh,2*SQRT(((B137-1)*u_d/2*(1+f_hc)+lane_off)/a_sh)))</f>
        <v>8.74285714285714</v>
      </c>
      <c r="O137" s="47" t="n">
        <f aca="false">2*t_sh+2*t_turn+2*M137+2*N137</f>
        <v>87.6514922552718</v>
      </c>
      <c r="P137" s="47" t="n">
        <f aca="false">SUMPRODUCT((Tc_idx&lt;=C137)*(ROUNDUP(lam_total*INDEX(Tc_P,C137,0)*O137/(3600*rho_max)-0.000000001,0)+(ROUNDUP(lam_total*INDEX(Tc_P,C137,0)*O137/(3600*rho_max)-0.000000001,0)&lt;min_sh)*(min_sh-ROUNDUP(lam_total*INDEX(Tc_P,C137,0)*O137/(3600*rho_max)-0.000000001,0))))</f>
        <v>12</v>
      </c>
      <c r="Q137" s="3" t="n">
        <f aca="false">ROUNDUP(P137-0.000000001,0)+spares</f>
        <v>14</v>
      </c>
      <c r="R137" s="45" t="n">
        <f aca="false">B137*C137*(2*H137-G137*lpl)</f>
        <v>4800</v>
      </c>
      <c r="S137" s="45" t="n">
        <f aca="false">R137*fill</f>
        <v>4080</v>
      </c>
      <c r="T137" s="45" t="n">
        <f aca="false">I137*J137</f>
        <v>737.1</v>
      </c>
      <c r="U137" s="45" t="n">
        <f aca="false">T137*(K137+headroom)</f>
        <v>16953.3</v>
      </c>
      <c r="V137" s="45" t="n">
        <f aca="false">G137*c_lift</f>
        <v>300000</v>
      </c>
      <c r="W137" s="45" t="n">
        <f aca="false">Q137*c_shut</f>
        <v>700000</v>
      </c>
      <c r="X137" s="45" t="n">
        <f aca="false">R137*c_pos</f>
        <v>480000</v>
      </c>
      <c r="Y137" s="45" t="n">
        <f aca="false">T137*c_m2+U137*c_m3</f>
        <v>803439</v>
      </c>
      <c r="Z137" s="45" t="n">
        <f aca="false">SUM(V137:Y137)</f>
        <v>2283439</v>
      </c>
      <c r="AA137" s="34" t="n">
        <f aca="false">B137*u_d/(H137*u_w)</f>
        <v>0.481481481481481</v>
      </c>
      <c r="AB137" s="46" t="n">
        <f aca="false">IF(G137=0,0,F137/G137)</f>
        <v>0.378809523809524</v>
      </c>
      <c r="AC137" s="46" t="n">
        <f aca="false">IF(G137&gt;1,F137/(G137-1),"n/a")</f>
        <v>0.757619047619048</v>
      </c>
      <c r="AD137" s="47" t="n">
        <f aca="false">moves_day*m_pallet*9.81*INDEX(Tc_mh,C137)/3600000</f>
        <v>13.49856</v>
      </c>
      <c r="AE137" s="3" t="n">
        <f aca="false">IF(AND(K137&lt;=H_max,H137&lt;=300,OR(lane_policy="Free (optimize N_C)",B137=sku_pal),OR(env_use="No",AND(I137&lt;=L_bldg,J137&lt;=W_bldg),AND(I137&lt;=W_bldg,J137&lt;=L_bldg))),1,0)</f>
        <v>0</v>
      </c>
      <c r="AF137" s="48" t="n">
        <f aca="false">IF(obj_mode="Total cost",Z137,IF(obj_mode="Shuttle cycle",O137,T137))</f>
        <v>2283439</v>
      </c>
      <c r="AG137" s="3" t="n">
        <f aca="false">IF(AE137=1,AF137*(1+A137*0.0000000001),1E+099)</f>
        <v>1E+099</v>
      </c>
      <c r="AH137" s="3" t="str">
        <f aca="false">IF(AE137=1,"",IF(K137&gt;H_max,"height",IF(AND(lane_policy&lt;&gt;"Free (optimize N_C)",B137&lt;&gt;sku_pal),"lane policy","footprint")))</f>
        <v>height</v>
      </c>
    </row>
    <row r="138" customFormat="false" ht="15" hidden="false" customHeight="true" outlineLevel="0" collapsed="false">
      <c r="A138" s="3" t="n">
        <v>131</v>
      </c>
      <c r="B138" s="3" t="n">
        <f aca="false">$H$3</f>
        <v>10</v>
      </c>
      <c r="C138" s="3" t="n">
        <v>11</v>
      </c>
      <c r="D138" s="46" t="n">
        <f aca="false">INDEX(Tc_pl,C138)</f>
        <v>0.6</v>
      </c>
      <c r="E138" s="47" t="n">
        <f aca="false">INDEX(Tc_S,C138)</f>
        <v>45.6363095238095</v>
      </c>
      <c r="F138" s="34" t="n">
        <f aca="false">lam_total*D138*E138/3600</f>
        <v>0.760605158730159</v>
      </c>
      <c r="G138" s="3" t="n">
        <f aca="false">IF(F138&lt;=0.000000000001,0,MAX(ROUNDUP(F138/rho_max-0.000000001,0),IF(redund="Yes",ROUNDUP(F138/rho_fail-0.000000001,0)+1,0)))</f>
        <v>2</v>
      </c>
      <c r="H138" s="3" t="n">
        <f aca="false">MAX(1,ROUNDUP((P_req/(B138*C138)+G138*lpl)/2-0.000000001,0))</f>
        <v>25</v>
      </c>
      <c r="I138" s="47" t="n">
        <f aca="false">H138*u_w</f>
        <v>25</v>
      </c>
      <c r="J138" s="47" t="n">
        <f aca="false">2*B138*u_d+aisle_w</f>
        <v>27.3</v>
      </c>
      <c r="K138" s="47" t="n">
        <f aca="false">C138*u_h</f>
        <v>23.65</v>
      </c>
      <c r="L138" s="47" t="n">
        <f aca="false">IF(G138=0,I138,I138/(2*G138))</f>
        <v>6.25</v>
      </c>
      <c r="M138" s="34" t="n">
        <f aca="false">((IF((lane_off+(L138))&lt;=(v_sh^2/a_sh),(4/3)*(lane_off+(L138))^1.5/SQRT(a_sh),(4/3)*(v_sh^2/a_sh)^1.5/SQRT(a_sh)+((lane_off+(L138))^2-(v_sh^2/a_sh)^2)/(2*v_sh)+(v_sh/a_sh)*((lane_off+(L138))-(v_sh^2/a_sh))))-(IF((lane_off)&lt;=(v_sh^2/a_sh),(4/3)*(lane_off)^1.5/SQRT(a_sh),(4/3)*(v_sh^2/a_sh)^1.5/SQRT(a_sh)+((lane_off)^2-(v_sh^2/a_sh)^2)/(2*v_sh)+(v_sh/a_sh)*((lane_off)-(v_sh^2/a_sh)))))/(L138)</f>
        <v>5.89980581784675</v>
      </c>
      <c r="N138" s="34" t="n">
        <f aca="false">IF(((B138-1)*u_d/2*(1+f_hc)+lane_off)&lt;=0,0,IF(((B138-1)*u_d/2*(1+f_hc)+lane_off)&gt;=v_sh^2/a_sh,((B138-1)*u_d/2*(1+f_hc)+lane_off)/v_sh+v_sh/a_sh,2*SQRT(((B138-1)*u_d/2*(1+f_hc)+lane_off)/a_sh)))</f>
        <v>8.74285714285714</v>
      </c>
      <c r="O138" s="47" t="n">
        <f aca="false">2*t_sh+2*t_turn+2*M138+2*N138</f>
        <v>87.2853259214078</v>
      </c>
      <c r="P138" s="47" t="n">
        <f aca="false">SUMPRODUCT((Tc_idx&lt;=C138)*(ROUNDUP(lam_total*INDEX(Tc_P,C138,0)*O138/(3600*rho_max)-0.000000001,0)+(ROUNDUP(lam_total*INDEX(Tc_P,C138,0)*O138/(3600*rho_max)-0.000000001,0)&lt;min_sh)*(min_sh-ROUNDUP(lam_total*INDEX(Tc_P,C138,0)*O138/(3600*rho_max)-0.000000001,0))))</f>
        <v>13</v>
      </c>
      <c r="Q138" s="3" t="n">
        <f aca="false">ROUNDUP(P138-0.000000001,0)+spares</f>
        <v>15</v>
      </c>
      <c r="R138" s="45" t="n">
        <f aca="false">B138*C138*(2*H138-G138*lpl)</f>
        <v>4840</v>
      </c>
      <c r="S138" s="45" t="n">
        <f aca="false">R138*fill</f>
        <v>4114</v>
      </c>
      <c r="T138" s="45" t="n">
        <f aca="false">I138*J138</f>
        <v>682.5</v>
      </c>
      <c r="U138" s="45" t="n">
        <f aca="false">T138*(K138+headroom)</f>
        <v>17164.875</v>
      </c>
      <c r="V138" s="45" t="n">
        <f aca="false">G138*c_lift</f>
        <v>300000</v>
      </c>
      <c r="W138" s="45" t="n">
        <f aca="false">Q138*c_shut</f>
        <v>750000</v>
      </c>
      <c r="X138" s="45" t="n">
        <f aca="false">R138*c_pos</f>
        <v>484000</v>
      </c>
      <c r="Y138" s="45" t="n">
        <f aca="false">T138*c_m2+U138*c_m3</f>
        <v>787946.25</v>
      </c>
      <c r="Z138" s="45" t="n">
        <f aca="false">SUM(V138:Y138)</f>
        <v>2321946.25</v>
      </c>
      <c r="AA138" s="34" t="n">
        <f aca="false">B138*u_d/(H138*u_w)</f>
        <v>0.52</v>
      </c>
      <c r="AB138" s="46" t="n">
        <f aca="false">IF(G138=0,0,F138/G138)</f>
        <v>0.380302579365079</v>
      </c>
      <c r="AC138" s="46" t="n">
        <f aca="false">IF(G138&gt;1,F138/(G138-1),"n/a")</f>
        <v>0.760605158730159</v>
      </c>
      <c r="AD138" s="47" t="n">
        <f aca="false">moves_day*m_pallet*9.81*INDEX(Tc_mh,C138)/3600000</f>
        <v>13.77978</v>
      </c>
      <c r="AE138" s="3" t="n">
        <f aca="false">IF(AND(K138&lt;=H_max,H138&lt;=300,OR(lane_policy="Free (optimize N_C)",B138=sku_pal),OR(env_use="No",AND(I138&lt;=L_bldg,J138&lt;=W_bldg),AND(I138&lt;=W_bldg,J138&lt;=L_bldg))),1,0)</f>
        <v>0</v>
      </c>
      <c r="AF138" s="48" t="n">
        <f aca="false">IF(obj_mode="Total cost",Z138,IF(obj_mode="Shuttle cycle",O138,T138))</f>
        <v>2321946.25</v>
      </c>
      <c r="AG138" s="3" t="n">
        <f aca="false">IF(AE138=1,AF138*(1+A138*0.0000000001),1E+099)</f>
        <v>1E+099</v>
      </c>
      <c r="AH138" s="3" t="str">
        <f aca="false">IF(AE138=1,"",IF(K138&gt;H_max,"height",IF(AND(lane_policy&lt;&gt;"Free (optimize N_C)",B138&lt;&gt;sku_pal),"lane policy","footprint")))</f>
        <v>height</v>
      </c>
    </row>
    <row r="139" customFormat="false" ht="15" hidden="false" customHeight="true" outlineLevel="0" collapsed="false">
      <c r="A139" s="3" t="n">
        <v>132</v>
      </c>
      <c r="B139" s="3" t="n">
        <f aca="false">$H$3</f>
        <v>10</v>
      </c>
      <c r="C139" s="3" t="n">
        <v>12</v>
      </c>
      <c r="D139" s="46" t="n">
        <f aca="false">INDEX(Tc_pl,C139)</f>
        <v>0.6</v>
      </c>
      <c r="E139" s="47" t="n">
        <f aca="false">INDEX(Tc_S,C139)</f>
        <v>45.8154761904762</v>
      </c>
      <c r="F139" s="34" t="n">
        <f aca="false">lam_total*D139*E139/3600</f>
        <v>0.76359126984127</v>
      </c>
      <c r="G139" s="3" t="n">
        <f aca="false">IF(F139&lt;=0.000000000001,0,MAX(ROUNDUP(F139/rho_max-0.000000001,0),IF(redund="Yes",ROUNDUP(F139/rho_fail-0.000000001,0)+1,0)))</f>
        <v>2</v>
      </c>
      <c r="H139" s="3" t="n">
        <f aca="false">MAX(1,ROUNDUP((P_req/(B139*C139)+G139*lpl)/2-0.000000001,0))</f>
        <v>23</v>
      </c>
      <c r="I139" s="47" t="n">
        <f aca="false">H139*u_w</f>
        <v>23</v>
      </c>
      <c r="J139" s="47" t="n">
        <f aca="false">2*B139*u_d+aisle_w</f>
        <v>27.3</v>
      </c>
      <c r="K139" s="47" t="n">
        <f aca="false">C139*u_h</f>
        <v>25.8</v>
      </c>
      <c r="L139" s="47" t="n">
        <f aca="false">IF(G139=0,I139,I139/(2*G139))</f>
        <v>5.75</v>
      </c>
      <c r="M139" s="34" t="n">
        <f aca="false">((IF((lane_off+(L139))&lt;=(v_sh^2/a_sh),(4/3)*(lane_off+(L139))^1.5/SQRT(a_sh),(4/3)*(v_sh^2/a_sh)^1.5/SQRT(a_sh)+((lane_off+(L139))^2-(v_sh^2/a_sh)^2)/(2*v_sh)+(v_sh/a_sh)*((lane_off+(L139))-(v_sh^2/a_sh))))-(IF((lane_off)&lt;=(v_sh^2/a_sh),(4/3)*(lane_off)^1.5/SQRT(a_sh),(4/3)*(v_sh^2/a_sh)^1.5/SQRT(a_sh)+((lane_off)^2-(v_sh^2/a_sh)^2)/(2*v_sh)+(v_sh/a_sh)*((lane_off)-(v_sh^2/a_sh)))))/(L139)</f>
        <v>5.71593800076511</v>
      </c>
      <c r="N139" s="34" t="n">
        <f aca="false">IF(((B139-1)*u_d/2*(1+f_hc)+lane_off)&lt;=0,0,IF(((B139-1)*u_d/2*(1+f_hc)+lane_off)&gt;=v_sh^2/a_sh,((B139-1)*u_d/2*(1+f_hc)+lane_off)/v_sh+v_sh/a_sh,2*SQRT(((B139-1)*u_d/2*(1+f_hc)+lane_off)/a_sh)))</f>
        <v>8.74285714285714</v>
      </c>
      <c r="O139" s="47" t="n">
        <f aca="false">2*t_sh+2*t_turn+2*M139+2*N139</f>
        <v>86.9175902872445</v>
      </c>
      <c r="P139" s="47" t="n">
        <f aca="false">SUMPRODUCT((Tc_idx&lt;=C139)*(ROUNDUP(lam_total*INDEX(Tc_P,C139,0)*O139/(3600*rho_max)-0.000000001,0)+(ROUNDUP(lam_total*INDEX(Tc_P,C139,0)*O139/(3600*rho_max)-0.000000001,0)&lt;min_sh)*(min_sh-ROUNDUP(lam_total*INDEX(Tc_P,C139,0)*O139/(3600*rho_max)-0.000000001,0))))</f>
        <v>14</v>
      </c>
      <c r="Q139" s="3" t="n">
        <f aca="false">ROUNDUP(P139-0.000000001,0)+spares</f>
        <v>16</v>
      </c>
      <c r="R139" s="45" t="n">
        <f aca="false">B139*C139*(2*H139-G139*lpl)</f>
        <v>4800</v>
      </c>
      <c r="S139" s="45" t="n">
        <f aca="false">R139*fill</f>
        <v>4080</v>
      </c>
      <c r="T139" s="45" t="n">
        <f aca="false">I139*J139</f>
        <v>627.9</v>
      </c>
      <c r="U139" s="45" t="n">
        <f aca="false">T139*(K139+headroom)</f>
        <v>17141.67</v>
      </c>
      <c r="V139" s="45" t="n">
        <f aca="false">G139*c_lift</f>
        <v>300000</v>
      </c>
      <c r="W139" s="45" t="n">
        <f aca="false">Q139*c_shut</f>
        <v>800000</v>
      </c>
      <c r="X139" s="45" t="n">
        <f aca="false">R139*c_pos</f>
        <v>480000</v>
      </c>
      <c r="Y139" s="45" t="n">
        <f aca="false">T139*c_m2+U139*c_m3</f>
        <v>765410.1</v>
      </c>
      <c r="Z139" s="45" t="n">
        <f aca="false">SUM(V139:Y139)</f>
        <v>2345410.1</v>
      </c>
      <c r="AA139" s="34" t="n">
        <f aca="false">B139*u_d/(H139*u_w)</f>
        <v>0.565217391304348</v>
      </c>
      <c r="AB139" s="46" t="n">
        <f aca="false">IF(G139=0,0,F139/G139)</f>
        <v>0.381795634920635</v>
      </c>
      <c r="AC139" s="46" t="n">
        <f aca="false">IF(G139&gt;1,F139/(G139-1),"n/a")</f>
        <v>0.76359126984127</v>
      </c>
      <c r="AD139" s="47" t="n">
        <f aca="false">moves_day*m_pallet*9.81*INDEX(Tc_mh,C139)/3600000</f>
        <v>14.061</v>
      </c>
      <c r="AE139" s="3" t="n">
        <f aca="false">IF(AND(K139&lt;=H_max,H139&lt;=300,OR(lane_policy="Free (optimize N_C)",B139=sku_pal),OR(env_use="No",AND(I139&lt;=L_bldg,J139&lt;=W_bldg),AND(I139&lt;=W_bldg,J139&lt;=L_bldg))),1,0)</f>
        <v>0</v>
      </c>
      <c r="AF139" s="48" t="n">
        <f aca="false">IF(obj_mode="Total cost",Z139,IF(obj_mode="Shuttle cycle",O139,T139))</f>
        <v>2345410.1</v>
      </c>
      <c r="AG139" s="3" t="n">
        <f aca="false">IF(AE139=1,AF139*(1+A139*0.0000000001),1E+099)</f>
        <v>1E+099</v>
      </c>
      <c r="AH139" s="3" t="str">
        <f aca="false">IF(AE139=1,"",IF(K139&gt;H_max,"height",IF(AND(lane_policy&lt;&gt;"Free (optimize N_C)",B139&lt;&gt;sku_pal),"lane policy","footprint")))</f>
        <v>height</v>
      </c>
    </row>
    <row r="140" customFormat="false" ht="15" hidden="false" customHeight="true" outlineLevel="0" collapsed="false">
      <c r="A140" s="3" t="n">
        <v>133</v>
      </c>
      <c r="B140" s="3" t="n">
        <f aca="false">$H$3</f>
        <v>10</v>
      </c>
      <c r="C140" s="3" t="n">
        <v>13</v>
      </c>
      <c r="D140" s="46" t="n">
        <f aca="false">INDEX(Tc_pl,C140)</f>
        <v>0.6</v>
      </c>
      <c r="E140" s="47" t="n">
        <f aca="false">INDEX(Tc_S,C140)</f>
        <v>45.9946428571429</v>
      </c>
      <c r="F140" s="34" t="n">
        <f aca="false">lam_total*D140*E140/3600</f>
        <v>0.766577380952381</v>
      </c>
      <c r="G140" s="3" t="n">
        <f aca="false">IF(F140&lt;=0.000000000001,0,MAX(ROUNDUP(F140/rho_max-0.000000001,0),IF(redund="Yes",ROUNDUP(F140/rho_fail-0.000000001,0)+1,0)))</f>
        <v>2</v>
      </c>
      <c r="H140" s="3" t="n">
        <f aca="false">MAX(1,ROUNDUP((P_req/(B140*C140)+G140*lpl)/2-0.000000001,0))</f>
        <v>22</v>
      </c>
      <c r="I140" s="47" t="n">
        <f aca="false">H140*u_w</f>
        <v>22</v>
      </c>
      <c r="J140" s="47" t="n">
        <f aca="false">2*B140*u_d+aisle_w</f>
        <v>27.3</v>
      </c>
      <c r="K140" s="47" t="n">
        <f aca="false">C140*u_h</f>
        <v>27.95</v>
      </c>
      <c r="L140" s="47" t="n">
        <f aca="false">IF(G140=0,I140,I140/(2*G140))</f>
        <v>5.5</v>
      </c>
      <c r="M140" s="34" t="n">
        <f aca="false">((IF((lane_off+(L140))&lt;=(v_sh^2/a_sh),(4/3)*(lane_off+(L140))^1.5/SQRT(a_sh),(4/3)*(v_sh^2/a_sh)^1.5/SQRT(a_sh)+((lane_off+(L140))^2-(v_sh^2/a_sh)^2)/(2*v_sh)+(v_sh/a_sh)*((lane_off+(L140))-(v_sh^2/a_sh))))-(IF((lane_off)&lt;=(v_sh^2/a_sh),(4/3)*(lane_off)^1.5/SQRT(a_sh),(4/3)*(v_sh^2/a_sh)^1.5/SQRT(a_sh)+((lane_off)^2-(v_sh^2/a_sh)^2)/(2*v_sh)+(v_sh/a_sh)*((lane_off)-(v_sh^2/a_sh)))))/(L140)</f>
        <v>5.62364297482586</v>
      </c>
      <c r="N140" s="34" t="n">
        <f aca="false">IF(((B140-1)*u_d/2*(1+f_hc)+lane_off)&lt;=0,0,IF(((B140-1)*u_d/2*(1+f_hc)+lane_off)&gt;=v_sh^2/a_sh,((B140-1)*u_d/2*(1+f_hc)+lane_off)/v_sh+v_sh/a_sh,2*SQRT(((B140-1)*u_d/2*(1+f_hc)+lane_off)/a_sh)))</f>
        <v>8.74285714285714</v>
      </c>
      <c r="O140" s="47" t="n">
        <f aca="false">2*t_sh+2*t_turn+2*M140+2*N140</f>
        <v>86.733000235366</v>
      </c>
      <c r="P140" s="47" t="n">
        <f aca="false">SUMPRODUCT((Tc_idx&lt;=C140)*(ROUNDUP(lam_total*INDEX(Tc_P,C140,0)*O140/(3600*rho_max)-0.000000001,0)+(ROUNDUP(lam_total*INDEX(Tc_P,C140,0)*O140/(3600*rho_max)-0.000000001,0)&lt;min_sh)*(min_sh-ROUNDUP(lam_total*INDEX(Tc_P,C140,0)*O140/(3600*rho_max)-0.000000001,0))))</f>
        <v>15</v>
      </c>
      <c r="Q140" s="3" t="n">
        <f aca="false">ROUNDUP(P140-0.000000001,0)+spares</f>
        <v>17</v>
      </c>
      <c r="R140" s="45" t="n">
        <f aca="false">B140*C140*(2*H140-G140*lpl)</f>
        <v>4940</v>
      </c>
      <c r="S140" s="45" t="n">
        <f aca="false">R140*fill</f>
        <v>4199</v>
      </c>
      <c r="T140" s="45" t="n">
        <f aca="false">I140*J140</f>
        <v>600.6</v>
      </c>
      <c r="U140" s="45" t="n">
        <f aca="false">T140*(K140+headroom)</f>
        <v>17687.67</v>
      </c>
      <c r="V140" s="45" t="n">
        <f aca="false">G140*c_lift</f>
        <v>300000</v>
      </c>
      <c r="W140" s="45" t="n">
        <f aca="false">Q140*c_shut</f>
        <v>850000</v>
      </c>
      <c r="X140" s="45" t="n">
        <f aca="false">R140*c_pos</f>
        <v>494000</v>
      </c>
      <c r="Y140" s="45" t="n">
        <f aca="false">T140*c_m2+U140*c_m3</f>
        <v>770870.1</v>
      </c>
      <c r="Z140" s="45" t="n">
        <f aca="false">SUM(V140:Y140)</f>
        <v>2414870.1</v>
      </c>
      <c r="AA140" s="34" t="n">
        <f aca="false">B140*u_d/(H140*u_w)</f>
        <v>0.590909090909091</v>
      </c>
      <c r="AB140" s="46" t="n">
        <f aca="false">IF(G140=0,0,F140/G140)</f>
        <v>0.383288690476191</v>
      </c>
      <c r="AC140" s="46" t="n">
        <f aca="false">IF(G140&gt;1,F140/(G140-1),"n/a")</f>
        <v>0.766577380952381</v>
      </c>
      <c r="AD140" s="47" t="n">
        <f aca="false">moves_day*m_pallet*9.81*INDEX(Tc_mh,C140)/3600000</f>
        <v>14.34222</v>
      </c>
      <c r="AE140" s="3" t="n">
        <f aca="false">IF(AND(K140&lt;=H_max,H140&lt;=300,OR(lane_policy="Free (optimize N_C)",B140=sku_pal),OR(env_use="No",AND(I140&lt;=L_bldg,J140&lt;=W_bldg),AND(I140&lt;=W_bldg,J140&lt;=L_bldg))),1,0)</f>
        <v>0</v>
      </c>
      <c r="AF140" s="48" t="n">
        <f aca="false">IF(obj_mode="Total cost",Z140,IF(obj_mode="Shuttle cycle",O140,T140))</f>
        <v>2414870.1</v>
      </c>
      <c r="AG140" s="3" t="n">
        <f aca="false">IF(AE140=1,AF140*(1+A140*0.0000000001),1E+099)</f>
        <v>1E+099</v>
      </c>
      <c r="AH140" s="3" t="str">
        <f aca="false">IF(AE140=1,"",IF(K140&gt;H_max,"height",IF(AND(lane_policy&lt;&gt;"Free (optimize N_C)",B140&lt;&gt;sku_pal),"lane policy","footprint")))</f>
        <v>height</v>
      </c>
    </row>
    <row r="141" customFormat="false" ht="15" hidden="false" customHeight="true" outlineLevel="0" collapsed="false">
      <c r="A141" s="3" t="n">
        <v>134</v>
      </c>
      <c r="B141" s="3" t="n">
        <f aca="false">$H$3</f>
        <v>10</v>
      </c>
      <c r="C141" s="3" t="n">
        <v>14</v>
      </c>
      <c r="D141" s="46" t="n">
        <f aca="false">INDEX(Tc_pl,C141)</f>
        <v>0.6</v>
      </c>
      <c r="E141" s="47" t="n">
        <f aca="false">INDEX(Tc_S,C141)</f>
        <v>46.1738095238095</v>
      </c>
      <c r="F141" s="34" t="n">
        <f aca="false">lam_total*D141*E141/3600</f>
        <v>0.769563492063492</v>
      </c>
      <c r="G141" s="3" t="n">
        <f aca="false">IF(F141&lt;=0.000000000001,0,MAX(ROUNDUP(F141/rho_max-0.000000001,0),IF(redund="Yes",ROUNDUP(F141/rho_fail-0.000000001,0)+1,0)))</f>
        <v>2</v>
      </c>
      <c r="H141" s="3" t="n">
        <f aca="false">MAX(1,ROUNDUP((P_req/(B141*C141)+G141*lpl)/2-0.000000001,0))</f>
        <v>20</v>
      </c>
      <c r="I141" s="47" t="n">
        <f aca="false">H141*u_w</f>
        <v>20</v>
      </c>
      <c r="J141" s="47" t="n">
        <f aca="false">2*B141*u_d+aisle_w</f>
        <v>27.3</v>
      </c>
      <c r="K141" s="47" t="n">
        <f aca="false">C141*u_h</f>
        <v>30.1</v>
      </c>
      <c r="L141" s="47" t="n">
        <f aca="false">IF(G141=0,I141,I141/(2*G141))</f>
        <v>5</v>
      </c>
      <c r="M141" s="34" t="n">
        <f aca="false">((IF((lane_off+(L141))&lt;=(v_sh^2/a_sh),(4/3)*(lane_off+(L141))^1.5/SQRT(a_sh),(4/3)*(v_sh^2/a_sh)^1.5/SQRT(a_sh)+((lane_off+(L141))^2-(v_sh^2/a_sh)^2)/(2*v_sh)+(v_sh/a_sh)*((lane_off+(L141))-(v_sh^2/a_sh))))-(IF((lane_off)&lt;=(v_sh^2/a_sh),(4/3)*(lane_off)^1.5/SQRT(a_sh),(4/3)*(v_sh^2/a_sh)^1.5/SQRT(a_sh)+((lane_off)^2-(v_sh^2/a_sh)^2)/(2*v_sh)+(v_sh/a_sh)*((lane_off)-(v_sh^2/a_sh)))))/(L141)</f>
        <v>5.4381501294513</v>
      </c>
      <c r="N141" s="34" t="n">
        <f aca="false">IF(((B141-1)*u_d/2*(1+f_hc)+lane_off)&lt;=0,0,IF(((B141-1)*u_d/2*(1+f_hc)+lane_off)&gt;=v_sh^2/a_sh,((B141-1)*u_d/2*(1+f_hc)+lane_off)/v_sh+v_sh/a_sh,2*SQRT(((B141-1)*u_d/2*(1+f_hc)+lane_off)/a_sh)))</f>
        <v>8.74285714285714</v>
      </c>
      <c r="O141" s="47" t="n">
        <f aca="false">2*t_sh+2*t_turn+2*M141+2*N141</f>
        <v>86.3620145446169</v>
      </c>
      <c r="P141" s="47" t="n">
        <f aca="false">SUMPRODUCT((Tc_idx&lt;=C141)*(ROUNDUP(lam_total*INDEX(Tc_P,C141,0)*O141/(3600*rho_max)-0.000000001,0)+(ROUNDUP(lam_total*INDEX(Tc_P,C141,0)*O141/(3600*rho_max)-0.000000001,0)&lt;min_sh)*(min_sh-ROUNDUP(lam_total*INDEX(Tc_P,C141,0)*O141/(3600*rho_max)-0.000000001,0))))</f>
        <v>16</v>
      </c>
      <c r="Q141" s="3" t="n">
        <f aca="false">ROUNDUP(P141-0.000000001,0)+spares</f>
        <v>18</v>
      </c>
      <c r="R141" s="45" t="n">
        <f aca="false">B141*C141*(2*H141-G141*lpl)</f>
        <v>4760</v>
      </c>
      <c r="S141" s="45" t="n">
        <f aca="false">R141*fill</f>
        <v>4046</v>
      </c>
      <c r="T141" s="45" t="n">
        <f aca="false">I141*J141</f>
        <v>546</v>
      </c>
      <c r="U141" s="45" t="n">
        <f aca="false">T141*(K141+headroom)</f>
        <v>17253.6</v>
      </c>
      <c r="V141" s="45" t="n">
        <f aca="false">G141*c_lift</f>
        <v>300000</v>
      </c>
      <c r="W141" s="45" t="n">
        <f aca="false">Q141*c_shut</f>
        <v>900000</v>
      </c>
      <c r="X141" s="45" t="n">
        <f aca="false">R141*c_pos</f>
        <v>476000</v>
      </c>
      <c r="Y141" s="45" t="n">
        <f aca="false">T141*c_m2+U141*c_m3</f>
        <v>736008</v>
      </c>
      <c r="Z141" s="45" t="n">
        <f aca="false">SUM(V141:Y141)</f>
        <v>2412008</v>
      </c>
      <c r="AA141" s="34" t="n">
        <f aca="false">B141*u_d/(H141*u_w)</f>
        <v>0.65</v>
      </c>
      <c r="AB141" s="46" t="n">
        <f aca="false">IF(G141=0,0,F141/G141)</f>
        <v>0.384781746031746</v>
      </c>
      <c r="AC141" s="46" t="n">
        <f aca="false">IF(G141&gt;1,F141/(G141-1),"n/a")</f>
        <v>0.769563492063492</v>
      </c>
      <c r="AD141" s="47" t="n">
        <f aca="false">moves_day*m_pallet*9.81*INDEX(Tc_mh,C141)/3600000</f>
        <v>14.62344</v>
      </c>
      <c r="AE141" s="3" t="n">
        <f aca="false">IF(AND(K141&lt;=H_max,H141&lt;=300,OR(lane_policy="Free (optimize N_C)",B141=sku_pal),OR(env_use="No",AND(I141&lt;=L_bldg,J141&lt;=W_bldg),AND(I141&lt;=W_bldg,J141&lt;=L_bldg))),1,0)</f>
        <v>0</v>
      </c>
      <c r="AF141" s="48" t="n">
        <f aca="false">IF(obj_mode="Total cost",Z141,IF(obj_mode="Shuttle cycle",O141,T141))</f>
        <v>2412008</v>
      </c>
      <c r="AG141" s="3" t="n">
        <f aca="false">IF(AE141=1,AF141*(1+A141*0.0000000001),1E+099)</f>
        <v>1E+099</v>
      </c>
      <c r="AH141" s="3" t="str">
        <f aca="false">IF(AE141=1,"",IF(K141&gt;H_max,"height",IF(AND(lane_policy&lt;&gt;"Free (optimize N_C)",B141&lt;&gt;sku_pal),"lane policy","footprint")))</f>
        <v>height</v>
      </c>
    </row>
    <row r="142" customFormat="false" ht="15" hidden="false" customHeight="true" outlineLevel="0" collapsed="false">
      <c r="A142" s="3" t="n">
        <v>135</v>
      </c>
      <c r="B142" s="3" t="n">
        <f aca="false">$H$3</f>
        <v>10</v>
      </c>
      <c r="C142" s="3" t="n">
        <v>15</v>
      </c>
      <c r="D142" s="46" t="n">
        <f aca="false">INDEX(Tc_pl,C142)</f>
        <v>0.6</v>
      </c>
      <c r="E142" s="47" t="n">
        <f aca="false">INDEX(Tc_S,C142)</f>
        <v>46.3529761904762</v>
      </c>
      <c r="F142" s="34" t="n">
        <f aca="false">lam_total*D142*E142/3600</f>
        <v>0.772549603174603</v>
      </c>
      <c r="G142" s="3" t="n">
        <f aca="false">IF(F142&lt;=0.000000000001,0,MAX(ROUNDUP(F142/rho_max-0.000000001,0),IF(redund="Yes",ROUNDUP(F142/rho_fail-0.000000001,0)+1,0)))</f>
        <v>2</v>
      </c>
      <c r="H142" s="3" t="n">
        <f aca="false">MAX(1,ROUNDUP((P_req/(B142*C142)+G142*lpl)/2-0.000000001,0))</f>
        <v>19</v>
      </c>
      <c r="I142" s="47" t="n">
        <f aca="false">H142*u_w</f>
        <v>19</v>
      </c>
      <c r="J142" s="47" t="n">
        <f aca="false">2*B142*u_d+aisle_w</f>
        <v>27.3</v>
      </c>
      <c r="K142" s="47" t="n">
        <f aca="false">C142*u_h</f>
        <v>32.25</v>
      </c>
      <c r="L142" s="47" t="n">
        <f aca="false">IF(G142=0,I142,I142/(2*G142))</f>
        <v>4.75</v>
      </c>
      <c r="M142" s="34" t="n">
        <f aca="false">((IF((lane_off+(L142))&lt;=(v_sh^2/a_sh),(4/3)*(lane_off+(L142))^1.5/SQRT(a_sh),(4/3)*(v_sh^2/a_sh)^1.5/SQRT(a_sh)+((lane_off+(L142))^2-(v_sh^2/a_sh)^2)/(2*v_sh)+(v_sh/a_sh)*((lane_off+(L142))-(v_sh^2/a_sh))))-(IF((lane_off)&lt;=(v_sh^2/a_sh),(4/3)*(lane_off)^1.5/SQRT(a_sh),(4/3)*(v_sh^2/a_sh)^1.5/SQRT(a_sh)+((lane_off)^2-(v_sh^2/a_sh)^2)/(2*v_sh)+(v_sh/a_sh)*((lane_off)-(v_sh^2/a_sh)))))/(L142)</f>
        <v>5.34485727912167</v>
      </c>
      <c r="N142" s="34" t="n">
        <f aca="false">IF(((B142-1)*u_d/2*(1+f_hc)+lane_off)&lt;=0,0,IF(((B142-1)*u_d/2*(1+f_hc)+lane_off)&gt;=v_sh^2/a_sh,((B142-1)*u_d/2*(1+f_hc)+lane_off)/v_sh+v_sh/a_sh,2*SQRT(((B142-1)*u_d/2*(1+f_hc)+lane_off)/a_sh)))</f>
        <v>8.74285714285714</v>
      </c>
      <c r="O142" s="47" t="n">
        <f aca="false">2*t_sh+2*t_turn+2*M142+2*N142</f>
        <v>86.1754288439576</v>
      </c>
      <c r="P142" s="47" t="n">
        <f aca="false">SUMPRODUCT((Tc_idx&lt;=C142)*(ROUNDUP(lam_total*INDEX(Tc_P,C142,0)*O142/(3600*rho_max)-0.000000001,0)+(ROUNDUP(lam_total*INDEX(Tc_P,C142,0)*O142/(3600*rho_max)-0.000000001,0)&lt;min_sh)*(min_sh-ROUNDUP(lam_total*INDEX(Tc_P,C142,0)*O142/(3600*rho_max)-0.000000001,0))))</f>
        <v>17</v>
      </c>
      <c r="Q142" s="3" t="n">
        <f aca="false">ROUNDUP(P142-0.000000001,0)+spares</f>
        <v>19</v>
      </c>
      <c r="R142" s="45" t="n">
        <f aca="false">B142*C142*(2*H142-G142*lpl)</f>
        <v>4800</v>
      </c>
      <c r="S142" s="45" t="n">
        <f aca="false">R142*fill</f>
        <v>4080</v>
      </c>
      <c r="T142" s="45" t="n">
        <f aca="false">I142*J142</f>
        <v>518.7</v>
      </c>
      <c r="U142" s="45" t="n">
        <f aca="false">T142*(K142+headroom)</f>
        <v>17506.125</v>
      </c>
      <c r="V142" s="45" t="n">
        <f aca="false">G142*c_lift</f>
        <v>300000</v>
      </c>
      <c r="W142" s="45" t="n">
        <f aca="false">Q142*c_shut</f>
        <v>950000</v>
      </c>
      <c r="X142" s="45" t="n">
        <f aca="false">R142*c_pos</f>
        <v>480000</v>
      </c>
      <c r="Y142" s="45" t="n">
        <f aca="false">T142*c_m2+U142*c_m3</f>
        <v>732663.75</v>
      </c>
      <c r="Z142" s="45" t="n">
        <f aca="false">SUM(V142:Y142)</f>
        <v>2462663.75</v>
      </c>
      <c r="AA142" s="34" t="n">
        <f aca="false">B142*u_d/(H142*u_w)</f>
        <v>0.68421052631579</v>
      </c>
      <c r="AB142" s="46" t="n">
        <f aca="false">IF(G142=0,0,F142/G142)</f>
        <v>0.386274801587302</v>
      </c>
      <c r="AC142" s="46" t="n">
        <f aca="false">IF(G142&gt;1,F142/(G142-1),"n/a")</f>
        <v>0.772549603174603</v>
      </c>
      <c r="AD142" s="47" t="n">
        <f aca="false">moves_day*m_pallet*9.81*INDEX(Tc_mh,C142)/3600000</f>
        <v>14.90466</v>
      </c>
      <c r="AE142" s="3" t="n">
        <f aca="false">IF(AND(K142&lt;=H_max,H142&lt;=300,OR(lane_policy="Free (optimize N_C)",B142=sku_pal),OR(env_use="No",AND(I142&lt;=L_bldg,J142&lt;=W_bldg),AND(I142&lt;=W_bldg,J142&lt;=L_bldg))),1,0)</f>
        <v>0</v>
      </c>
      <c r="AF142" s="48" t="n">
        <f aca="false">IF(obj_mode="Total cost",Z142,IF(obj_mode="Shuttle cycle",O142,T142))</f>
        <v>2462663.75</v>
      </c>
      <c r="AG142" s="3" t="n">
        <f aca="false">IF(AE142=1,AF142*(1+A142*0.0000000001),1E+099)</f>
        <v>1E+099</v>
      </c>
      <c r="AH142" s="3" t="str">
        <f aca="false">IF(AE142=1,"",IF(K142&gt;H_max,"height",IF(AND(lane_policy&lt;&gt;"Free (optimize N_C)",B142&lt;&gt;sku_pal),"lane policy","footprint")))</f>
        <v>height</v>
      </c>
    </row>
    <row r="143" customFormat="false" ht="15" hidden="false" customHeight="true" outlineLevel="0" collapsed="false">
      <c r="A143" s="3" t="n">
        <v>136</v>
      </c>
      <c r="B143" s="3" t="n">
        <f aca="false">$H$3</f>
        <v>10</v>
      </c>
      <c r="C143" s="3" t="n">
        <v>16</v>
      </c>
      <c r="D143" s="46" t="n">
        <f aca="false">INDEX(Tc_pl,C143)</f>
        <v>0.6</v>
      </c>
      <c r="E143" s="47" t="n">
        <f aca="false">INDEX(Tc_S,C143)</f>
        <v>46.5321428571429</v>
      </c>
      <c r="F143" s="34" t="n">
        <f aca="false">lam_total*D143*E143/3600</f>
        <v>0.775535714285714</v>
      </c>
      <c r="G143" s="3" t="n">
        <f aca="false">IF(F143&lt;=0.000000000001,0,MAX(ROUNDUP(F143/rho_max-0.000000001,0),IF(redund="Yes",ROUNDUP(F143/rho_fail-0.000000001,0)+1,0)))</f>
        <v>2</v>
      </c>
      <c r="H143" s="3" t="n">
        <f aca="false">MAX(1,ROUNDUP((P_req/(B143*C143)+G143*lpl)/2-0.000000001,0))</f>
        <v>18</v>
      </c>
      <c r="I143" s="47" t="n">
        <f aca="false">H143*u_w</f>
        <v>18</v>
      </c>
      <c r="J143" s="47" t="n">
        <f aca="false">2*B143*u_d+aisle_w</f>
        <v>27.3</v>
      </c>
      <c r="K143" s="47" t="n">
        <f aca="false">C143*u_h</f>
        <v>34.4</v>
      </c>
      <c r="L143" s="47" t="n">
        <f aca="false">IF(G143=0,I143,I143/(2*G143))</f>
        <v>4.5</v>
      </c>
      <c r="M143" s="34" t="n">
        <f aca="false">((IF((lane_off+(L143))&lt;=(v_sh^2/a_sh),(4/3)*(lane_off+(L143))^1.5/SQRT(a_sh),(4/3)*(v_sh^2/a_sh)^1.5/SQRT(a_sh)+((lane_off+(L143))^2-(v_sh^2/a_sh)^2)/(2*v_sh)+(v_sh/a_sh)*((lane_off+(L143))-(v_sh^2/a_sh))))-(IF((lane_off)&lt;=(v_sh^2/a_sh),(4/3)*(lane_off)^1.5/SQRT(a_sh),(4/3)*(v_sh^2/a_sh)^1.5/SQRT(a_sh)+((lane_off)^2-(v_sh^2/a_sh)^2)/(2*v_sh)+(v_sh/a_sh)*((lane_off)-(v_sh^2/a_sh)))))/(L143)</f>
        <v>5.25111919145383</v>
      </c>
      <c r="N143" s="34" t="n">
        <f aca="false">IF(((B143-1)*u_d/2*(1+f_hc)+lane_off)&lt;=0,0,IF(((B143-1)*u_d/2*(1+f_hc)+lane_off)&gt;=v_sh^2/a_sh,((B143-1)*u_d/2*(1+f_hc)+lane_off)/v_sh+v_sh/a_sh,2*SQRT(((B143-1)*u_d/2*(1+f_hc)+lane_off)/a_sh)))</f>
        <v>8.74285714285714</v>
      </c>
      <c r="O143" s="47" t="n">
        <f aca="false">2*t_sh+2*t_turn+2*M143+2*N143</f>
        <v>85.9879526686219</v>
      </c>
      <c r="P143" s="47" t="n">
        <f aca="false">SUMPRODUCT((Tc_idx&lt;=C143)*(ROUNDUP(lam_total*INDEX(Tc_P,C143,0)*O143/(3600*rho_max)-0.000000001,0)+(ROUNDUP(lam_total*INDEX(Tc_P,C143,0)*O143/(3600*rho_max)-0.000000001,0)&lt;min_sh)*(min_sh-ROUNDUP(lam_total*INDEX(Tc_P,C143,0)*O143/(3600*rho_max)-0.000000001,0))))</f>
        <v>18</v>
      </c>
      <c r="Q143" s="3" t="n">
        <f aca="false">ROUNDUP(P143-0.000000001,0)+spares</f>
        <v>20</v>
      </c>
      <c r="R143" s="45" t="n">
        <f aca="false">B143*C143*(2*H143-G143*lpl)</f>
        <v>4800</v>
      </c>
      <c r="S143" s="45" t="n">
        <f aca="false">R143*fill</f>
        <v>4080</v>
      </c>
      <c r="T143" s="45" t="n">
        <f aca="false">I143*J143</f>
        <v>491.4</v>
      </c>
      <c r="U143" s="45" t="n">
        <f aca="false">T143*(K143+headroom)</f>
        <v>17641.26</v>
      </c>
      <c r="V143" s="45" t="n">
        <f aca="false">G143*c_lift</f>
        <v>300000</v>
      </c>
      <c r="W143" s="45" t="n">
        <f aca="false">Q143*c_shut</f>
        <v>1000000</v>
      </c>
      <c r="X143" s="45" t="n">
        <f aca="false">R143*c_pos</f>
        <v>480000</v>
      </c>
      <c r="Y143" s="45" t="n">
        <f aca="false">T143*c_m2+U143*c_m3</f>
        <v>725797.8</v>
      </c>
      <c r="Z143" s="45" t="n">
        <f aca="false">SUM(V143:Y143)</f>
        <v>2505797.8</v>
      </c>
      <c r="AA143" s="34" t="n">
        <f aca="false">B143*u_d/(H143*u_w)</f>
        <v>0.722222222222222</v>
      </c>
      <c r="AB143" s="46" t="n">
        <f aca="false">IF(G143=0,0,F143/G143)</f>
        <v>0.387767857142857</v>
      </c>
      <c r="AC143" s="46" t="n">
        <f aca="false">IF(G143&gt;1,F143/(G143-1),"n/a")</f>
        <v>0.775535714285714</v>
      </c>
      <c r="AD143" s="47" t="n">
        <f aca="false">moves_day*m_pallet*9.81*INDEX(Tc_mh,C143)/3600000</f>
        <v>15.18588</v>
      </c>
      <c r="AE143" s="3" t="n">
        <f aca="false">IF(AND(K143&lt;=H_max,H143&lt;=300,OR(lane_policy="Free (optimize N_C)",B143=sku_pal),OR(env_use="No",AND(I143&lt;=L_bldg,J143&lt;=W_bldg),AND(I143&lt;=W_bldg,J143&lt;=L_bldg))),1,0)</f>
        <v>0</v>
      </c>
      <c r="AF143" s="48" t="n">
        <f aca="false">IF(obj_mode="Total cost",Z143,IF(obj_mode="Shuttle cycle",O143,T143))</f>
        <v>2505797.8</v>
      </c>
      <c r="AG143" s="3" t="n">
        <f aca="false">IF(AE143=1,AF143*(1+A143*0.0000000001),1E+099)</f>
        <v>1E+099</v>
      </c>
      <c r="AH143" s="3" t="str">
        <f aca="false">IF(AE143=1,"",IF(K143&gt;H_max,"height",IF(AND(lane_policy&lt;&gt;"Free (optimize N_C)",B143&lt;&gt;sku_pal),"lane policy","footprint")))</f>
        <v>height</v>
      </c>
    </row>
    <row r="144" customFormat="false" ht="15" hidden="false" customHeight="true" outlineLevel="0" collapsed="false">
      <c r="A144" s="3" t="n">
        <v>137</v>
      </c>
      <c r="B144" s="3" t="n">
        <f aca="false">$H$3</f>
        <v>10</v>
      </c>
      <c r="C144" s="3" t="n">
        <v>17</v>
      </c>
      <c r="D144" s="46" t="n">
        <f aca="false">INDEX(Tc_pl,C144)</f>
        <v>0.6</v>
      </c>
      <c r="E144" s="47" t="n">
        <f aca="false">INDEX(Tc_S,C144)</f>
        <v>46.7113095238095</v>
      </c>
      <c r="F144" s="34" t="n">
        <f aca="false">lam_total*D144*E144/3600</f>
        <v>0.778521825396825</v>
      </c>
      <c r="G144" s="3" t="n">
        <f aca="false">IF(F144&lt;=0.000000000001,0,MAX(ROUNDUP(F144/rho_max-0.000000001,0),IF(redund="Yes",ROUNDUP(F144/rho_fail-0.000000001,0)+1,0)))</f>
        <v>2</v>
      </c>
      <c r="H144" s="3" t="n">
        <f aca="false">MAX(1,ROUNDUP((P_req/(B144*C144)+G144*lpl)/2-0.000000001,0))</f>
        <v>17</v>
      </c>
      <c r="I144" s="47" t="n">
        <f aca="false">H144*u_w</f>
        <v>17</v>
      </c>
      <c r="J144" s="47" t="n">
        <f aca="false">2*B144*u_d+aisle_w</f>
        <v>27.3</v>
      </c>
      <c r="K144" s="47" t="n">
        <f aca="false">C144*u_h</f>
        <v>36.55</v>
      </c>
      <c r="L144" s="47" t="n">
        <f aca="false">IF(G144=0,I144,I144/(2*G144))</f>
        <v>4.25</v>
      </c>
      <c r="M144" s="34" t="n">
        <f aca="false">((IF((lane_off+(L144))&lt;=(v_sh^2/a_sh),(4/3)*(lane_off+(L144))^1.5/SQRT(a_sh),(4/3)*(v_sh^2/a_sh)^1.5/SQRT(a_sh)+((lane_off+(L144))^2-(v_sh^2/a_sh)^2)/(2*v_sh)+(v_sh/a_sh)*((lane_off+(L144))-(v_sh^2/a_sh))))-(IF((lane_off)&lt;=(v_sh^2/a_sh),(4/3)*(lane_off)^1.5/SQRT(a_sh),(4/3)*(v_sh^2/a_sh)^1.5/SQRT(a_sh)+((lane_off)^2-(v_sh^2/a_sh)^2)/(2*v_sh)+(v_sh/a_sh)*((lane_off)-(v_sh^2/a_sh)))))/(L144)</f>
        <v>5.15685729515279</v>
      </c>
      <c r="N144" s="34" t="n">
        <f aca="false">IF(((B144-1)*u_d/2*(1+f_hc)+lane_off)&lt;=0,0,IF(((B144-1)*u_d/2*(1+f_hc)+lane_off)&gt;=v_sh^2/a_sh,((B144-1)*u_d/2*(1+f_hc)+lane_off)/v_sh+v_sh/a_sh,2*SQRT(((B144-1)*u_d/2*(1+f_hc)+lane_off)/a_sh)))</f>
        <v>8.74285714285714</v>
      </c>
      <c r="O144" s="47" t="n">
        <f aca="false">2*t_sh+2*t_turn+2*M144+2*N144</f>
        <v>85.7994288760199</v>
      </c>
      <c r="P144" s="47" t="n">
        <f aca="false">SUMPRODUCT((Tc_idx&lt;=C144)*(ROUNDUP(lam_total*INDEX(Tc_P,C144,0)*O144/(3600*rho_max)-0.000000001,0)+(ROUNDUP(lam_total*INDEX(Tc_P,C144,0)*O144/(3600*rho_max)-0.000000001,0)&lt;min_sh)*(min_sh-ROUNDUP(lam_total*INDEX(Tc_P,C144,0)*O144/(3600*rho_max)-0.000000001,0))))</f>
        <v>19</v>
      </c>
      <c r="Q144" s="3" t="n">
        <f aca="false">ROUNDUP(P144-0.000000001,0)+spares</f>
        <v>21</v>
      </c>
      <c r="R144" s="45" t="n">
        <f aca="false">B144*C144*(2*H144-G144*lpl)</f>
        <v>4760</v>
      </c>
      <c r="S144" s="45" t="n">
        <f aca="false">R144*fill</f>
        <v>4046</v>
      </c>
      <c r="T144" s="45" t="n">
        <f aca="false">I144*J144</f>
        <v>464.1</v>
      </c>
      <c r="U144" s="45" t="n">
        <f aca="false">T144*(K144+headroom)</f>
        <v>17659.005</v>
      </c>
      <c r="V144" s="45" t="n">
        <f aca="false">G144*c_lift</f>
        <v>300000</v>
      </c>
      <c r="W144" s="45" t="n">
        <f aca="false">Q144*c_shut</f>
        <v>1050000</v>
      </c>
      <c r="X144" s="45" t="n">
        <f aca="false">R144*c_pos</f>
        <v>476000</v>
      </c>
      <c r="Y144" s="45" t="n">
        <f aca="false">T144*c_m2+U144*c_m3</f>
        <v>715410.15</v>
      </c>
      <c r="Z144" s="45" t="n">
        <f aca="false">SUM(V144:Y144)</f>
        <v>2541410.15</v>
      </c>
      <c r="AA144" s="34" t="n">
        <f aca="false">B144*u_d/(H144*u_w)</f>
        <v>0.764705882352941</v>
      </c>
      <c r="AB144" s="46" t="n">
        <f aca="false">IF(G144=0,0,F144/G144)</f>
        <v>0.389260912698413</v>
      </c>
      <c r="AC144" s="46" t="n">
        <f aca="false">IF(G144&gt;1,F144/(G144-1),"n/a")</f>
        <v>0.778521825396825</v>
      </c>
      <c r="AD144" s="47" t="n">
        <f aca="false">moves_day*m_pallet*9.81*INDEX(Tc_mh,C144)/3600000</f>
        <v>15.4671</v>
      </c>
      <c r="AE144" s="3" t="n">
        <f aca="false">IF(AND(K144&lt;=H_max,H144&lt;=300,OR(lane_policy="Free (optimize N_C)",B144=sku_pal),OR(env_use="No",AND(I144&lt;=L_bldg,J144&lt;=W_bldg),AND(I144&lt;=W_bldg,J144&lt;=L_bldg))),1,0)</f>
        <v>0</v>
      </c>
      <c r="AF144" s="48" t="n">
        <f aca="false">IF(obj_mode="Total cost",Z144,IF(obj_mode="Shuttle cycle",O144,T144))</f>
        <v>2541410.15</v>
      </c>
      <c r="AG144" s="3" t="n">
        <f aca="false">IF(AE144=1,AF144*(1+A144*0.0000000001),1E+099)</f>
        <v>1E+099</v>
      </c>
      <c r="AH144" s="3" t="str">
        <f aca="false">IF(AE144=1,"",IF(K144&gt;H_max,"height",IF(AND(lane_policy&lt;&gt;"Free (optimize N_C)",B144&lt;&gt;sku_pal),"lane policy","footprint")))</f>
        <v>height</v>
      </c>
    </row>
    <row r="145" customFormat="false" ht="15" hidden="false" customHeight="true" outlineLevel="0" collapsed="false">
      <c r="A145" s="3" t="n">
        <v>138</v>
      </c>
      <c r="B145" s="3" t="n">
        <f aca="false">$H$3</f>
        <v>10</v>
      </c>
      <c r="C145" s="3" t="n">
        <v>18</v>
      </c>
      <c r="D145" s="46" t="n">
        <f aca="false">INDEX(Tc_pl,C145)</f>
        <v>0.6</v>
      </c>
      <c r="E145" s="47" t="n">
        <f aca="false">INDEX(Tc_S,C145)</f>
        <v>46.8904761904762</v>
      </c>
      <c r="F145" s="34" t="n">
        <f aca="false">lam_total*D145*E145/3600</f>
        <v>0.781507936507937</v>
      </c>
      <c r="G145" s="3" t="n">
        <f aca="false">IF(F145&lt;=0.000000000001,0,MAX(ROUNDUP(F145/rho_max-0.000000001,0),IF(redund="Yes",ROUNDUP(F145/rho_fail-0.000000001,0)+1,0)))</f>
        <v>2</v>
      </c>
      <c r="H145" s="3" t="n">
        <f aca="false">MAX(1,ROUNDUP((P_req/(B145*C145)+G145*lpl)/2-0.000000001,0))</f>
        <v>17</v>
      </c>
      <c r="I145" s="47" t="n">
        <f aca="false">H145*u_w</f>
        <v>17</v>
      </c>
      <c r="J145" s="47" t="n">
        <f aca="false">2*B145*u_d+aisle_w</f>
        <v>27.3</v>
      </c>
      <c r="K145" s="47" t="n">
        <f aca="false">C145*u_h</f>
        <v>38.7</v>
      </c>
      <c r="L145" s="47" t="n">
        <f aca="false">IF(G145=0,I145,I145/(2*G145))</f>
        <v>4.25</v>
      </c>
      <c r="M145" s="34" t="n">
        <f aca="false">((IF((lane_off+(L145))&lt;=(v_sh^2/a_sh),(4/3)*(lane_off+(L145))^1.5/SQRT(a_sh),(4/3)*(v_sh^2/a_sh)^1.5/SQRT(a_sh)+((lane_off+(L145))^2-(v_sh^2/a_sh)^2)/(2*v_sh)+(v_sh/a_sh)*((lane_off+(L145))-(v_sh^2/a_sh))))-(IF((lane_off)&lt;=(v_sh^2/a_sh),(4/3)*(lane_off)^1.5/SQRT(a_sh),(4/3)*(v_sh^2/a_sh)^1.5/SQRT(a_sh)+((lane_off)^2-(v_sh^2/a_sh)^2)/(2*v_sh)+(v_sh/a_sh)*((lane_off)-(v_sh^2/a_sh)))))/(L145)</f>
        <v>5.15685729515279</v>
      </c>
      <c r="N145" s="34" t="n">
        <f aca="false">IF(((B145-1)*u_d/2*(1+f_hc)+lane_off)&lt;=0,0,IF(((B145-1)*u_d/2*(1+f_hc)+lane_off)&gt;=v_sh^2/a_sh,((B145-1)*u_d/2*(1+f_hc)+lane_off)/v_sh+v_sh/a_sh,2*SQRT(((B145-1)*u_d/2*(1+f_hc)+lane_off)/a_sh)))</f>
        <v>8.74285714285714</v>
      </c>
      <c r="O145" s="47" t="n">
        <f aca="false">2*t_sh+2*t_turn+2*M145+2*N145</f>
        <v>85.7994288760199</v>
      </c>
      <c r="P145" s="47" t="n">
        <f aca="false">SUMPRODUCT((Tc_idx&lt;=C145)*(ROUNDUP(lam_total*INDEX(Tc_P,C145,0)*O145/(3600*rho_max)-0.000000001,0)+(ROUNDUP(lam_total*INDEX(Tc_P,C145,0)*O145/(3600*rho_max)-0.000000001,0)&lt;min_sh)*(min_sh-ROUNDUP(lam_total*INDEX(Tc_P,C145,0)*O145/(3600*rho_max)-0.000000001,0))))</f>
        <v>20</v>
      </c>
      <c r="Q145" s="3" t="n">
        <f aca="false">ROUNDUP(P145-0.000000001,0)+spares</f>
        <v>22</v>
      </c>
      <c r="R145" s="45" t="n">
        <f aca="false">B145*C145*(2*H145-G145*lpl)</f>
        <v>5040</v>
      </c>
      <c r="S145" s="45" t="n">
        <f aca="false">R145*fill</f>
        <v>4284</v>
      </c>
      <c r="T145" s="45" t="n">
        <f aca="false">I145*J145</f>
        <v>464.1</v>
      </c>
      <c r="U145" s="45" t="n">
        <f aca="false">T145*(K145+headroom)</f>
        <v>18656.82</v>
      </c>
      <c r="V145" s="45" t="n">
        <f aca="false">G145*c_lift</f>
        <v>300000</v>
      </c>
      <c r="W145" s="45" t="n">
        <f aca="false">Q145*c_shut</f>
        <v>1100000</v>
      </c>
      <c r="X145" s="45" t="n">
        <f aca="false">R145*c_pos</f>
        <v>504000</v>
      </c>
      <c r="Y145" s="45" t="n">
        <f aca="false">T145*c_m2+U145*c_m3</f>
        <v>745344.6</v>
      </c>
      <c r="Z145" s="45" t="n">
        <f aca="false">SUM(V145:Y145)</f>
        <v>2649344.6</v>
      </c>
      <c r="AA145" s="34" t="n">
        <f aca="false">B145*u_d/(H145*u_w)</f>
        <v>0.764705882352941</v>
      </c>
      <c r="AB145" s="46" t="n">
        <f aca="false">IF(G145=0,0,F145/G145)</f>
        <v>0.390753968253968</v>
      </c>
      <c r="AC145" s="46" t="n">
        <f aca="false">IF(G145&gt;1,F145/(G145-1),"n/a")</f>
        <v>0.781507936507937</v>
      </c>
      <c r="AD145" s="47" t="n">
        <f aca="false">moves_day*m_pallet*9.81*INDEX(Tc_mh,C145)/3600000</f>
        <v>15.74832</v>
      </c>
      <c r="AE145" s="3" t="n">
        <f aca="false">IF(AND(K145&lt;=H_max,H145&lt;=300,OR(lane_policy="Free (optimize N_C)",B145=sku_pal),OR(env_use="No",AND(I145&lt;=L_bldg,J145&lt;=W_bldg),AND(I145&lt;=W_bldg,J145&lt;=L_bldg))),1,0)</f>
        <v>0</v>
      </c>
      <c r="AF145" s="48" t="n">
        <f aca="false">IF(obj_mode="Total cost",Z145,IF(obj_mode="Shuttle cycle",O145,T145))</f>
        <v>2649344.6</v>
      </c>
      <c r="AG145" s="3" t="n">
        <f aca="false">IF(AE145=1,AF145*(1+A145*0.0000000001),1E+099)</f>
        <v>1E+099</v>
      </c>
      <c r="AH145" s="3" t="str">
        <f aca="false">IF(AE145=1,"",IF(K145&gt;H_max,"height",IF(AND(lane_policy&lt;&gt;"Free (optimize N_C)",B145&lt;&gt;sku_pal),"lane policy","footprint")))</f>
        <v>height</v>
      </c>
    </row>
    <row r="146" customFormat="false" ht="15" hidden="false" customHeight="true" outlineLevel="0" collapsed="false">
      <c r="A146" s="3" t="n">
        <v>139</v>
      </c>
      <c r="B146" s="3" t="n">
        <f aca="false">$H$3</f>
        <v>10</v>
      </c>
      <c r="C146" s="3" t="n">
        <v>19</v>
      </c>
      <c r="D146" s="46" t="n">
        <f aca="false">INDEX(Tc_pl,C146)</f>
        <v>0.6</v>
      </c>
      <c r="E146" s="47" t="n">
        <f aca="false">INDEX(Tc_S,C146)</f>
        <v>47.0696428571429</v>
      </c>
      <c r="F146" s="34" t="n">
        <f aca="false">lam_total*D146*E146/3600</f>
        <v>0.784494047619048</v>
      </c>
      <c r="G146" s="3" t="n">
        <f aca="false">IF(F146&lt;=0.000000000001,0,MAX(ROUNDUP(F146/rho_max-0.000000001,0),IF(redund="Yes",ROUNDUP(F146/rho_fail-0.000000001,0)+1,0)))</f>
        <v>2</v>
      </c>
      <c r="H146" s="3" t="n">
        <f aca="false">MAX(1,ROUNDUP((P_req/(B146*C146)+G146*lpl)/2-0.000000001,0))</f>
        <v>16</v>
      </c>
      <c r="I146" s="47" t="n">
        <f aca="false">H146*u_w</f>
        <v>16</v>
      </c>
      <c r="J146" s="47" t="n">
        <f aca="false">2*B146*u_d+aisle_w</f>
        <v>27.3</v>
      </c>
      <c r="K146" s="47" t="n">
        <f aca="false">C146*u_h</f>
        <v>40.85</v>
      </c>
      <c r="L146" s="47" t="n">
        <f aca="false">IF(G146=0,I146,I146/(2*G146))</f>
        <v>4</v>
      </c>
      <c r="M146" s="34" t="n">
        <f aca="false">((IF((lane_off+(L146))&lt;=(v_sh^2/a_sh),(4/3)*(lane_off+(L146))^1.5/SQRT(a_sh),(4/3)*(v_sh^2/a_sh)^1.5/SQRT(a_sh)+((lane_off+(L146))^2-(v_sh^2/a_sh)^2)/(2*v_sh)+(v_sh/a_sh)*((lane_off+(L146))-(v_sh^2/a_sh))))-(IF((lane_off)&lt;=(v_sh^2/a_sh),(4/3)*(lane_off)^1.5/SQRT(a_sh),(4/3)*(v_sh^2/a_sh)^1.5/SQRT(a_sh)+((lane_off)^2-(v_sh^2/a_sh)^2)/(2*v_sh)+(v_sh/a_sh)*((lane_off)-(v_sh^2/a_sh)))))/(L146)</f>
        <v>5.06197337609984</v>
      </c>
      <c r="N146" s="34" t="n">
        <f aca="false">IF(((B146-1)*u_d/2*(1+f_hc)+lane_off)&lt;=0,0,IF(((B146-1)*u_d/2*(1+f_hc)+lane_off)&gt;=v_sh^2/a_sh,((B146-1)*u_d/2*(1+f_hc)+lane_off)/v_sh+v_sh/a_sh,2*SQRT(((B146-1)*u_d/2*(1+f_hc)+lane_off)/a_sh)))</f>
        <v>8.74285714285714</v>
      </c>
      <c r="O146" s="47" t="n">
        <f aca="false">2*t_sh+2*t_turn+2*M146+2*N146</f>
        <v>85.609661037914</v>
      </c>
      <c r="P146" s="47" t="n">
        <f aca="false">SUMPRODUCT((Tc_idx&lt;=C146)*(ROUNDUP(lam_total*INDEX(Tc_P,C146,0)*O146/(3600*rho_max)-0.000000001,0)+(ROUNDUP(lam_total*INDEX(Tc_P,C146,0)*O146/(3600*rho_max)-0.000000001,0)&lt;min_sh)*(min_sh-ROUNDUP(lam_total*INDEX(Tc_P,C146,0)*O146/(3600*rho_max)-0.000000001,0))))</f>
        <v>21</v>
      </c>
      <c r="Q146" s="3" t="n">
        <f aca="false">ROUNDUP(P146-0.000000001,0)+spares</f>
        <v>23</v>
      </c>
      <c r="R146" s="45" t="n">
        <f aca="false">B146*C146*(2*H146-G146*lpl)</f>
        <v>4940</v>
      </c>
      <c r="S146" s="45" t="n">
        <f aca="false">R146*fill</f>
        <v>4199</v>
      </c>
      <c r="T146" s="45" t="n">
        <f aca="false">I146*J146</f>
        <v>436.8</v>
      </c>
      <c r="U146" s="45" t="n">
        <f aca="false">T146*(K146+headroom)</f>
        <v>18498.48</v>
      </c>
      <c r="V146" s="45" t="n">
        <f aca="false">G146*c_lift</f>
        <v>300000</v>
      </c>
      <c r="W146" s="45" t="n">
        <f aca="false">Q146*c_shut</f>
        <v>1150000</v>
      </c>
      <c r="X146" s="45" t="n">
        <f aca="false">R146*c_pos</f>
        <v>494000</v>
      </c>
      <c r="Y146" s="45" t="n">
        <f aca="false">T146*c_m2+U146*c_m3</f>
        <v>729674.4</v>
      </c>
      <c r="Z146" s="45" t="n">
        <f aca="false">SUM(V146:Y146)</f>
        <v>2673674.4</v>
      </c>
      <c r="AA146" s="34" t="n">
        <f aca="false">B146*u_d/(H146*u_w)</f>
        <v>0.8125</v>
      </c>
      <c r="AB146" s="46" t="n">
        <f aca="false">IF(G146=0,0,F146/G146)</f>
        <v>0.392247023809524</v>
      </c>
      <c r="AC146" s="46" t="n">
        <f aca="false">IF(G146&gt;1,F146/(G146-1),"n/a")</f>
        <v>0.784494047619048</v>
      </c>
      <c r="AD146" s="47" t="n">
        <f aca="false">moves_day*m_pallet*9.81*INDEX(Tc_mh,C146)/3600000</f>
        <v>16.02954</v>
      </c>
      <c r="AE146" s="3" t="n">
        <f aca="false">IF(AND(K146&lt;=H_max,H146&lt;=300,OR(lane_policy="Free (optimize N_C)",B146=sku_pal),OR(env_use="No",AND(I146&lt;=L_bldg,J146&lt;=W_bldg),AND(I146&lt;=W_bldg,J146&lt;=L_bldg))),1,0)</f>
        <v>0</v>
      </c>
      <c r="AF146" s="48" t="n">
        <f aca="false">IF(obj_mode="Total cost",Z146,IF(obj_mode="Shuttle cycle",O146,T146))</f>
        <v>2673674.4</v>
      </c>
      <c r="AG146" s="3" t="n">
        <f aca="false">IF(AE146=1,AF146*(1+A146*0.0000000001),1E+099)</f>
        <v>1E+099</v>
      </c>
      <c r="AH146" s="3" t="str">
        <f aca="false">IF(AE146=1,"",IF(K146&gt;H_max,"height",IF(AND(lane_policy&lt;&gt;"Free (optimize N_C)",B146&lt;&gt;sku_pal),"lane policy","footprint")))</f>
        <v>height</v>
      </c>
    </row>
    <row r="147" customFormat="false" ht="15" hidden="false" customHeight="true" outlineLevel="0" collapsed="false">
      <c r="A147" s="3" t="n">
        <v>140</v>
      </c>
      <c r="B147" s="3" t="n">
        <f aca="false">$H$3</f>
        <v>10</v>
      </c>
      <c r="C147" s="3" t="n">
        <v>20</v>
      </c>
      <c r="D147" s="46" t="n">
        <f aca="false">INDEX(Tc_pl,C147)</f>
        <v>0.6</v>
      </c>
      <c r="E147" s="47" t="n">
        <f aca="false">INDEX(Tc_S,C147)</f>
        <v>47.2488095238095</v>
      </c>
      <c r="F147" s="34" t="n">
        <f aca="false">lam_total*D147*E147/3600</f>
        <v>0.787480158730159</v>
      </c>
      <c r="G147" s="3" t="n">
        <f aca="false">IF(F147&lt;=0.000000000001,0,MAX(ROUNDUP(F147/rho_max-0.000000001,0),IF(redund="Yes",ROUNDUP(F147/rho_fail-0.000000001,0)+1,0)))</f>
        <v>2</v>
      </c>
      <c r="H147" s="3" t="n">
        <f aca="false">MAX(1,ROUNDUP((P_req/(B147*C147)+G147*lpl)/2-0.000000001,0))</f>
        <v>15</v>
      </c>
      <c r="I147" s="47" t="n">
        <f aca="false">H147*u_w</f>
        <v>15</v>
      </c>
      <c r="J147" s="47" t="n">
        <f aca="false">2*B147*u_d+aisle_w</f>
        <v>27.3</v>
      </c>
      <c r="K147" s="47" t="n">
        <f aca="false">C147*u_h</f>
        <v>43</v>
      </c>
      <c r="L147" s="47" t="n">
        <f aca="false">IF(G147=0,I147,I147/(2*G147))</f>
        <v>3.75</v>
      </c>
      <c r="M147" s="34" t="n">
        <f aca="false">((IF((lane_off+(L147))&lt;=(v_sh^2/a_sh),(4/3)*(lane_off+(L147))^1.5/SQRT(a_sh),(4/3)*(v_sh^2/a_sh)^1.5/SQRT(a_sh)+((lane_off+(L147))^2-(v_sh^2/a_sh)^2)/(2*v_sh)+(v_sh/a_sh)*((lane_off+(L147))-(v_sh^2/a_sh))))-(IF((lane_off)&lt;=(v_sh^2/a_sh),(4/3)*(lane_off)^1.5/SQRT(a_sh),(4/3)*(v_sh^2/a_sh)^1.5/SQRT(a_sh)+((lane_off)^2-(v_sh^2/a_sh)^2)/(2*v_sh)+(v_sh/a_sh)*((lane_off)-(v_sh^2/a_sh)))))/(L147)</f>
        <v>4.96634302974459</v>
      </c>
      <c r="N147" s="34" t="n">
        <f aca="false">IF(((B147-1)*u_d/2*(1+f_hc)+lane_off)&lt;=0,0,IF(((B147-1)*u_d/2*(1+f_hc)+lane_off)&gt;=v_sh^2/a_sh,((B147-1)*u_d/2*(1+f_hc)+lane_off)/v_sh+v_sh/a_sh,2*SQRT(((B147-1)*u_d/2*(1+f_hc)+lane_off)/a_sh)))</f>
        <v>8.74285714285714</v>
      </c>
      <c r="O147" s="47" t="n">
        <f aca="false">2*t_sh+2*t_turn+2*M147+2*N147</f>
        <v>85.4184003452035</v>
      </c>
      <c r="P147" s="47" t="n">
        <f aca="false">SUMPRODUCT((Tc_idx&lt;=C147)*(ROUNDUP(lam_total*INDEX(Tc_P,C147,0)*O147/(3600*rho_max)-0.000000001,0)+(ROUNDUP(lam_total*INDEX(Tc_P,C147,0)*O147/(3600*rho_max)-0.000000001,0)&lt;min_sh)*(min_sh-ROUNDUP(lam_total*INDEX(Tc_P,C147,0)*O147/(3600*rho_max)-0.000000001,0))))</f>
        <v>22</v>
      </c>
      <c r="Q147" s="3" t="n">
        <f aca="false">ROUNDUP(P147-0.000000001,0)+spares</f>
        <v>24</v>
      </c>
      <c r="R147" s="45" t="n">
        <f aca="false">B147*C147*(2*H147-G147*lpl)</f>
        <v>4800</v>
      </c>
      <c r="S147" s="45" t="n">
        <f aca="false">R147*fill</f>
        <v>4080</v>
      </c>
      <c r="T147" s="45" t="n">
        <f aca="false">I147*J147</f>
        <v>409.5</v>
      </c>
      <c r="U147" s="45" t="n">
        <f aca="false">T147*(K147+headroom)</f>
        <v>18222.75</v>
      </c>
      <c r="V147" s="45" t="n">
        <f aca="false">G147*c_lift</f>
        <v>300000</v>
      </c>
      <c r="W147" s="45" t="n">
        <f aca="false">Q147*c_shut</f>
        <v>1200000</v>
      </c>
      <c r="X147" s="45" t="n">
        <f aca="false">R147*c_pos</f>
        <v>480000</v>
      </c>
      <c r="Y147" s="45" t="n">
        <f aca="false">T147*c_m2+U147*c_m3</f>
        <v>710482.5</v>
      </c>
      <c r="Z147" s="45" t="n">
        <f aca="false">SUM(V147:Y147)</f>
        <v>2690482.5</v>
      </c>
      <c r="AA147" s="34" t="n">
        <f aca="false">B147*u_d/(H147*u_w)</f>
        <v>0.866666666666667</v>
      </c>
      <c r="AB147" s="46" t="n">
        <f aca="false">IF(G147=0,0,F147/G147)</f>
        <v>0.393740079365079</v>
      </c>
      <c r="AC147" s="46" t="n">
        <f aca="false">IF(G147&gt;1,F147/(G147-1),"n/a")</f>
        <v>0.787480158730159</v>
      </c>
      <c r="AD147" s="47" t="n">
        <f aca="false">moves_day*m_pallet*9.81*INDEX(Tc_mh,C147)/3600000</f>
        <v>16.31076</v>
      </c>
      <c r="AE147" s="3" t="n">
        <f aca="false">IF(AND(K147&lt;=H_max,H147&lt;=300,OR(lane_policy="Free (optimize N_C)",B147=sku_pal),OR(env_use="No",AND(I147&lt;=L_bldg,J147&lt;=W_bldg),AND(I147&lt;=W_bldg,J147&lt;=L_bldg))),1,0)</f>
        <v>0</v>
      </c>
      <c r="AF147" s="48" t="n">
        <f aca="false">IF(obj_mode="Total cost",Z147,IF(obj_mode="Shuttle cycle",O147,T147))</f>
        <v>2690482.5</v>
      </c>
      <c r="AG147" s="3" t="n">
        <f aca="false">IF(AE147=1,AF147*(1+A147*0.0000000001),1E+099)</f>
        <v>1E+099</v>
      </c>
      <c r="AH147" s="3" t="str">
        <f aca="false">IF(AE147=1,"",IF(K147&gt;H_max,"height",IF(AND(lane_policy&lt;&gt;"Free (optimize N_C)",B147&lt;&gt;sku_pal),"lane policy","footprint")))</f>
        <v>height</v>
      </c>
    </row>
    <row r="148" customFormat="false" ht="15" hidden="false" customHeight="true" outlineLevel="0" collapsed="false">
      <c r="A148" s="3" t="n">
        <v>141</v>
      </c>
      <c r="B148" s="3" t="n">
        <f aca="false">$I$3</f>
        <v>12</v>
      </c>
      <c r="C148" s="3" t="n">
        <v>1</v>
      </c>
      <c r="D148" s="46" t="n">
        <f aca="false">INDEX(Tc_pl,C148)</f>
        <v>0</v>
      </c>
      <c r="E148" s="47" t="n">
        <f aca="false">INDEX(Tc_S,C148)</f>
        <v>0</v>
      </c>
      <c r="F148" s="34" t="n">
        <f aca="false">lam_total*D148*E148/3600</f>
        <v>0</v>
      </c>
      <c r="G148" s="3" t="n">
        <f aca="false">IF(F148&lt;=0.000000000001,0,MAX(ROUNDUP(F148/rho_max-0.000000001,0),IF(redund="Yes",ROUNDUP(F148/rho_fail-0.000000001,0)+1,0)))</f>
        <v>0</v>
      </c>
      <c r="H148" s="3" t="n">
        <f aca="false">MAX(1,ROUNDUP((P_req/(B148*C148)+G148*lpl)/2-0.000000001,0))</f>
        <v>197</v>
      </c>
      <c r="I148" s="47" t="n">
        <f aca="false">H148*u_w</f>
        <v>197</v>
      </c>
      <c r="J148" s="47" t="n">
        <f aca="false">2*B148*u_d+aisle_w</f>
        <v>32.5</v>
      </c>
      <c r="K148" s="47" t="n">
        <f aca="false">C148*u_h</f>
        <v>2.15</v>
      </c>
      <c r="L148" s="47" t="n">
        <f aca="false">IF(G148=0,I148,I148/(2*G148))</f>
        <v>197</v>
      </c>
      <c r="M148" s="34" t="n">
        <f aca="false">((IF((lane_off+(L148))&lt;=(v_sh^2/a_sh),(4/3)*(lane_off+(L148))^1.5/SQRT(a_sh),(4/3)*(v_sh^2/a_sh)^1.5/SQRT(a_sh)+((lane_off+(L148))^2-(v_sh^2/a_sh)^2)/(2*v_sh)+(v_sh/a_sh)*((lane_off+(L148))-(v_sh^2/a_sh))))-(IF((lane_off)&lt;=(v_sh^2/a_sh),(4/3)*(lane_off)^1.5/SQRT(a_sh),(4/3)*(v_sh^2/a_sh)^1.5/SQRT(a_sh)+((lane_off)^2-(v_sh^2/a_sh)^2)/(2*v_sh)+(v_sh/a_sh)*((lane_off)-(v_sh^2/a_sh)))))/(L148)</f>
        <v>74.0837819104647</v>
      </c>
      <c r="N148" s="34" t="n">
        <f aca="false">IF(((B148-1)*u_d/2*(1+f_hc)+lane_off)&lt;=0,0,IF(((B148-1)*u_d/2*(1+f_hc)+lane_off)&gt;=v_sh^2/a_sh,((B148-1)*u_d/2*(1+f_hc)+lane_off)/v_sh+v_sh/a_sh,2*SQRT(((B148-1)*u_d/2*(1+f_hc)+lane_off)/a_sh)))</f>
        <v>9.85714285714286</v>
      </c>
      <c r="O148" s="47" t="n">
        <f aca="false">2*t_sh+2*t_turn+2*M148+2*N148</f>
        <v>225.881849535215</v>
      </c>
      <c r="P148" s="47" t="n">
        <f aca="false">SUMPRODUCT((Tc_idx&lt;=C148)*(ROUNDUP(lam_total*INDEX(Tc_P,C148,0)*O148/(3600*rho_max)-0.000000001,0)+(ROUNDUP(lam_total*INDEX(Tc_P,C148,0)*O148/(3600*rho_max)-0.000000001,0)&lt;min_sh)*(min_sh-ROUNDUP(lam_total*INDEX(Tc_P,C148,0)*O148/(3600*rho_max)-0.000000001,0))))</f>
        <v>9</v>
      </c>
      <c r="Q148" s="3" t="n">
        <f aca="false">ROUNDUP(P148-0.000000001,0)+spares</f>
        <v>11</v>
      </c>
      <c r="R148" s="45" t="n">
        <f aca="false">B148*C148*(2*H148-G148*lpl)</f>
        <v>4728</v>
      </c>
      <c r="S148" s="45" t="n">
        <f aca="false">R148*fill</f>
        <v>4018.8</v>
      </c>
      <c r="T148" s="45" t="n">
        <f aca="false">I148*J148</f>
        <v>6402.5</v>
      </c>
      <c r="U148" s="45" t="n">
        <f aca="false">T148*(K148+headroom)</f>
        <v>23369.125</v>
      </c>
      <c r="V148" s="45" t="n">
        <f aca="false">G148*c_lift</f>
        <v>0</v>
      </c>
      <c r="W148" s="45" t="n">
        <f aca="false">Q148*c_shut</f>
        <v>550000</v>
      </c>
      <c r="X148" s="45" t="n">
        <f aca="false">R148*c_pos</f>
        <v>472800</v>
      </c>
      <c r="Y148" s="45" t="n">
        <f aca="false">T148*c_m2+U148*c_m3</f>
        <v>3262073.75</v>
      </c>
      <c r="Z148" s="45" t="n">
        <f aca="false">SUM(V148:Y148)</f>
        <v>4284873.75</v>
      </c>
      <c r="AA148" s="34" t="n">
        <f aca="false">B148*u_d/(H148*u_w)</f>
        <v>0.0791878172588833</v>
      </c>
      <c r="AB148" s="46" t="n">
        <f aca="false">IF(G148=0,0,F148/G148)</f>
        <v>0</v>
      </c>
      <c r="AC148" s="46" t="str">
        <f aca="false">IF(G148&gt;1,F148/(G148-1),"n/a")</f>
        <v>n/a</v>
      </c>
      <c r="AD148" s="47" t="n">
        <f aca="false">moves_day*m_pallet*9.81*INDEX(Tc_mh,C148)/3600000</f>
        <v>0</v>
      </c>
      <c r="AE148" s="3" t="n">
        <f aca="false">IF(AND(K148&lt;=H_max,H148&lt;=300,OR(lane_policy="Free (optimize N_C)",B148=sku_pal),OR(env_use="No",AND(I148&lt;=L_bldg,J148&lt;=W_bldg),AND(I148&lt;=W_bldg,J148&lt;=L_bldg))),1,0)</f>
        <v>0</v>
      </c>
      <c r="AF148" s="48" t="n">
        <f aca="false">IF(obj_mode="Total cost",Z148,IF(obj_mode="Shuttle cycle",O148,T148))</f>
        <v>4284873.75</v>
      </c>
      <c r="AG148" s="3" t="n">
        <f aca="false">IF(AE148=1,AF148*(1+A148*0.0000000001),1E+099)</f>
        <v>1E+099</v>
      </c>
      <c r="AH148" s="3" t="str">
        <f aca="false">IF(AE148=1,"",IF(K148&gt;H_max,"height",IF(AND(lane_policy&lt;&gt;"Free (optimize N_C)",B148&lt;&gt;sku_pal),"lane policy","footprint")))</f>
        <v>footprint</v>
      </c>
    </row>
    <row r="149" customFormat="false" ht="15" hidden="false" customHeight="true" outlineLevel="0" collapsed="false">
      <c r="A149" s="3" t="n">
        <v>142</v>
      </c>
      <c r="B149" s="3" t="n">
        <f aca="false">$I$3</f>
        <v>12</v>
      </c>
      <c r="C149" s="3" t="n">
        <v>2</v>
      </c>
      <c r="D149" s="46" t="n">
        <f aca="false">INDEX(Tc_pl,C149)</f>
        <v>0.5</v>
      </c>
      <c r="E149" s="47" t="n">
        <f aca="false">INDEX(Tc_S,C149)</f>
        <v>41.1571428571429</v>
      </c>
      <c r="F149" s="34" t="n">
        <f aca="false">lam_total*D149*E149/3600</f>
        <v>0.571626984126984</v>
      </c>
      <c r="G149" s="3" t="n">
        <f aca="false">IF(F149&lt;=0.000000000001,0,MAX(ROUNDUP(F149/rho_max-0.000000001,0),IF(redund="Yes",ROUNDUP(F149/rho_fail-0.000000001,0)+1,0)))</f>
        <v>2</v>
      </c>
      <c r="H149" s="3" t="n">
        <f aca="false">MAX(1,ROUNDUP((P_req/(B149*C149)+G149*lpl)/2-0.000000001,0))</f>
        <v>102</v>
      </c>
      <c r="I149" s="47" t="n">
        <f aca="false">H149*u_w</f>
        <v>102</v>
      </c>
      <c r="J149" s="47" t="n">
        <f aca="false">2*B149*u_d+aisle_w</f>
        <v>32.5</v>
      </c>
      <c r="K149" s="47" t="n">
        <f aca="false">C149*u_h</f>
        <v>4.3</v>
      </c>
      <c r="L149" s="47" t="n">
        <f aca="false">IF(G149=0,I149,I149/(2*G149))</f>
        <v>25.5</v>
      </c>
      <c r="M149" s="34" t="n">
        <f aca="false">((IF((lane_off+(L149))&lt;=(v_sh^2/a_sh),(4/3)*(lane_off+(L149))^1.5/SQRT(a_sh),(4/3)*(v_sh^2/a_sh)^1.5/SQRT(a_sh)+((lane_off+(L149))^2-(v_sh^2/a_sh)^2)/(2*v_sh)+(v_sh/a_sh)*((lane_off+(L149))-(v_sh^2/a_sh))))-(IF((lane_off)&lt;=(v_sh^2/a_sh),(4/3)*(lane_off)^1.5/SQRT(a_sh),(4/3)*(v_sh^2/a_sh)^1.5/SQRT(a_sh)+((lane_off)^2-(v_sh^2/a_sh)^2)/(2*v_sh)+(v_sh/a_sh)*((lane_off)-(v_sh^2/a_sh)))))/(L149)</f>
        <v>12.8207857396683</v>
      </c>
      <c r="N149" s="34" t="n">
        <f aca="false">IF(((B149-1)*u_d/2*(1+f_hc)+lane_off)&lt;=0,0,IF(((B149-1)*u_d/2*(1+f_hc)+lane_off)&gt;=v_sh^2/a_sh,((B149-1)*u_d/2*(1+f_hc)+lane_off)/v_sh+v_sh/a_sh,2*SQRT(((B149-1)*u_d/2*(1+f_hc)+lane_off)/a_sh)))</f>
        <v>9.85714285714286</v>
      </c>
      <c r="O149" s="47" t="n">
        <f aca="false">2*t_sh+2*t_turn+2*M149+2*N149</f>
        <v>103.355857193622</v>
      </c>
      <c r="P149" s="47" t="n">
        <f aca="false">SUMPRODUCT((Tc_idx&lt;=C149)*(ROUNDUP(lam_total*INDEX(Tc_P,C149,0)*O149/(3600*rho_max)-0.000000001,0)+(ROUNDUP(lam_total*INDEX(Tc_P,C149,0)*O149/(3600*rho_max)-0.000000001,0)&lt;min_sh)*(min_sh-ROUNDUP(lam_total*INDEX(Tc_P,C149,0)*O149/(3600*rho_max)-0.000000001,0))))</f>
        <v>4</v>
      </c>
      <c r="Q149" s="3" t="n">
        <f aca="false">ROUNDUP(P149-0.000000001,0)+spares</f>
        <v>6</v>
      </c>
      <c r="R149" s="45" t="n">
        <f aca="false">B149*C149*(2*H149-G149*lpl)</f>
        <v>4752</v>
      </c>
      <c r="S149" s="45" t="n">
        <f aca="false">R149*fill</f>
        <v>4039.2</v>
      </c>
      <c r="T149" s="45" t="n">
        <f aca="false">I149*J149</f>
        <v>3315</v>
      </c>
      <c r="U149" s="45" t="n">
        <f aca="false">T149*(K149+headroom)</f>
        <v>19227</v>
      </c>
      <c r="V149" s="45" t="n">
        <f aca="false">G149*c_lift</f>
        <v>300000</v>
      </c>
      <c r="W149" s="45" t="n">
        <f aca="false">Q149*c_shut</f>
        <v>300000</v>
      </c>
      <c r="X149" s="45" t="n">
        <f aca="false">R149*c_pos</f>
        <v>475200</v>
      </c>
      <c r="Y149" s="45" t="n">
        <f aca="false">T149*c_m2+U149*c_m3</f>
        <v>1902810</v>
      </c>
      <c r="Z149" s="45" t="n">
        <f aca="false">SUM(V149:Y149)</f>
        <v>2978010</v>
      </c>
      <c r="AA149" s="34" t="n">
        <f aca="false">B149*u_d/(H149*u_w)</f>
        <v>0.152941176470588</v>
      </c>
      <c r="AB149" s="46" t="n">
        <f aca="false">IF(G149=0,0,F149/G149)</f>
        <v>0.285813492063492</v>
      </c>
      <c r="AC149" s="46" t="n">
        <f aca="false">IF(G149&gt;1,F149/(G149-1),"n/a")</f>
        <v>0.571626984126984</v>
      </c>
      <c r="AD149" s="47" t="n">
        <f aca="false">moves_day*m_pallet*9.81*INDEX(Tc_mh,C149)/3600000</f>
        <v>5.6244</v>
      </c>
      <c r="AE149" s="3" t="n">
        <f aca="false">IF(AND(K149&lt;=H_max,H149&lt;=300,OR(lane_policy="Free (optimize N_C)",B149=sku_pal),OR(env_use="No",AND(I149&lt;=L_bldg,J149&lt;=W_bldg),AND(I149&lt;=W_bldg,J149&lt;=L_bldg))),1,0)</f>
        <v>0</v>
      </c>
      <c r="AF149" s="48" t="n">
        <f aca="false">IF(obj_mode="Total cost",Z149,IF(obj_mode="Shuttle cycle",O149,T149))</f>
        <v>2978010</v>
      </c>
      <c r="AG149" s="3" t="n">
        <f aca="false">IF(AE149=1,AF149*(1+A149*0.0000000001),1E+099)</f>
        <v>1E+099</v>
      </c>
      <c r="AH149" s="3" t="str">
        <f aca="false">IF(AE149=1,"",IF(K149&gt;H_max,"height",IF(AND(lane_policy&lt;&gt;"Free (optimize N_C)",B149&lt;&gt;sku_pal),"lane policy","footprint")))</f>
        <v>footprint</v>
      </c>
    </row>
    <row r="150" customFormat="false" ht="15" hidden="false" customHeight="true" outlineLevel="0" collapsed="false">
      <c r="A150" s="3" t="n">
        <v>143</v>
      </c>
      <c r="B150" s="3" t="n">
        <f aca="false">$I$3</f>
        <v>12</v>
      </c>
      <c r="C150" s="3" t="n">
        <v>3</v>
      </c>
      <c r="D150" s="46" t="n">
        <f aca="false">INDEX(Tc_pl,C150)</f>
        <v>0.529411764705882</v>
      </c>
      <c r="E150" s="47" t="n">
        <f aca="false">INDEX(Tc_S,C150)</f>
        <v>41.6349206349206</v>
      </c>
      <c r="F150" s="34" t="n">
        <f aca="false">lam_total*D150*E150/3600</f>
        <v>0.612278244631186</v>
      </c>
      <c r="G150" s="3" t="n">
        <f aca="false">IF(F150&lt;=0.000000000001,0,MAX(ROUNDUP(F150/rho_max-0.000000001,0),IF(redund="Yes",ROUNDUP(F150/rho_fail-0.000000001,0)+1,0)))</f>
        <v>2</v>
      </c>
      <c r="H150" s="3" t="n">
        <f aca="false">MAX(1,ROUNDUP((P_req/(B150*C150)+G150*lpl)/2-0.000000001,0))</f>
        <v>69</v>
      </c>
      <c r="I150" s="47" t="n">
        <f aca="false">H150*u_w</f>
        <v>69</v>
      </c>
      <c r="J150" s="47" t="n">
        <f aca="false">2*B150*u_d+aisle_w</f>
        <v>32.5</v>
      </c>
      <c r="K150" s="47" t="n">
        <f aca="false">C150*u_h</f>
        <v>6.45</v>
      </c>
      <c r="L150" s="47" t="n">
        <f aca="false">IF(G150=0,I150,I150/(2*G150))</f>
        <v>17.25</v>
      </c>
      <c r="M150" s="34" t="n">
        <f aca="false">((IF((lane_off+(L150))&lt;=(v_sh^2/a_sh),(4/3)*(lane_off+(L150))^1.5/SQRT(a_sh),(4/3)*(v_sh^2/a_sh)^1.5/SQRT(a_sh)+((lane_off+(L150))^2-(v_sh^2/a_sh)^2)/(2*v_sh)+(v_sh/a_sh)*((lane_off+(L150))-(v_sh^2/a_sh))))-(IF((lane_off)&lt;=(v_sh^2/a_sh),(4/3)*(lane_off)^1.5/SQRT(a_sh),(4/3)*(v_sh^2/a_sh)^1.5/SQRT(a_sh)+((lane_off)^2-(v_sh^2/a_sh)^2)/(2*v_sh)+(v_sh/a_sh)*((lane_off)-(v_sh^2/a_sh)))))/(L150)</f>
        <v>9.86721742882646</v>
      </c>
      <c r="N150" s="34" t="n">
        <f aca="false">IF(((B150-1)*u_d/2*(1+f_hc)+lane_off)&lt;=0,0,IF(((B150-1)*u_d/2*(1+f_hc)+lane_off)&gt;=v_sh^2/a_sh,((B150-1)*u_d/2*(1+f_hc)+lane_off)/v_sh+v_sh/a_sh,2*SQRT(((B150-1)*u_d/2*(1+f_hc)+lane_off)/a_sh)))</f>
        <v>9.85714285714286</v>
      </c>
      <c r="O150" s="47" t="n">
        <f aca="false">2*t_sh+2*t_turn+2*M150+2*N150</f>
        <v>97.4487205719387</v>
      </c>
      <c r="P150" s="47" t="n">
        <f aca="false">SUMPRODUCT((Tc_idx&lt;=C150)*(ROUNDUP(lam_total*INDEX(Tc_P,C150,0)*O150/(3600*rho_max)-0.000000001,0)+(ROUNDUP(lam_total*INDEX(Tc_P,C150,0)*O150/(3600*rho_max)-0.000000001,0)&lt;min_sh)*(min_sh-ROUNDUP(lam_total*INDEX(Tc_P,C150,0)*O150/(3600*rho_max)-0.000000001,0))))</f>
        <v>5</v>
      </c>
      <c r="Q150" s="3" t="n">
        <f aca="false">ROUNDUP(P150-0.000000001,0)+spares</f>
        <v>7</v>
      </c>
      <c r="R150" s="45" t="n">
        <f aca="false">B150*C150*(2*H150-G150*lpl)</f>
        <v>4752</v>
      </c>
      <c r="S150" s="45" t="n">
        <f aca="false">R150*fill</f>
        <v>4039.2</v>
      </c>
      <c r="T150" s="45" t="n">
        <f aca="false">I150*J150</f>
        <v>2242.5</v>
      </c>
      <c r="U150" s="45" t="n">
        <f aca="false">T150*(K150+headroom)</f>
        <v>17827.875</v>
      </c>
      <c r="V150" s="45" t="n">
        <f aca="false">G150*c_lift</f>
        <v>300000</v>
      </c>
      <c r="W150" s="45" t="n">
        <f aca="false">Q150*c_shut</f>
        <v>350000</v>
      </c>
      <c r="X150" s="45" t="n">
        <f aca="false">R150*c_pos</f>
        <v>475200</v>
      </c>
      <c r="Y150" s="45" t="n">
        <f aca="false">T150*c_m2+U150*c_m3</f>
        <v>1431836.25</v>
      </c>
      <c r="Z150" s="45" t="n">
        <f aca="false">SUM(V150:Y150)</f>
        <v>2557036.25</v>
      </c>
      <c r="AA150" s="34" t="n">
        <f aca="false">B150*u_d/(H150*u_w)</f>
        <v>0.226086956521739</v>
      </c>
      <c r="AB150" s="46" t="n">
        <f aca="false">IF(G150=0,0,F150/G150)</f>
        <v>0.306139122315593</v>
      </c>
      <c r="AC150" s="46" t="n">
        <f aca="false">IF(G150&gt;1,F150/(G150-1),"n/a")</f>
        <v>0.612278244631186</v>
      </c>
      <c r="AD150" s="47" t="n">
        <f aca="false">moves_day*m_pallet*9.81*INDEX(Tc_mh,C150)/3600000</f>
        <v>6.61694117647059</v>
      </c>
      <c r="AE150" s="3" t="n">
        <f aca="false">IF(AND(K150&lt;=H_max,H150&lt;=300,OR(lane_policy="Free (optimize N_C)",B150=sku_pal),OR(env_use="No",AND(I150&lt;=L_bldg,J150&lt;=W_bldg),AND(I150&lt;=W_bldg,J150&lt;=L_bldg))),1,0)</f>
        <v>0</v>
      </c>
      <c r="AF150" s="48" t="n">
        <f aca="false">IF(obj_mode="Total cost",Z150,IF(obj_mode="Shuttle cycle",O150,T150))</f>
        <v>2557036.25</v>
      </c>
      <c r="AG150" s="3" t="n">
        <f aca="false">IF(AE150=1,AF150*(1+A150*0.0000000001),1E+099)</f>
        <v>1E+099</v>
      </c>
      <c r="AH150" s="3" t="str">
        <f aca="false">IF(AE150=1,"",IF(K150&gt;H_max,"height",IF(AND(lane_policy&lt;&gt;"Free (optimize N_C)",B150&lt;&gt;sku_pal),"lane policy","footprint")))</f>
        <v>footprint</v>
      </c>
    </row>
    <row r="151" customFormat="false" ht="15" hidden="false" customHeight="true" outlineLevel="0" collapsed="false">
      <c r="A151" s="3" t="n">
        <v>144</v>
      </c>
      <c r="B151" s="3" t="n">
        <f aca="false">$I$3</f>
        <v>12</v>
      </c>
      <c r="C151" s="3" t="n">
        <v>4</v>
      </c>
      <c r="D151" s="46" t="n">
        <f aca="false">INDEX(Tc_pl,C151)</f>
        <v>0.555555555555556</v>
      </c>
      <c r="E151" s="47" t="n">
        <f aca="false">INDEX(Tc_S,C151)</f>
        <v>42.4471428571429</v>
      </c>
      <c r="F151" s="34" t="n">
        <f aca="false">lam_total*D151*E151/3600</f>
        <v>0.655048500881834</v>
      </c>
      <c r="G151" s="3" t="n">
        <f aca="false">IF(F151&lt;=0.000000000001,0,MAX(ROUNDUP(F151/rho_max-0.000000001,0),IF(redund="Yes",ROUNDUP(F151/rho_fail-0.000000001,0)+1,0)))</f>
        <v>2</v>
      </c>
      <c r="H151" s="3" t="n">
        <f aca="false">MAX(1,ROUNDUP((P_req/(B151*C151)+G151*lpl)/2-0.000000001,0))</f>
        <v>53</v>
      </c>
      <c r="I151" s="47" t="n">
        <f aca="false">H151*u_w</f>
        <v>53</v>
      </c>
      <c r="J151" s="47" t="n">
        <f aca="false">2*B151*u_d+aisle_w</f>
        <v>32.5</v>
      </c>
      <c r="K151" s="47" t="n">
        <f aca="false">C151*u_h</f>
        <v>8.6</v>
      </c>
      <c r="L151" s="47" t="n">
        <f aca="false">IF(G151=0,I151,I151/(2*G151))</f>
        <v>13.25</v>
      </c>
      <c r="M151" s="34" t="n">
        <f aca="false">((IF((lane_off+(L151))&lt;=(v_sh^2/a_sh),(4/3)*(lane_off+(L151))^1.5/SQRT(a_sh),(4/3)*(v_sh^2/a_sh)^1.5/SQRT(a_sh)+((lane_off+(L151))^2-(v_sh^2/a_sh)^2)/(2*v_sh)+(v_sh/a_sh)*((lane_off+(L151))-(v_sh^2/a_sh))))-(IF((lane_off)&lt;=(v_sh^2/a_sh),(4/3)*(lane_off)^1.5/SQRT(a_sh),(4/3)*(v_sh^2/a_sh)^1.5/SQRT(a_sh)+((lane_off)^2-(v_sh^2/a_sh)^2)/(2*v_sh)+(v_sh/a_sh)*((lane_off)-(v_sh^2/a_sh)))))/(L151)</f>
        <v>8.43198387634281</v>
      </c>
      <c r="N151" s="34" t="n">
        <f aca="false">IF(((B151-1)*u_d/2*(1+f_hc)+lane_off)&lt;=0,0,IF(((B151-1)*u_d/2*(1+f_hc)+lane_off)&gt;=v_sh^2/a_sh,((B151-1)*u_d/2*(1+f_hc)+lane_off)/v_sh+v_sh/a_sh,2*SQRT(((B151-1)*u_d/2*(1+f_hc)+lane_off)/a_sh)))</f>
        <v>9.85714285714286</v>
      </c>
      <c r="O151" s="47" t="n">
        <f aca="false">2*t_sh+2*t_turn+2*M151+2*N151</f>
        <v>94.5782534669714</v>
      </c>
      <c r="P151" s="47" t="n">
        <f aca="false">SUMPRODUCT((Tc_idx&lt;=C151)*(ROUNDUP(lam_total*INDEX(Tc_P,C151,0)*O151/(3600*rho_max)-0.000000001,0)+(ROUNDUP(lam_total*INDEX(Tc_P,C151,0)*O151/(3600*rho_max)-0.000000001,0)&lt;min_sh)*(min_sh-ROUNDUP(lam_total*INDEX(Tc_P,C151,0)*O151/(3600*rho_max)-0.000000001,0))))</f>
        <v>6</v>
      </c>
      <c r="Q151" s="3" t="n">
        <f aca="false">ROUNDUP(P151-0.000000001,0)+spares</f>
        <v>8</v>
      </c>
      <c r="R151" s="45" t="n">
        <f aca="false">B151*C151*(2*H151-G151*lpl)</f>
        <v>4800</v>
      </c>
      <c r="S151" s="45" t="n">
        <f aca="false">R151*fill</f>
        <v>4080</v>
      </c>
      <c r="T151" s="45" t="n">
        <f aca="false">I151*J151</f>
        <v>1722.5</v>
      </c>
      <c r="U151" s="45" t="n">
        <f aca="false">T151*(K151+headroom)</f>
        <v>17397.25</v>
      </c>
      <c r="V151" s="45" t="n">
        <f aca="false">G151*c_lift</f>
        <v>300000</v>
      </c>
      <c r="W151" s="45" t="n">
        <f aca="false">Q151*c_shut</f>
        <v>400000</v>
      </c>
      <c r="X151" s="45" t="n">
        <f aca="false">R151*c_pos</f>
        <v>480000</v>
      </c>
      <c r="Y151" s="45" t="n">
        <f aca="false">T151*c_m2+U151*c_m3</f>
        <v>1210917.5</v>
      </c>
      <c r="Z151" s="45" t="n">
        <f aca="false">SUM(V151:Y151)</f>
        <v>2390917.5</v>
      </c>
      <c r="AA151" s="34" t="n">
        <f aca="false">B151*u_d/(H151*u_w)</f>
        <v>0.29433962264151</v>
      </c>
      <c r="AB151" s="46" t="n">
        <f aca="false">IF(G151=0,0,F151/G151)</f>
        <v>0.327524250440917</v>
      </c>
      <c r="AC151" s="46" t="n">
        <f aca="false">IF(G151&gt;1,F151/(G151-1),"n/a")</f>
        <v>0.655048500881834</v>
      </c>
      <c r="AD151" s="47" t="n">
        <f aca="false">moves_day*m_pallet*9.81*INDEX(Tc_mh,C151)/3600000</f>
        <v>8.12413333333333</v>
      </c>
      <c r="AE151" s="3" t="n">
        <f aca="false">IF(AND(K151&lt;=H_max,H151&lt;=300,OR(lane_policy="Free (optimize N_C)",B151=sku_pal),OR(env_use="No",AND(I151&lt;=L_bldg,J151&lt;=W_bldg),AND(I151&lt;=W_bldg,J151&lt;=L_bldg))),1,0)</f>
        <v>0</v>
      </c>
      <c r="AF151" s="48" t="n">
        <f aca="false">IF(obj_mode="Total cost",Z151,IF(obj_mode="Shuttle cycle",O151,T151))</f>
        <v>2390917.5</v>
      </c>
      <c r="AG151" s="3" t="n">
        <f aca="false">IF(AE151=1,AF151*(1+A151*0.0000000001),1E+099)</f>
        <v>1E+099</v>
      </c>
      <c r="AH151" s="3" t="str">
        <f aca="false">IF(AE151=1,"",IF(K151&gt;H_max,"height",IF(AND(lane_policy&lt;&gt;"Free (optimize N_C)",B151&lt;&gt;sku_pal),"lane policy","footprint")))</f>
        <v>footprint</v>
      </c>
    </row>
    <row r="152" customFormat="false" ht="15" hidden="false" customHeight="true" outlineLevel="0" collapsed="false">
      <c r="A152" s="3" t="n">
        <v>145</v>
      </c>
      <c r="B152" s="3" t="n">
        <f aca="false">$I$3</f>
        <v>12</v>
      </c>
      <c r="C152" s="3" t="n">
        <v>5</v>
      </c>
      <c r="D152" s="46" t="n">
        <f aca="false">INDEX(Tc_pl,C152)</f>
        <v>0.578947368421053</v>
      </c>
      <c r="E152" s="47" t="n">
        <f aca="false">INDEX(Tc_S,C152)</f>
        <v>43.5025974025974</v>
      </c>
      <c r="F152" s="34" t="n">
        <f aca="false">lam_total*D152*E152/3600</f>
        <v>0.699603174603175</v>
      </c>
      <c r="G152" s="3" t="n">
        <f aca="false">IF(F152&lt;=0.000000000001,0,MAX(ROUNDUP(F152/rho_max-0.000000001,0),IF(redund="Yes",ROUNDUP(F152/rho_fail-0.000000001,0)+1,0)))</f>
        <v>2</v>
      </c>
      <c r="H152" s="3" t="n">
        <f aca="false">MAX(1,ROUNDUP((P_req/(B152*C152)+G152*lpl)/2-0.000000001,0))</f>
        <v>43</v>
      </c>
      <c r="I152" s="47" t="n">
        <f aca="false">H152*u_w</f>
        <v>43</v>
      </c>
      <c r="J152" s="47" t="n">
        <f aca="false">2*B152*u_d+aisle_w</f>
        <v>32.5</v>
      </c>
      <c r="K152" s="47" t="n">
        <f aca="false">C152*u_h</f>
        <v>10.75</v>
      </c>
      <c r="L152" s="47" t="n">
        <f aca="false">IF(G152=0,I152,I152/(2*G152))</f>
        <v>10.75</v>
      </c>
      <c r="M152" s="34" t="n">
        <f aca="false">((IF((lane_off+(L152))&lt;=(v_sh^2/a_sh),(4/3)*(lane_off+(L152))^1.5/SQRT(a_sh),(4/3)*(v_sh^2/a_sh)^1.5/SQRT(a_sh)+((lane_off+(L152))^2-(v_sh^2/a_sh)^2)/(2*v_sh)+(v_sh/a_sh)*((lane_off+(L152))-(v_sh^2/a_sh))))-(IF((lane_off)&lt;=(v_sh^2/a_sh),(4/3)*(lane_off)^1.5/SQRT(a_sh),(4/3)*(v_sh^2/a_sh)^1.5/SQRT(a_sh)+((lane_off)^2-(v_sh^2/a_sh)^2)/(2*v_sh)+(v_sh/a_sh)*((lane_off)-(v_sh^2/a_sh)))))/(L152)</f>
        <v>7.53244524293416</v>
      </c>
      <c r="N152" s="34" t="n">
        <f aca="false">IF(((B152-1)*u_d/2*(1+f_hc)+lane_off)&lt;=0,0,IF(((B152-1)*u_d/2*(1+f_hc)+lane_off)&gt;=v_sh^2/a_sh,((B152-1)*u_d/2*(1+f_hc)+lane_off)/v_sh+v_sh/a_sh,2*SQRT(((B152-1)*u_d/2*(1+f_hc)+lane_off)/a_sh)))</f>
        <v>9.85714285714286</v>
      </c>
      <c r="O152" s="47" t="n">
        <f aca="false">2*t_sh+2*t_turn+2*M152+2*N152</f>
        <v>92.779176200154</v>
      </c>
      <c r="P152" s="47" t="n">
        <f aca="false">SUMPRODUCT((Tc_idx&lt;=C152)*(ROUNDUP(lam_total*INDEX(Tc_P,C152,0)*O152/(3600*rho_max)-0.000000001,0)+(ROUNDUP(lam_total*INDEX(Tc_P,C152,0)*O152/(3600*rho_max)-0.000000001,0)&lt;min_sh)*(min_sh-ROUNDUP(lam_total*INDEX(Tc_P,C152,0)*O152/(3600*rho_max)-0.000000001,0))))</f>
        <v>7</v>
      </c>
      <c r="Q152" s="3" t="n">
        <f aca="false">ROUNDUP(P152-0.000000001,0)+spares</f>
        <v>9</v>
      </c>
      <c r="R152" s="45" t="n">
        <f aca="false">B152*C152*(2*H152-G152*lpl)</f>
        <v>4800</v>
      </c>
      <c r="S152" s="45" t="n">
        <f aca="false">R152*fill</f>
        <v>4080</v>
      </c>
      <c r="T152" s="45" t="n">
        <f aca="false">I152*J152</f>
        <v>1397.5</v>
      </c>
      <c r="U152" s="45" t="n">
        <f aca="false">T152*(K152+headroom)</f>
        <v>17119.375</v>
      </c>
      <c r="V152" s="45" t="n">
        <f aca="false">G152*c_lift</f>
        <v>300000</v>
      </c>
      <c r="W152" s="45" t="n">
        <f aca="false">Q152*c_shut</f>
        <v>450000</v>
      </c>
      <c r="X152" s="45" t="n">
        <f aca="false">R152*c_pos</f>
        <v>480000</v>
      </c>
      <c r="Y152" s="45" t="n">
        <f aca="false">T152*c_m2+U152*c_m3</f>
        <v>1072581.25</v>
      </c>
      <c r="Z152" s="45" t="n">
        <f aca="false">SUM(V152:Y152)</f>
        <v>2302581.25</v>
      </c>
      <c r="AA152" s="34" t="n">
        <f aca="false">B152*u_d/(H152*u_w)</f>
        <v>0.362790697674419</v>
      </c>
      <c r="AB152" s="46" t="n">
        <f aca="false">IF(G152=0,0,F152/G152)</f>
        <v>0.349801587301587</v>
      </c>
      <c r="AC152" s="46" t="n">
        <f aca="false">IF(G152&gt;1,F152/(G152-1),"n/a")</f>
        <v>0.699603174603175</v>
      </c>
      <c r="AD152" s="47" t="n">
        <f aca="false">moves_day*m_pallet*9.81*INDEX(Tc_mh,C152)/3600000</f>
        <v>10.0647157894737</v>
      </c>
      <c r="AE152" s="3" t="n">
        <f aca="false">IF(AND(K152&lt;=H_max,H152&lt;=300,OR(lane_policy="Free (optimize N_C)",B152=sku_pal),OR(env_use="No",AND(I152&lt;=L_bldg,J152&lt;=W_bldg),AND(I152&lt;=W_bldg,J152&lt;=L_bldg))),1,0)</f>
        <v>0</v>
      </c>
      <c r="AF152" s="48" t="n">
        <f aca="false">IF(obj_mode="Total cost",Z152,IF(obj_mode="Shuttle cycle",O152,T152))</f>
        <v>2302581.25</v>
      </c>
      <c r="AG152" s="3" t="n">
        <f aca="false">IF(AE152=1,AF152*(1+A152*0.0000000001),1E+099)</f>
        <v>1E+099</v>
      </c>
      <c r="AH152" s="3" t="str">
        <f aca="false">IF(AE152=1,"",IF(K152&gt;H_max,"height",IF(AND(lane_policy&lt;&gt;"Free (optimize N_C)",B152&lt;&gt;sku_pal),"lane policy","footprint")))</f>
        <v>footprint</v>
      </c>
    </row>
    <row r="153" customFormat="false" ht="15" hidden="false" customHeight="true" outlineLevel="0" collapsed="false">
      <c r="A153" s="3" t="n">
        <v>146</v>
      </c>
      <c r="B153" s="3" t="n">
        <f aca="false">$I$3</f>
        <v>12</v>
      </c>
      <c r="C153" s="3" t="n">
        <v>6</v>
      </c>
      <c r="D153" s="46" t="n">
        <f aca="false">INDEX(Tc_pl,C153)</f>
        <v>0.6</v>
      </c>
      <c r="E153" s="47" t="n">
        <f aca="false">INDEX(Tc_S,C153)</f>
        <v>44.7404761904762</v>
      </c>
      <c r="F153" s="34" t="n">
        <f aca="false">lam_total*D153*E153/3600</f>
        <v>0.745674603174603</v>
      </c>
      <c r="G153" s="3" t="n">
        <f aca="false">IF(F153&lt;=0.000000000001,0,MAX(ROUNDUP(F153/rho_max-0.000000001,0),IF(redund="Yes",ROUNDUP(F153/rho_fail-0.000000001,0)+1,0)))</f>
        <v>2</v>
      </c>
      <c r="H153" s="3" t="n">
        <f aca="false">MAX(1,ROUNDUP((P_req/(B153*C153)+G153*lpl)/2-0.000000001,0))</f>
        <v>36</v>
      </c>
      <c r="I153" s="47" t="n">
        <f aca="false">H153*u_w</f>
        <v>36</v>
      </c>
      <c r="J153" s="47" t="n">
        <f aca="false">2*B153*u_d+aisle_w</f>
        <v>32.5</v>
      </c>
      <c r="K153" s="47" t="n">
        <f aca="false">C153*u_h</f>
        <v>12.9</v>
      </c>
      <c r="L153" s="47" t="n">
        <f aca="false">IF(G153=0,I153,I153/(2*G153))</f>
        <v>9</v>
      </c>
      <c r="M153" s="34" t="n">
        <f aca="false">((IF((lane_off+(L153))&lt;=(v_sh^2/a_sh),(4/3)*(lane_off+(L153))^1.5/SQRT(a_sh),(4/3)*(v_sh^2/a_sh)^1.5/SQRT(a_sh)+((lane_off+(L153))^2-(v_sh^2/a_sh)^2)/(2*v_sh)+(v_sh/a_sh)*((lane_off+(L153))-(v_sh^2/a_sh))))-(IF((lane_off)&lt;=(v_sh^2/a_sh),(4/3)*(lane_off)^1.5/SQRT(a_sh),(4/3)*(v_sh^2/a_sh)^1.5/SQRT(a_sh)+((lane_off)^2-(v_sh^2/a_sh)^2)/(2*v_sh)+(v_sh/a_sh)*((lane_off)-(v_sh^2/a_sh)))))/(L153)</f>
        <v>6.90055959572691</v>
      </c>
      <c r="N153" s="34" t="n">
        <f aca="false">IF(((B153-1)*u_d/2*(1+f_hc)+lane_off)&lt;=0,0,IF(((B153-1)*u_d/2*(1+f_hc)+lane_off)&gt;=v_sh^2/a_sh,((B153-1)*u_d/2*(1+f_hc)+lane_off)/v_sh+v_sh/a_sh,2*SQRT(((B153-1)*u_d/2*(1+f_hc)+lane_off)/a_sh)))</f>
        <v>9.85714285714286</v>
      </c>
      <c r="O153" s="47" t="n">
        <f aca="false">2*t_sh+2*t_turn+2*M153+2*N153</f>
        <v>91.5154049057395</v>
      </c>
      <c r="P153" s="47" t="n">
        <f aca="false">SUMPRODUCT((Tc_idx&lt;=C153)*(ROUNDUP(lam_total*INDEX(Tc_P,C153,0)*O153/(3600*rho_max)-0.000000001,0)+(ROUNDUP(lam_total*INDEX(Tc_P,C153,0)*O153/(3600*rho_max)-0.000000001,0)&lt;min_sh)*(min_sh-ROUNDUP(lam_total*INDEX(Tc_P,C153,0)*O153/(3600*rho_max)-0.000000001,0))))</f>
        <v>8</v>
      </c>
      <c r="Q153" s="3" t="n">
        <f aca="false">ROUNDUP(P153-0.000000001,0)+spares</f>
        <v>10</v>
      </c>
      <c r="R153" s="45" t="n">
        <f aca="false">B153*C153*(2*H153-G153*lpl)</f>
        <v>4752</v>
      </c>
      <c r="S153" s="45" t="n">
        <f aca="false">R153*fill</f>
        <v>4039.2</v>
      </c>
      <c r="T153" s="45" t="n">
        <f aca="false">I153*J153</f>
        <v>1170</v>
      </c>
      <c r="U153" s="45" t="n">
        <f aca="false">T153*(K153+headroom)</f>
        <v>16848</v>
      </c>
      <c r="V153" s="45" t="n">
        <f aca="false">G153*c_lift</f>
        <v>300000</v>
      </c>
      <c r="W153" s="45" t="n">
        <f aca="false">Q153*c_shut</f>
        <v>500000</v>
      </c>
      <c r="X153" s="45" t="n">
        <f aca="false">R153*c_pos</f>
        <v>475200</v>
      </c>
      <c r="Y153" s="45" t="n">
        <f aca="false">T153*c_m2+U153*c_m3</f>
        <v>973440</v>
      </c>
      <c r="Z153" s="45" t="n">
        <f aca="false">SUM(V153:Y153)</f>
        <v>2248640</v>
      </c>
      <c r="AA153" s="34" t="n">
        <f aca="false">B153*u_d/(H153*u_w)</f>
        <v>0.433333333333333</v>
      </c>
      <c r="AB153" s="46" t="n">
        <f aca="false">IF(G153=0,0,F153/G153)</f>
        <v>0.372837301587302</v>
      </c>
      <c r="AC153" s="46" t="n">
        <f aca="false">IF(G153&gt;1,F153/(G153-1),"n/a")</f>
        <v>0.745674603174603</v>
      </c>
      <c r="AD153" s="47" t="n">
        <f aca="false">moves_day*m_pallet*9.81*INDEX(Tc_mh,C153)/3600000</f>
        <v>12.37368</v>
      </c>
      <c r="AE153" s="3" t="n">
        <f aca="false">IF(AND(K153&lt;=H_max,H153&lt;=300,OR(lane_policy="Free (optimize N_C)",B153=sku_pal),OR(env_use="No",AND(I153&lt;=L_bldg,J153&lt;=W_bldg),AND(I153&lt;=W_bldg,J153&lt;=L_bldg))),1,0)</f>
        <v>0</v>
      </c>
      <c r="AF153" s="48" t="n">
        <f aca="false">IF(obj_mode="Total cost",Z153,IF(obj_mode="Shuttle cycle",O153,T153))</f>
        <v>2248640</v>
      </c>
      <c r="AG153" s="3" t="n">
        <f aca="false">IF(AE153=1,AF153*(1+A153*0.0000000001),1E+099)</f>
        <v>1E+099</v>
      </c>
      <c r="AH153" s="3" t="str">
        <f aca="false">IF(AE153=1,"",IF(K153&gt;H_max,"height",IF(AND(lane_policy&lt;&gt;"Free (optimize N_C)",B153&lt;&gt;sku_pal),"lane policy","footprint")))</f>
        <v>footprint</v>
      </c>
    </row>
    <row r="154" customFormat="false" ht="15" hidden="false" customHeight="true" outlineLevel="0" collapsed="false">
      <c r="A154" s="3" t="n">
        <v>147</v>
      </c>
      <c r="B154" s="3" t="n">
        <f aca="false">$I$3</f>
        <v>12</v>
      </c>
      <c r="C154" s="3" t="n">
        <v>7</v>
      </c>
      <c r="D154" s="46" t="n">
        <f aca="false">INDEX(Tc_pl,C154)</f>
        <v>0.6</v>
      </c>
      <c r="E154" s="47" t="n">
        <f aca="false">INDEX(Tc_S,C154)</f>
        <v>44.9196428571429</v>
      </c>
      <c r="F154" s="34" t="n">
        <f aca="false">lam_total*D154*E154/3600</f>
        <v>0.748660714285714</v>
      </c>
      <c r="G154" s="3" t="n">
        <f aca="false">IF(F154&lt;=0.000000000001,0,MAX(ROUNDUP(F154/rho_max-0.000000001,0),IF(redund="Yes",ROUNDUP(F154/rho_fail-0.000000001,0)+1,0)))</f>
        <v>2</v>
      </c>
      <c r="H154" s="3" t="n">
        <f aca="false">MAX(1,ROUNDUP((P_req/(B154*C154)+G154*lpl)/2-0.000000001,0))</f>
        <v>32</v>
      </c>
      <c r="I154" s="47" t="n">
        <f aca="false">H154*u_w</f>
        <v>32</v>
      </c>
      <c r="J154" s="47" t="n">
        <f aca="false">2*B154*u_d+aisle_w</f>
        <v>32.5</v>
      </c>
      <c r="K154" s="47" t="n">
        <f aca="false">C154*u_h</f>
        <v>15.05</v>
      </c>
      <c r="L154" s="47" t="n">
        <f aca="false">IF(G154=0,I154,I154/(2*G154))</f>
        <v>8</v>
      </c>
      <c r="M154" s="34" t="n">
        <f aca="false">((IF((lane_off+(L154))&lt;=(v_sh^2/a_sh),(4/3)*(lane_off+(L154))^1.5/SQRT(a_sh),(4/3)*(v_sh^2/a_sh)^1.5/SQRT(a_sh)+((lane_off+(L154))^2-(v_sh^2/a_sh)^2)/(2*v_sh)+(v_sh/a_sh)*((lane_off+(L154))-(v_sh^2/a_sh))))-(IF((lane_off)&lt;=(v_sh^2/a_sh),(4/3)*(lane_off)^1.5/SQRT(a_sh),(4/3)*(v_sh^2/a_sh)^1.5/SQRT(a_sh)+((lane_off)^2-(v_sh^2/a_sh)^2)/(2*v_sh)+(v_sh/a_sh)*((lane_off)-(v_sh^2/a_sh)))))/(L154)</f>
        <v>6.53812954519278</v>
      </c>
      <c r="N154" s="34" t="n">
        <f aca="false">IF(((B154-1)*u_d/2*(1+f_hc)+lane_off)&lt;=0,0,IF(((B154-1)*u_d/2*(1+f_hc)+lane_off)&gt;=v_sh^2/a_sh,((B154-1)*u_d/2*(1+f_hc)+lane_off)/v_sh+v_sh/a_sh,2*SQRT(((B154-1)*u_d/2*(1+f_hc)+lane_off)/a_sh)))</f>
        <v>9.85714285714286</v>
      </c>
      <c r="O154" s="47" t="n">
        <f aca="false">2*t_sh+2*t_turn+2*M154+2*N154</f>
        <v>90.7905448046713</v>
      </c>
      <c r="P154" s="47" t="n">
        <f aca="false">SUMPRODUCT((Tc_idx&lt;=C154)*(ROUNDUP(lam_total*INDEX(Tc_P,C154,0)*O154/(3600*rho_max)-0.000000001,0)+(ROUNDUP(lam_total*INDEX(Tc_P,C154,0)*O154/(3600*rho_max)-0.000000001,0)&lt;min_sh)*(min_sh-ROUNDUP(lam_total*INDEX(Tc_P,C154,0)*O154/(3600*rho_max)-0.000000001,0))))</f>
        <v>9</v>
      </c>
      <c r="Q154" s="3" t="n">
        <f aca="false">ROUNDUP(P154-0.000000001,0)+spares</f>
        <v>11</v>
      </c>
      <c r="R154" s="45" t="n">
        <f aca="false">B154*C154*(2*H154-G154*lpl)</f>
        <v>4872</v>
      </c>
      <c r="S154" s="45" t="n">
        <f aca="false">R154*fill</f>
        <v>4141.2</v>
      </c>
      <c r="T154" s="45" t="n">
        <f aca="false">I154*J154</f>
        <v>1040</v>
      </c>
      <c r="U154" s="45" t="n">
        <f aca="false">T154*(K154+headroom)</f>
        <v>17212</v>
      </c>
      <c r="V154" s="45" t="n">
        <f aca="false">G154*c_lift</f>
        <v>300000</v>
      </c>
      <c r="W154" s="45" t="n">
        <f aca="false">Q154*c_shut</f>
        <v>550000</v>
      </c>
      <c r="X154" s="45" t="n">
        <f aca="false">R154*c_pos</f>
        <v>487200</v>
      </c>
      <c r="Y154" s="45" t="n">
        <f aca="false">T154*c_m2+U154*c_m3</f>
        <v>932360</v>
      </c>
      <c r="Z154" s="45" t="n">
        <f aca="false">SUM(V154:Y154)</f>
        <v>2269560</v>
      </c>
      <c r="AA154" s="34" t="n">
        <f aca="false">B154*u_d/(H154*u_w)</f>
        <v>0.4875</v>
      </c>
      <c r="AB154" s="46" t="n">
        <f aca="false">IF(G154=0,0,F154/G154)</f>
        <v>0.374330357142857</v>
      </c>
      <c r="AC154" s="46" t="n">
        <f aca="false">IF(G154&gt;1,F154/(G154-1),"n/a")</f>
        <v>0.748660714285714</v>
      </c>
      <c r="AD154" s="47" t="n">
        <f aca="false">moves_day*m_pallet*9.81*INDEX(Tc_mh,C154)/3600000</f>
        <v>12.6549</v>
      </c>
      <c r="AE154" s="3" t="n">
        <f aca="false">IF(AND(K154&lt;=H_max,H154&lt;=300,OR(lane_policy="Free (optimize N_C)",B154=sku_pal),OR(env_use="No",AND(I154&lt;=L_bldg,J154&lt;=W_bldg),AND(I154&lt;=W_bldg,J154&lt;=L_bldg))),1,0)</f>
        <v>0</v>
      </c>
      <c r="AF154" s="48" t="n">
        <f aca="false">IF(obj_mode="Total cost",Z154,IF(obj_mode="Shuttle cycle",O154,T154))</f>
        <v>2269560</v>
      </c>
      <c r="AG154" s="3" t="n">
        <f aca="false">IF(AE154=1,AF154*(1+A154*0.0000000001),1E+099)</f>
        <v>1E+099</v>
      </c>
      <c r="AH154" s="3" t="str">
        <f aca="false">IF(AE154=1,"",IF(K154&gt;H_max,"height",IF(AND(lane_policy&lt;&gt;"Free (optimize N_C)",B154&lt;&gt;sku_pal),"lane policy","footprint")))</f>
        <v>footprint</v>
      </c>
    </row>
    <row r="155" customFormat="false" ht="15" hidden="false" customHeight="true" outlineLevel="0" collapsed="false">
      <c r="A155" s="3" t="n">
        <v>148</v>
      </c>
      <c r="B155" s="3" t="n">
        <f aca="false">$I$3</f>
        <v>12</v>
      </c>
      <c r="C155" s="3" t="n">
        <v>8</v>
      </c>
      <c r="D155" s="46" t="n">
        <f aca="false">INDEX(Tc_pl,C155)</f>
        <v>0.6</v>
      </c>
      <c r="E155" s="47" t="n">
        <f aca="false">INDEX(Tc_S,C155)</f>
        <v>45.0988095238095</v>
      </c>
      <c r="F155" s="34" t="n">
        <f aca="false">lam_total*D155*E155/3600</f>
        <v>0.751646825396826</v>
      </c>
      <c r="G155" s="3" t="n">
        <f aca="false">IF(F155&lt;=0.000000000001,0,MAX(ROUNDUP(F155/rho_max-0.000000001,0),IF(redund="Yes",ROUNDUP(F155/rho_fail-0.000000001,0)+1,0)))</f>
        <v>2</v>
      </c>
      <c r="H155" s="3" t="n">
        <f aca="false">MAX(1,ROUNDUP((P_req/(B155*C155)+G155*lpl)/2-0.000000001,0))</f>
        <v>28</v>
      </c>
      <c r="I155" s="47" t="n">
        <f aca="false">H155*u_w</f>
        <v>28</v>
      </c>
      <c r="J155" s="47" t="n">
        <f aca="false">2*B155*u_d+aisle_w</f>
        <v>32.5</v>
      </c>
      <c r="K155" s="47" t="n">
        <f aca="false">C155*u_h</f>
        <v>17.2</v>
      </c>
      <c r="L155" s="47" t="n">
        <f aca="false">IF(G155=0,I155,I155/(2*G155))</f>
        <v>7</v>
      </c>
      <c r="M155" s="34" t="n">
        <f aca="false">((IF((lane_off+(L155))&lt;=(v_sh^2/a_sh),(4/3)*(lane_off+(L155))^1.5/SQRT(a_sh),(4/3)*(v_sh^2/a_sh)^1.5/SQRT(a_sh)+((lane_off+(L155))^2-(v_sh^2/a_sh)^2)/(2*v_sh)+(v_sh/a_sh)*((lane_off+(L155))-(v_sh^2/a_sh))))-(IF((lane_off)&lt;=(v_sh^2/a_sh),(4/3)*(lane_off)^1.5/SQRT(a_sh),(4/3)*(v_sh^2/a_sh)^1.5/SQRT(a_sh)+((lane_off)^2-(v_sh^2/a_sh)^2)/(2*v_sh)+(v_sh/a_sh)*((lane_off)-(v_sh^2/a_sh)))))/(L155)</f>
        <v>6.17418886797542</v>
      </c>
      <c r="N155" s="34" t="n">
        <f aca="false">IF(((B155-1)*u_d/2*(1+f_hc)+lane_off)&lt;=0,0,IF(((B155-1)*u_d/2*(1+f_hc)+lane_off)&gt;=v_sh^2/a_sh,((B155-1)*u_d/2*(1+f_hc)+lane_off)/v_sh+v_sh/a_sh,2*SQRT(((B155-1)*u_d/2*(1+f_hc)+lane_off)/a_sh)))</f>
        <v>9.85714285714286</v>
      </c>
      <c r="O155" s="47" t="n">
        <f aca="false">2*t_sh+2*t_turn+2*M155+2*N155</f>
        <v>90.0626634502366</v>
      </c>
      <c r="P155" s="47" t="n">
        <f aca="false">SUMPRODUCT((Tc_idx&lt;=C155)*(ROUNDUP(lam_total*INDEX(Tc_P,C155,0)*O155/(3600*rho_max)-0.000000001,0)+(ROUNDUP(lam_total*INDEX(Tc_P,C155,0)*O155/(3600*rho_max)-0.000000001,0)&lt;min_sh)*(min_sh-ROUNDUP(lam_total*INDEX(Tc_P,C155,0)*O155/(3600*rho_max)-0.000000001,0))))</f>
        <v>10</v>
      </c>
      <c r="Q155" s="3" t="n">
        <f aca="false">ROUNDUP(P155-0.000000001,0)+spares</f>
        <v>12</v>
      </c>
      <c r="R155" s="45" t="n">
        <f aca="false">B155*C155*(2*H155-G155*lpl)</f>
        <v>4800</v>
      </c>
      <c r="S155" s="45" t="n">
        <f aca="false">R155*fill</f>
        <v>4080</v>
      </c>
      <c r="T155" s="45" t="n">
        <f aca="false">I155*J155</f>
        <v>910</v>
      </c>
      <c r="U155" s="45" t="n">
        <f aca="false">T155*(K155+headroom)</f>
        <v>17017</v>
      </c>
      <c r="V155" s="45" t="n">
        <f aca="false">G155*c_lift</f>
        <v>300000</v>
      </c>
      <c r="W155" s="45" t="n">
        <f aca="false">Q155*c_shut</f>
        <v>600000</v>
      </c>
      <c r="X155" s="45" t="n">
        <f aca="false">R155*c_pos</f>
        <v>480000</v>
      </c>
      <c r="Y155" s="45" t="n">
        <f aca="false">T155*c_m2+U155*c_m3</f>
        <v>874510</v>
      </c>
      <c r="Z155" s="45" t="n">
        <f aca="false">SUM(V155:Y155)</f>
        <v>2254510</v>
      </c>
      <c r="AA155" s="34" t="n">
        <f aca="false">B155*u_d/(H155*u_w)</f>
        <v>0.557142857142857</v>
      </c>
      <c r="AB155" s="46" t="n">
        <f aca="false">IF(G155=0,0,F155/G155)</f>
        <v>0.375823412698413</v>
      </c>
      <c r="AC155" s="46" t="n">
        <f aca="false">IF(G155&gt;1,F155/(G155-1),"n/a")</f>
        <v>0.751646825396826</v>
      </c>
      <c r="AD155" s="47" t="n">
        <f aca="false">moves_day*m_pallet*9.81*INDEX(Tc_mh,C155)/3600000</f>
        <v>12.93612</v>
      </c>
      <c r="AE155" s="3" t="n">
        <f aca="false">IF(AND(K155&lt;=H_max,H155&lt;=300,OR(lane_policy="Free (optimize N_C)",B155=sku_pal),OR(env_use="No",AND(I155&lt;=L_bldg,J155&lt;=W_bldg),AND(I155&lt;=W_bldg,J155&lt;=L_bldg))),1,0)</f>
        <v>1</v>
      </c>
      <c r="AF155" s="48" t="n">
        <f aca="false">IF(obj_mode="Total cost",Z155,IF(obj_mode="Shuttle cycle",O155,T155))</f>
        <v>2254510</v>
      </c>
      <c r="AG155" s="3" t="n">
        <f aca="false">IF(AE155=1,AF155*(1+A155*0.0000000001),1E+099)</f>
        <v>2254510.03336675</v>
      </c>
      <c r="AH155" s="3" t="str">
        <f aca="false">IF(AE155=1,"",IF(K155&gt;H_max,"height",IF(AND(lane_policy&lt;&gt;"Free (optimize N_C)",B155&lt;&gt;sku_pal),"lane policy","footprint")))</f>
        <v/>
      </c>
    </row>
    <row r="156" customFormat="false" ht="15" hidden="false" customHeight="true" outlineLevel="0" collapsed="false">
      <c r="A156" s="3" t="n">
        <v>149</v>
      </c>
      <c r="B156" s="3" t="n">
        <f aca="false">$I$3</f>
        <v>12</v>
      </c>
      <c r="C156" s="3" t="n">
        <v>9</v>
      </c>
      <c r="D156" s="46" t="n">
        <f aca="false">INDEX(Tc_pl,C156)</f>
        <v>0.6</v>
      </c>
      <c r="E156" s="47" t="n">
        <f aca="false">INDEX(Tc_S,C156)</f>
        <v>45.2779761904762</v>
      </c>
      <c r="F156" s="34" t="n">
        <f aca="false">lam_total*D156*E156/3600</f>
        <v>0.754632936507936</v>
      </c>
      <c r="G156" s="3" t="n">
        <f aca="false">IF(F156&lt;=0.000000000001,0,MAX(ROUNDUP(F156/rho_max-0.000000001,0),IF(redund="Yes",ROUNDUP(F156/rho_fail-0.000000001,0)+1,0)))</f>
        <v>2</v>
      </c>
      <c r="H156" s="3" t="n">
        <f aca="false">MAX(1,ROUNDUP((P_req/(B156*C156)+G156*lpl)/2-0.000000001,0))</f>
        <v>25</v>
      </c>
      <c r="I156" s="47" t="n">
        <f aca="false">H156*u_w</f>
        <v>25</v>
      </c>
      <c r="J156" s="47" t="n">
        <f aca="false">2*B156*u_d+aisle_w</f>
        <v>32.5</v>
      </c>
      <c r="K156" s="47" t="n">
        <f aca="false">C156*u_h</f>
        <v>19.35</v>
      </c>
      <c r="L156" s="47" t="n">
        <f aca="false">IF(G156=0,I156,I156/(2*G156))</f>
        <v>6.25</v>
      </c>
      <c r="M156" s="34" t="n">
        <f aca="false">((IF((lane_off+(L156))&lt;=(v_sh^2/a_sh),(4/3)*(lane_off+(L156))^1.5/SQRT(a_sh),(4/3)*(v_sh^2/a_sh)^1.5/SQRT(a_sh)+((lane_off+(L156))^2-(v_sh^2/a_sh)^2)/(2*v_sh)+(v_sh/a_sh)*((lane_off+(L156))-(v_sh^2/a_sh))))-(IF((lane_off)&lt;=(v_sh^2/a_sh),(4/3)*(lane_off)^1.5/SQRT(a_sh),(4/3)*(v_sh^2/a_sh)^1.5/SQRT(a_sh)+((lane_off)^2-(v_sh^2/a_sh)^2)/(2*v_sh)+(v_sh/a_sh)*((lane_off)-(v_sh^2/a_sh)))))/(L156)</f>
        <v>5.89980581784675</v>
      </c>
      <c r="N156" s="34" t="n">
        <f aca="false">IF(((B156-1)*u_d/2*(1+f_hc)+lane_off)&lt;=0,0,IF(((B156-1)*u_d/2*(1+f_hc)+lane_off)&gt;=v_sh^2/a_sh,((B156-1)*u_d/2*(1+f_hc)+lane_off)/v_sh+v_sh/a_sh,2*SQRT(((B156-1)*u_d/2*(1+f_hc)+lane_off)/a_sh)))</f>
        <v>9.85714285714286</v>
      </c>
      <c r="O156" s="47" t="n">
        <f aca="false">2*t_sh+2*t_turn+2*M156+2*N156</f>
        <v>89.5138973499792</v>
      </c>
      <c r="P156" s="47" t="n">
        <f aca="false">SUMPRODUCT((Tc_idx&lt;=C156)*(ROUNDUP(lam_total*INDEX(Tc_P,C156,0)*O156/(3600*rho_max)-0.000000001,0)+(ROUNDUP(lam_total*INDEX(Tc_P,C156,0)*O156/(3600*rho_max)-0.000000001,0)&lt;min_sh)*(min_sh-ROUNDUP(lam_total*INDEX(Tc_P,C156,0)*O156/(3600*rho_max)-0.000000001,0))))</f>
        <v>11</v>
      </c>
      <c r="Q156" s="3" t="n">
        <f aca="false">ROUNDUP(P156-0.000000001,0)+spares</f>
        <v>13</v>
      </c>
      <c r="R156" s="45" t="n">
        <f aca="false">B156*C156*(2*H156-G156*lpl)</f>
        <v>4752</v>
      </c>
      <c r="S156" s="45" t="n">
        <f aca="false">R156*fill</f>
        <v>4039.2</v>
      </c>
      <c r="T156" s="45" t="n">
        <f aca="false">I156*J156</f>
        <v>812.5</v>
      </c>
      <c r="U156" s="45" t="n">
        <f aca="false">T156*(K156+headroom)</f>
        <v>16940.625</v>
      </c>
      <c r="V156" s="45" t="n">
        <f aca="false">G156*c_lift</f>
        <v>300000</v>
      </c>
      <c r="W156" s="45" t="n">
        <f aca="false">Q156*c_shut</f>
        <v>650000</v>
      </c>
      <c r="X156" s="45" t="n">
        <f aca="false">R156*c_pos</f>
        <v>475200</v>
      </c>
      <c r="Y156" s="45" t="n">
        <f aca="false">T156*c_m2+U156*c_m3</f>
        <v>833218.75</v>
      </c>
      <c r="Z156" s="45" t="n">
        <f aca="false">SUM(V156:Y156)</f>
        <v>2258418.75</v>
      </c>
      <c r="AA156" s="34" t="n">
        <f aca="false">B156*u_d/(H156*u_w)</f>
        <v>0.624</v>
      </c>
      <c r="AB156" s="46" t="n">
        <f aca="false">IF(G156=0,0,F156/G156)</f>
        <v>0.377316468253968</v>
      </c>
      <c r="AC156" s="46" t="n">
        <f aca="false">IF(G156&gt;1,F156/(G156-1),"n/a")</f>
        <v>0.754632936507936</v>
      </c>
      <c r="AD156" s="47" t="n">
        <f aca="false">moves_day*m_pallet*9.81*INDEX(Tc_mh,C156)/3600000</f>
        <v>13.21734</v>
      </c>
      <c r="AE156" s="3" t="n">
        <f aca="false">IF(AND(K156&lt;=H_max,H156&lt;=300,OR(lane_policy="Free (optimize N_C)",B156=sku_pal),OR(env_use="No",AND(I156&lt;=L_bldg,J156&lt;=W_bldg),AND(I156&lt;=W_bldg,J156&lt;=L_bldg))),1,0)</f>
        <v>1</v>
      </c>
      <c r="AF156" s="48" t="n">
        <f aca="false">IF(obj_mode="Total cost",Z156,IF(obj_mode="Shuttle cycle",O156,T156))</f>
        <v>2258418.75</v>
      </c>
      <c r="AG156" s="3" t="n">
        <f aca="false">IF(AE156=1,AF156*(1+A156*0.0000000001),1E+099)</f>
        <v>2258418.78365044</v>
      </c>
      <c r="AH156" s="3" t="str">
        <f aca="false">IF(AE156=1,"",IF(K156&gt;H_max,"height",IF(AND(lane_policy&lt;&gt;"Free (optimize N_C)",B156&lt;&gt;sku_pal),"lane policy","footprint")))</f>
        <v/>
      </c>
    </row>
    <row r="157" customFormat="false" ht="15" hidden="false" customHeight="true" outlineLevel="0" collapsed="false">
      <c r="A157" s="3" t="n">
        <v>150</v>
      </c>
      <c r="B157" s="3" t="n">
        <f aca="false">$I$3</f>
        <v>12</v>
      </c>
      <c r="C157" s="3" t="n">
        <v>10</v>
      </c>
      <c r="D157" s="46" t="n">
        <f aca="false">INDEX(Tc_pl,C157)</f>
        <v>0.6</v>
      </c>
      <c r="E157" s="47" t="n">
        <f aca="false">INDEX(Tc_S,C157)</f>
        <v>45.4571428571429</v>
      </c>
      <c r="F157" s="34" t="n">
        <f aca="false">lam_total*D157*E157/3600</f>
        <v>0.757619047619048</v>
      </c>
      <c r="G157" s="3" t="n">
        <f aca="false">IF(F157&lt;=0.000000000001,0,MAX(ROUNDUP(F157/rho_max-0.000000001,0),IF(redund="Yes",ROUNDUP(F157/rho_fail-0.000000001,0)+1,0)))</f>
        <v>2</v>
      </c>
      <c r="H157" s="3" t="n">
        <f aca="false">MAX(1,ROUNDUP((P_req/(B157*C157)+G157*lpl)/2-0.000000001,0))</f>
        <v>23</v>
      </c>
      <c r="I157" s="47" t="n">
        <f aca="false">H157*u_w</f>
        <v>23</v>
      </c>
      <c r="J157" s="47" t="n">
        <f aca="false">2*B157*u_d+aisle_w</f>
        <v>32.5</v>
      </c>
      <c r="K157" s="47" t="n">
        <f aca="false">C157*u_h</f>
        <v>21.5</v>
      </c>
      <c r="L157" s="47" t="n">
        <f aca="false">IF(G157=0,I157,I157/(2*G157))</f>
        <v>5.75</v>
      </c>
      <c r="M157" s="34" t="n">
        <f aca="false">((IF((lane_off+(L157))&lt;=(v_sh^2/a_sh),(4/3)*(lane_off+(L157))^1.5/SQRT(a_sh),(4/3)*(v_sh^2/a_sh)^1.5/SQRT(a_sh)+((lane_off+(L157))^2-(v_sh^2/a_sh)^2)/(2*v_sh)+(v_sh/a_sh)*((lane_off+(L157))-(v_sh^2/a_sh))))-(IF((lane_off)&lt;=(v_sh^2/a_sh),(4/3)*(lane_off)^1.5/SQRT(a_sh),(4/3)*(v_sh^2/a_sh)^1.5/SQRT(a_sh)+((lane_off)^2-(v_sh^2/a_sh)^2)/(2*v_sh)+(v_sh/a_sh)*((lane_off)-(v_sh^2/a_sh)))))/(L157)</f>
        <v>5.71593800076511</v>
      </c>
      <c r="N157" s="34" t="n">
        <f aca="false">IF(((B157-1)*u_d/2*(1+f_hc)+lane_off)&lt;=0,0,IF(((B157-1)*u_d/2*(1+f_hc)+lane_off)&gt;=v_sh^2/a_sh,((B157-1)*u_d/2*(1+f_hc)+lane_off)/v_sh+v_sh/a_sh,2*SQRT(((B157-1)*u_d/2*(1+f_hc)+lane_off)/a_sh)))</f>
        <v>9.85714285714286</v>
      </c>
      <c r="O157" s="47" t="n">
        <f aca="false">2*t_sh+2*t_turn+2*M157+2*N157</f>
        <v>89.1461617158159</v>
      </c>
      <c r="P157" s="47" t="n">
        <f aca="false">SUMPRODUCT((Tc_idx&lt;=C157)*(ROUNDUP(lam_total*INDEX(Tc_P,C157,0)*O157/(3600*rho_max)-0.000000001,0)+(ROUNDUP(lam_total*INDEX(Tc_P,C157,0)*O157/(3600*rho_max)-0.000000001,0)&lt;min_sh)*(min_sh-ROUNDUP(lam_total*INDEX(Tc_P,C157,0)*O157/(3600*rho_max)-0.000000001,0))))</f>
        <v>12</v>
      </c>
      <c r="Q157" s="3" t="n">
        <f aca="false">ROUNDUP(P157-0.000000001,0)+spares</f>
        <v>14</v>
      </c>
      <c r="R157" s="45" t="n">
        <f aca="false">B157*C157*(2*H157-G157*lpl)</f>
        <v>4800</v>
      </c>
      <c r="S157" s="45" t="n">
        <f aca="false">R157*fill</f>
        <v>4080</v>
      </c>
      <c r="T157" s="45" t="n">
        <f aca="false">I157*J157</f>
        <v>747.5</v>
      </c>
      <c r="U157" s="45" t="n">
        <f aca="false">T157*(K157+headroom)</f>
        <v>17192.5</v>
      </c>
      <c r="V157" s="45" t="n">
        <f aca="false">G157*c_lift</f>
        <v>300000</v>
      </c>
      <c r="W157" s="45" t="n">
        <f aca="false">Q157*c_shut</f>
        <v>700000</v>
      </c>
      <c r="X157" s="45" t="n">
        <f aca="false">R157*c_pos</f>
        <v>480000</v>
      </c>
      <c r="Y157" s="45" t="n">
        <f aca="false">T157*c_m2+U157*c_m3</f>
        <v>814775</v>
      </c>
      <c r="Z157" s="45" t="n">
        <f aca="false">SUM(V157:Y157)</f>
        <v>2294775</v>
      </c>
      <c r="AA157" s="34" t="n">
        <f aca="false">B157*u_d/(H157*u_w)</f>
        <v>0.678260869565218</v>
      </c>
      <c r="AB157" s="46" t="n">
        <f aca="false">IF(G157=0,0,F157/G157)</f>
        <v>0.378809523809524</v>
      </c>
      <c r="AC157" s="46" t="n">
        <f aca="false">IF(G157&gt;1,F157/(G157-1),"n/a")</f>
        <v>0.757619047619048</v>
      </c>
      <c r="AD157" s="47" t="n">
        <f aca="false">moves_day*m_pallet*9.81*INDEX(Tc_mh,C157)/3600000</f>
        <v>13.49856</v>
      </c>
      <c r="AE157" s="3" t="n">
        <f aca="false">IF(AND(K157&lt;=H_max,H157&lt;=300,OR(lane_policy="Free (optimize N_C)",B157=sku_pal),OR(env_use="No",AND(I157&lt;=L_bldg,J157&lt;=W_bldg),AND(I157&lt;=W_bldg,J157&lt;=L_bldg))),1,0)</f>
        <v>0</v>
      </c>
      <c r="AF157" s="48" t="n">
        <f aca="false">IF(obj_mode="Total cost",Z157,IF(obj_mode="Shuttle cycle",O157,T157))</f>
        <v>2294775</v>
      </c>
      <c r="AG157" s="3" t="n">
        <f aca="false">IF(AE157=1,AF157*(1+A157*0.0000000001),1E+099)</f>
        <v>1E+099</v>
      </c>
      <c r="AH157" s="3" t="str">
        <f aca="false">IF(AE157=1,"",IF(K157&gt;H_max,"height",IF(AND(lane_policy&lt;&gt;"Free (optimize N_C)",B157&lt;&gt;sku_pal),"lane policy","footprint")))</f>
        <v>height</v>
      </c>
    </row>
    <row r="158" customFormat="false" ht="15" hidden="false" customHeight="true" outlineLevel="0" collapsed="false">
      <c r="A158" s="3" t="n">
        <v>151</v>
      </c>
      <c r="B158" s="3" t="n">
        <f aca="false">$I$3</f>
        <v>12</v>
      </c>
      <c r="C158" s="3" t="n">
        <v>11</v>
      </c>
      <c r="D158" s="46" t="n">
        <f aca="false">INDEX(Tc_pl,C158)</f>
        <v>0.6</v>
      </c>
      <c r="E158" s="47" t="n">
        <f aca="false">INDEX(Tc_S,C158)</f>
        <v>45.6363095238095</v>
      </c>
      <c r="F158" s="34" t="n">
        <f aca="false">lam_total*D158*E158/3600</f>
        <v>0.760605158730159</v>
      </c>
      <c r="G158" s="3" t="n">
        <f aca="false">IF(F158&lt;=0.000000000001,0,MAX(ROUNDUP(F158/rho_max-0.000000001,0),IF(redund="Yes",ROUNDUP(F158/rho_fail-0.000000001,0)+1,0)))</f>
        <v>2</v>
      </c>
      <c r="H158" s="3" t="n">
        <f aca="false">MAX(1,ROUNDUP((P_req/(B158*C158)+G158*lpl)/2-0.000000001,0))</f>
        <v>21</v>
      </c>
      <c r="I158" s="47" t="n">
        <f aca="false">H158*u_w</f>
        <v>21</v>
      </c>
      <c r="J158" s="47" t="n">
        <f aca="false">2*B158*u_d+aisle_w</f>
        <v>32.5</v>
      </c>
      <c r="K158" s="47" t="n">
        <f aca="false">C158*u_h</f>
        <v>23.65</v>
      </c>
      <c r="L158" s="47" t="n">
        <f aca="false">IF(G158=0,I158,I158/(2*G158))</f>
        <v>5.25</v>
      </c>
      <c r="M158" s="34" t="n">
        <f aca="false">((IF((lane_off+(L158))&lt;=(v_sh^2/a_sh),(4/3)*(lane_off+(L158))^1.5/SQRT(a_sh),(4/3)*(v_sh^2/a_sh)^1.5/SQRT(a_sh)+((lane_off+(L158))^2-(v_sh^2/a_sh)^2)/(2*v_sh)+(v_sh/a_sh)*((lane_off+(L158))-(v_sh^2/a_sh))))-(IF((lane_off)&lt;=(v_sh^2/a_sh),(4/3)*(lane_off)^1.5/SQRT(a_sh),(4/3)*(v_sh^2/a_sh)^1.5/SQRT(a_sh)+((lane_off)^2-(v_sh^2/a_sh)^2)/(2*v_sh)+(v_sh/a_sh)*((lane_off)-(v_sh^2/a_sh)))))/(L158)</f>
        <v>5.53106134777675</v>
      </c>
      <c r="N158" s="34" t="n">
        <f aca="false">IF(((B158-1)*u_d/2*(1+f_hc)+lane_off)&lt;=0,0,IF(((B158-1)*u_d/2*(1+f_hc)+lane_off)&gt;=v_sh^2/a_sh,((B158-1)*u_d/2*(1+f_hc)+lane_off)/v_sh+v_sh/a_sh,2*SQRT(((B158-1)*u_d/2*(1+f_hc)+lane_off)/a_sh)))</f>
        <v>9.85714285714286</v>
      </c>
      <c r="O158" s="47" t="n">
        <f aca="false">2*t_sh+2*t_turn+2*M158+2*N158</f>
        <v>88.7764084098392</v>
      </c>
      <c r="P158" s="47" t="n">
        <f aca="false">SUMPRODUCT((Tc_idx&lt;=C158)*(ROUNDUP(lam_total*INDEX(Tc_P,C158,0)*O158/(3600*rho_max)-0.000000001,0)+(ROUNDUP(lam_total*INDEX(Tc_P,C158,0)*O158/(3600*rho_max)-0.000000001,0)&lt;min_sh)*(min_sh-ROUNDUP(lam_total*INDEX(Tc_P,C158,0)*O158/(3600*rho_max)-0.000000001,0))))</f>
        <v>13</v>
      </c>
      <c r="Q158" s="3" t="n">
        <f aca="false">ROUNDUP(P158-0.000000001,0)+spares</f>
        <v>15</v>
      </c>
      <c r="R158" s="45" t="n">
        <f aca="false">B158*C158*(2*H158-G158*lpl)</f>
        <v>4752</v>
      </c>
      <c r="S158" s="45" t="n">
        <f aca="false">R158*fill</f>
        <v>4039.2</v>
      </c>
      <c r="T158" s="45" t="n">
        <f aca="false">I158*J158</f>
        <v>682.5</v>
      </c>
      <c r="U158" s="45" t="n">
        <f aca="false">T158*(K158+headroom)</f>
        <v>17164.875</v>
      </c>
      <c r="V158" s="45" t="n">
        <f aca="false">G158*c_lift</f>
        <v>300000</v>
      </c>
      <c r="W158" s="45" t="n">
        <f aca="false">Q158*c_shut</f>
        <v>750000</v>
      </c>
      <c r="X158" s="45" t="n">
        <f aca="false">R158*c_pos</f>
        <v>475200</v>
      </c>
      <c r="Y158" s="45" t="n">
        <f aca="false">T158*c_m2+U158*c_m3</f>
        <v>787946.25</v>
      </c>
      <c r="Z158" s="45" t="n">
        <f aca="false">SUM(V158:Y158)</f>
        <v>2313146.25</v>
      </c>
      <c r="AA158" s="34" t="n">
        <f aca="false">B158*u_d/(H158*u_w)</f>
        <v>0.742857142857143</v>
      </c>
      <c r="AB158" s="46" t="n">
        <f aca="false">IF(G158=0,0,F158/G158)</f>
        <v>0.380302579365079</v>
      </c>
      <c r="AC158" s="46" t="n">
        <f aca="false">IF(G158&gt;1,F158/(G158-1),"n/a")</f>
        <v>0.760605158730159</v>
      </c>
      <c r="AD158" s="47" t="n">
        <f aca="false">moves_day*m_pallet*9.81*INDEX(Tc_mh,C158)/3600000</f>
        <v>13.77978</v>
      </c>
      <c r="AE158" s="3" t="n">
        <f aca="false">IF(AND(K158&lt;=H_max,H158&lt;=300,OR(lane_policy="Free (optimize N_C)",B158=sku_pal),OR(env_use="No",AND(I158&lt;=L_bldg,J158&lt;=W_bldg),AND(I158&lt;=W_bldg,J158&lt;=L_bldg))),1,0)</f>
        <v>0</v>
      </c>
      <c r="AF158" s="48" t="n">
        <f aca="false">IF(obj_mode="Total cost",Z158,IF(obj_mode="Shuttle cycle",O158,T158))</f>
        <v>2313146.25</v>
      </c>
      <c r="AG158" s="3" t="n">
        <f aca="false">IF(AE158=1,AF158*(1+A158*0.0000000001),1E+099)</f>
        <v>1E+099</v>
      </c>
      <c r="AH158" s="3" t="str">
        <f aca="false">IF(AE158=1,"",IF(K158&gt;H_max,"height",IF(AND(lane_policy&lt;&gt;"Free (optimize N_C)",B158&lt;&gt;sku_pal),"lane policy","footprint")))</f>
        <v>height</v>
      </c>
    </row>
    <row r="159" customFormat="false" ht="15" hidden="false" customHeight="true" outlineLevel="0" collapsed="false">
      <c r="A159" s="3" t="n">
        <v>152</v>
      </c>
      <c r="B159" s="3" t="n">
        <f aca="false">$I$3</f>
        <v>12</v>
      </c>
      <c r="C159" s="3" t="n">
        <v>12</v>
      </c>
      <c r="D159" s="46" t="n">
        <f aca="false">INDEX(Tc_pl,C159)</f>
        <v>0.6</v>
      </c>
      <c r="E159" s="47" t="n">
        <f aca="false">INDEX(Tc_S,C159)</f>
        <v>45.8154761904762</v>
      </c>
      <c r="F159" s="34" t="n">
        <f aca="false">lam_total*D159*E159/3600</f>
        <v>0.76359126984127</v>
      </c>
      <c r="G159" s="3" t="n">
        <f aca="false">IF(F159&lt;=0.000000000001,0,MAX(ROUNDUP(F159/rho_max-0.000000001,0),IF(redund="Yes",ROUNDUP(F159/rho_fail-0.000000001,0)+1,0)))</f>
        <v>2</v>
      </c>
      <c r="H159" s="3" t="n">
        <f aca="false">MAX(1,ROUNDUP((P_req/(B159*C159)+G159*lpl)/2-0.000000001,0))</f>
        <v>20</v>
      </c>
      <c r="I159" s="47" t="n">
        <f aca="false">H159*u_w</f>
        <v>20</v>
      </c>
      <c r="J159" s="47" t="n">
        <f aca="false">2*B159*u_d+aisle_w</f>
        <v>32.5</v>
      </c>
      <c r="K159" s="47" t="n">
        <f aca="false">C159*u_h</f>
        <v>25.8</v>
      </c>
      <c r="L159" s="47" t="n">
        <f aca="false">IF(G159=0,I159,I159/(2*G159))</f>
        <v>5</v>
      </c>
      <c r="M159" s="34" t="n">
        <f aca="false">((IF((lane_off+(L159))&lt;=(v_sh^2/a_sh),(4/3)*(lane_off+(L159))^1.5/SQRT(a_sh),(4/3)*(v_sh^2/a_sh)^1.5/SQRT(a_sh)+((lane_off+(L159))^2-(v_sh^2/a_sh)^2)/(2*v_sh)+(v_sh/a_sh)*((lane_off+(L159))-(v_sh^2/a_sh))))-(IF((lane_off)&lt;=(v_sh^2/a_sh),(4/3)*(lane_off)^1.5/SQRT(a_sh),(4/3)*(v_sh^2/a_sh)^1.5/SQRT(a_sh)+((lane_off)^2-(v_sh^2/a_sh)^2)/(2*v_sh)+(v_sh/a_sh)*((lane_off)-(v_sh^2/a_sh)))))/(L159)</f>
        <v>5.4381501294513</v>
      </c>
      <c r="N159" s="34" t="n">
        <f aca="false">IF(((B159-1)*u_d/2*(1+f_hc)+lane_off)&lt;=0,0,IF(((B159-1)*u_d/2*(1+f_hc)+lane_off)&gt;=v_sh^2/a_sh,((B159-1)*u_d/2*(1+f_hc)+lane_off)/v_sh+v_sh/a_sh,2*SQRT(((B159-1)*u_d/2*(1+f_hc)+lane_off)/a_sh)))</f>
        <v>9.85714285714286</v>
      </c>
      <c r="O159" s="47" t="n">
        <f aca="false">2*t_sh+2*t_turn+2*M159+2*N159</f>
        <v>88.5905859731883</v>
      </c>
      <c r="P159" s="47" t="n">
        <f aca="false">SUMPRODUCT((Tc_idx&lt;=C159)*(ROUNDUP(lam_total*INDEX(Tc_P,C159,0)*O159/(3600*rho_max)-0.000000001,0)+(ROUNDUP(lam_total*INDEX(Tc_P,C159,0)*O159/(3600*rho_max)-0.000000001,0)&lt;min_sh)*(min_sh-ROUNDUP(lam_total*INDEX(Tc_P,C159,0)*O159/(3600*rho_max)-0.000000001,0))))</f>
        <v>14</v>
      </c>
      <c r="Q159" s="3" t="n">
        <f aca="false">ROUNDUP(P159-0.000000001,0)+spares</f>
        <v>16</v>
      </c>
      <c r="R159" s="45" t="n">
        <f aca="false">B159*C159*(2*H159-G159*lpl)</f>
        <v>4896</v>
      </c>
      <c r="S159" s="45" t="n">
        <f aca="false">R159*fill</f>
        <v>4161.6</v>
      </c>
      <c r="T159" s="45" t="n">
        <f aca="false">I159*J159</f>
        <v>650</v>
      </c>
      <c r="U159" s="45" t="n">
        <f aca="false">T159*(K159+headroom)</f>
        <v>17745</v>
      </c>
      <c r="V159" s="45" t="n">
        <f aca="false">G159*c_lift</f>
        <v>300000</v>
      </c>
      <c r="W159" s="45" t="n">
        <f aca="false">Q159*c_shut</f>
        <v>800000</v>
      </c>
      <c r="X159" s="45" t="n">
        <f aca="false">R159*c_pos</f>
        <v>489600</v>
      </c>
      <c r="Y159" s="45" t="n">
        <f aca="false">T159*c_m2+U159*c_m3</f>
        <v>792350</v>
      </c>
      <c r="Z159" s="45" t="n">
        <f aca="false">SUM(V159:Y159)</f>
        <v>2381950</v>
      </c>
      <c r="AA159" s="34" t="n">
        <f aca="false">B159*u_d/(H159*u_w)</f>
        <v>0.78</v>
      </c>
      <c r="AB159" s="46" t="n">
        <f aca="false">IF(G159=0,0,F159/G159)</f>
        <v>0.381795634920635</v>
      </c>
      <c r="AC159" s="46" t="n">
        <f aca="false">IF(G159&gt;1,F159/(G159-1),"n/a")</f>
        <v>0.76359126984127</v>
      </c>
      <c r="AD159" s="47" t="n">
        <f aca="false">moves_day*m_pallet*9.81*INDEX(Tc_mh,C159)/3600000</f>
        <v>14.061</v>
      </c>
      <c r="AE159" s="3" t="n">
        <f aca="false">IF(AND(K159&lt;=H_max,H159&lt;=300,OR(lane_policy="Free (optimize N_C)",B159=sku_pal),OR(env_use="No",AND(I159&lt;=L_bldg,J159&lt;=W_bldg),AND(I159&lt;=W_bldg,J159&lt;=L_bldg))),1,0)</f>
        <v>0</v>
      </c>
      <c r="AF159" s="48" t="n">
        <f aca="false">IF(obj_mode="Total cost",Z159,IF(obj_mode="Shuttle cycle",O159,T159))</f>
        <v>2381950</v>
      </c>
      <c r="AG159" s="3" t="n">
        <f aca="false">IF(AE159=1,AF159*(1+A159*0.0000000001),1E+099)</f>
        <v>1E+099</v>
      </c>
      <c r="AH159" s="3" t="str">
        <f aca="false">IF(AE159=1,"",IF(K159&gt;H_max,"height",IF(AND(lane_policy&lt;&gt;"Free (optimize N_C)",B159&lt;&gt;sku_pal),"lane policy","footprint")))</f>
        <v>height</v>
      </c>
    </row>
    <row r="160" customFormat="false" ht="15" hidden="false" customHeight="true" outlineLevel="0" collapsed="false">
      <c r="A160" s="3" t="n">
        <v>153</v>
      </c>
      <c r="B160" s="3" t="n">
        <f aca="false">$I$3</f>
        <v>12</v>
      </c>
      <c r="C160" s="3" t="n">
        <v>13</v>
      </c>
      <c r="D160" s="46" t="n">
        <f aca="false">INDEX(Tc_pl,C160)</f>
        <v>0.6</v>
      </c>
      <c r="E160" s="47" t="n">
        <f aca="false">INDEX(Tc_S,C160)</f>
        <v>45.9946428571429</v>
      </c>
      <c r="F160" s="34" t="n">
        <f aca="false">lam_total*D160*E160/3600</f>
        <v>0.766577380952381</v>
      </c>
      <c r="G160" s="3" t="n">
        <f aca="false">IF(F160&lt;=0.000000000001,0,MAX(ROUNDUP(F160/rho_max-0.000000001,0),IF(redund="Yes",ROUNDUP(F160/rho_fail-0.000000001,0)+1,0)))</f>
        <v>2</v>
      </c>
      <c r="H160" s="3" t="n">
        <f aca="false">MAX(1,ROUNDUP((P_req/(B160*C160)+G160*lpl)/2-0.000000001,0))</f>
        <v>19</v>
      </c>
      <c r="I160" s="47" t="n">
        <f aca="false">H160*u_w</f>
        <v>19</v>
      </c>
      <c r="J160" s="47" t="n">
        <f aca="false">2*B160*u_d+aisle_w</f>
        <v>32.5</v>
      </c>
      <c r="K160" s="47" t="n">
        <f aca="false">C160*u_h</f>
        <v>27.95</v>
      </c>
      <c r="L160" s="47" t="n">
        <f aca="false">IF(G160=0,I160,I160/(2*G160))</f>
        <v>4.75</v>
      </c>
      <c r="M160" s="34" t="n">
        <f aca="false">((IF((lane_off+(L160))&lt;=(v_sh^2/a_sh),(4/3)*(lane_off+(L160))^1.5/SQRT(a_sh),(4/3)*(v_sh^2/a_sh)^1.5/SQRT(a_sh)+((lane_off+(L160))^2-(v_sh^2/a_sh)^2)/(2*v_sh)+(v_sh/a_sh)*((lane_off+(L160))-(v_sh^2/a_sh))))-(IF((lane_off)&lt;=(v_sh^2/a_sh),(4/3)*(lane_off)^1.5/SQRT(a_sh),(4/3)*(v_sh^2/a_sh)^1.5/SQRT(a_sh)+((lane_off)^2-(v_sh^2/a_sh)^2)/(2*v_sh)+(v_sh/a_sh)*((lane_off)-(v_sh^2/a_sh)))))/(L160)</f>
        <v>5.34485727912167</v>
      </c>
      <c r="N160" s="34" t="n">
        <f aca="false">IF(((B160-1)*u_d/2*(1+f_hc)+lane_off)&lt;=0,0,IF(((B160-1)*u_d/2*(1+f_hc)+lane_off)&gt;=v_sh^2/a_sh,((B160-1)*u_d/2*(1+f_hc)+lane_off)/v_sh+v_sh/a_sh,2*SQRT(((B160-1)*u_d/2*(1+f_hc)+lane_off)/a_sh)))</f>
        <v>9.85714285714286</v>
      </c>
      <c r="O160" s="47" t="n">
        <f aca="false">2*t_sh+2*t_turn+2*M160+2*N160</f>
        <v>88.4040002725291</v>
      </c>
      <c r="P160" s="47" t="n">
        <f aca="false">SUMPRODUCT((Tc_idx&lt;=C160)*(ROUNDUP(lam_total*INDEX(Tc_P,C160,0)*O160/(3600*rho_max)-0.000000001,0)+(ROUNDUP(lam_total*INDEX(Tc_P,C160,0)*O160/(3600*rho_max)-0.000000001,0)&lt;min_sh)*(min_sh-ROUNDUP(lam_total*INDEX(Tc_P,C160,0)*O160/(3600*rho_max)-0.000000001,0))))</f>
        <v>15</v>
      </c>
      <c r="Q160" s="3" t="n">
        <f aca="false">ROUNDUP(P160-0.000000001,0)+spares</f>
        <v>17</v>
      </c>
      <c r="R160" s="45" t="n">
        <f aca="false">B160*C160*(2*H160-G160*lpl)</f>
        <v>4992</v>
      </c>
      <c r="S160" s="45" t="n">
        <f aca="false">R160*fill</f>
        <v>4243.2</v>
      </c>
      <c r="T160" s="45" t="n">
        <f aca="false">I160*J160</f>
        <v>617.5</v>
      </c>
      <c r="U160" s="45" t="n">
        <f aca="false">T160*(K160+headroom)</f>
        <v>18185.375</v>
      </c>
      <c r="V160" s="45" t="n">
        <f aca="false">G160*c_lift</f>
        <v>300000</v>
      </c>
      <c r="W160" s="45" t="n">
        <f aca="false">Q160*c_shut</f>
        <v>850000</v>
      </c>
      <c r="X160" s="45" t="n">
        <f aca="false">R160*c_pos</f>
        <v>499200</v>
      </c>
      <c r="Y160" s="45" t="n">
        <f aca="false">T160*c_m2+U160*c_m3</f>
        <v>792561.25</v>
      </c>
      <c r="Z160" s="45" t="n">
        <f aca="false">SUM(V160:Y160)</f>
        <v>2441761.25</v>
      </c>
      <c r="AA160" s="34" t="n">
        <f aca="false">B160*u_d/(H160*u_w)</f>
        <v>0.821052631578948</v>
      </c>
      <c r="AB160" s="46" t="n">
        <f aca="false">IF(G160=0,0,F160/G160)</f>
        <v>0.383288690476191</v>
      </c>
      <c r="AC160" s="46" t="n">
        <f aca="false">IF(G160&gt;1,F160/(G160-1),"n/a")</f>
        <v>0.766577380952381</v>
      </c>
      <c r="AD160" s="47" t="n">
        <f aca="false">moves_day*m_pallet*9.81*INDEX(Tc_mh,C160)/3600000</f>
        <v>14.34222</v>
      </c>
      <c r="AE160" s="3" t="n">
        <f aca="false">IF(AND(K160&lt;=H_max,H160&lt;=300,OR(lane_policy="Free (optimize N_C)",B160=sku_pal),OR(env_use="No",AND(I160&lt;=L_bldg,J160&lt;=W_bldg),AND(I160&lt;=W_bldg,J160&lt;=L_bldg))),1,0)</f>
        <v>0</v>
      </c>
      <c r="AF160" s="48" t="n">
        <f aca="false">IF(obj_mode="Total cost",Z160,IF(obj_mode="Shuttle cycle",O160,T160))</f>
        <v>2441761.25</v>
      </c>
      <c r="AG160" s="3" t="n">
        <f aca="false">IF(AE160=1,AF160*(1+A160*0.0000000001),1E+099)</f>
        <v>1E+099</v>
      </c>
      <c r="AH160" s="3" t="str">
        <f aca="false">IF(AE160=1,"",IF(K160&gt;H_max,"height",IF(AND(lane_policy&lt;&gt;"Free (optimize N_C)",B160&lt;&gt;sku_pal),"lane policy","footprint")))</f>
        <v>height</v>
      </c>
    </row>
    <row r="161" customFormat="false" ht="15" hidden="false" customHeight="true" outlineLevel="0" collapsed="false">
      <c r="A161" s="3" t="n">
        <v>154</v>
      </c>
      <c r="B161" s="3" t="n">
        <f aca="false">$I$3</f>
        <v>12</v>
      </c>
      <c r="C161" s="3" t="n">
        <v>14</v>
      </c>
      <c r="D161" s="46" t="n">
        <f aca="false">INDEX(Tc_pl,C161)</f>
        <v>0.6</v>
      </c>
      <c r="E161" s="47" t="n">
        <f aca="false">INDEX(Tc_S,C161)</f>
        <v>46.1738095238095</v>
      </c>
      <c r="F161" s="34" t="n">
        <f aca="false">lam_total*D161*E161/3600</f>
        <v>0.769563492063492</v>
      </c>
      <c r="G161" s="3" t="n">
        <f aca="false">IF(F161&lt;=0.000000000001,0,MAX(ROUNDUP(F161/rho_max-0.000000001,0),IF(redund="Yes",ROUNDUP(F161/rho_fail-0.000000001,0)+1,0)))</f>
        <v>2</v>
      </c>
      <c r="H161" s="3" t="n">
        <f aca="false">MAX(1,ROUNDUP((P_req/(B161*C161)+G161*lpl)/2-0.000000001,0))</f>
        <v>18</v>
      </c>
      <c r="I161" s="47" t="n">
        <f aca="false">H161*u_w</f>
        <v>18</v>
      </c>
      <c r="J161" s="47" t="n">
        <f aca="false">2*B161*u_d+aisle_w</f>
        <v>32.5</v>
      </c>
      <c r="K161" s="47" t="n">
        <f aca="false">C161*u_h</f>
        <v>30.1</v>
      </c>
      <c r="L161" s="47" t="n">
        <f aca="false">IF(G161=0,I161,I161/(2*G161))</f>
        <v>4.5</v>
      </c>
      <c r="M161" s="34" t="n">
        <f aca="false">((IF((lane_off+(L161))&lt;=(v_sh^2/a_sh),(4/3)*(lane_off+(L161))^1.5/SQRT(a_sh),(4/3)*(v_sh^2/a_sh)^1.5/SQRT(a_sh)+((lane_off+(L161))^2-(v_sh^2/a_sh)^2)/(2*v_sh)+(v_sh/a_sh)*((lane_off+(L161))-(v_sh^2/a_sh))))-(IF((lane_off)&lt;=(v_sh^2/a_sh),(4/3)*(lane_off)^1.5/SQRT(a_sh),(4/3)*(v_sh^2/a_sh)^1.5/SQRT(a_sh)+((lane_off)^2-(v_sh^2/a_sh)^2)/(2*v_sh)+(v_sh/a_sh)*((lane_off)-(v_sh^2/a_sh)))))/(L161)</f>
        <v>5.25111919145383</v>
      </c>
      <c r="N161" s="34" t="n">
        <f aca="false">IF(((B161-1)*u_d/2*(1+f_hc)+lane_off)&lt;=0,0,IF(((B161-1)*u_d/2*(1+f_hc)+lane_off)&gt;=v_sh^2/a_sh,((B161-1)*u_d/2*(1+f_hc)+lane_off)/v_sh+v_sh/a_sh,2*SQRT(((B161-1)*u_d/2*(1+f_hc)+lane_off)/a_sh)))</f>
        <v>9.85714285714286</v>
      </c>
      <c r="O161" s="47" t="n">
        <f aca="false">2*t_sh+2*t_turn+2*M161+2*N161</f>
        <v>88.2165240971934</v>
      </c>
      <c r="P161" s="47" t="n">
        <f aca="false">SUMPRODUCT((Tc_idx&lt;=C161)*(ROUNDUP(lam_total*INDEX(Tc_P,C161,0)*O161/(3600*rho_max)-0.000000001,0)+(ROUNDUP(lam_total*INDEX(Tc_P,C161,0)*O161/(3600*rho_max)-0.000000001,0)&lt;min_sh)*(min_sh-ROUNDUP(lam_total*INDEX(Tc_P,C161,0)*O161/(3600*rho_max)-0.000000001,0))))</f>
        <v>16</v>
      </c>
      <c r="Q161" s="3" t="n">
        <f aca="false">ROUNDUP(P161-0.000000001,0)+spares</f>
        <v>18</v>
      </c>
      <c r="R161" s="45" t="n">
        <f aca="false">B161*C161*(2*H161-G161*lpl)</f>
        <v>5040</v>
      </c>
      <c r="S161" s="45" t="n">
        <f aca="false">R161*fill</f>
        <v>4284</v>
      </c>
      <c r="T161" s="45" t="n">
        <f aca="false">I161*J161</f>
        <v>585</v>
      </c>
      <c r="U161" s="45" t="n">
        <f aca="false">T161*(K161+headroom)</f>
        <v>18486</v>
      </c>
      <c r="V161" s="45" t="n">
        <f aca="false">G161*c_lift</f>
        <v>300000</v>
      </c>
      <c r="W161" s="45" t="n">
        <f aca="false">Q161*c_shut</f>
        <v>900000</v>
      </c>
      <c r="X161" s="45" t="n">
        <f aca="false">R161*c_pos</f>
        <v>504000</v>
      </c>
      <c r="Y161" s="45" t="n">
        <f aca="false">T161*c_m2+U161*c_m3</f>
        <v>788580</v>
      </c>
      <c r="Z161" s="45" t="n">
        <f aca="false">SUM(V161:Y161)</f>
        <v>2492580</v>
      </c>
      <c r="AA161" s="34" t="n">
        <f aca="false">B161*u_d/(H161*u_w)</f>
        <v>0.866666666666667</v>
      </c>
      <c r="AB161" s="46" t="n">
        <f aca="false">IF(G161=0,0,F161/G161)</f>
        <v>0.384781746031746</v>
      </c>
      <c r="AC161" s="46" t="n">
        <f aca="false">IF(G161&gt;1,F161/(G161-1),"n/a")</f>
        <v>0.769563492063492</v>
      </c>
      <c r="AD161" s="47" t="n">
        <f aca="false">moves_day*m_pallet*9.81*INDEX(Tc_mh,C161)/3600000</f>
        <v>14.62344</v>
      </c>
      <c r="AE161" s="3" t="n">
        <f aca="false">IF(AND(K161&lt;=H_max,H161&lt;=300,OR(lane_policy="Free (optimize N_C)",B161=sku_pal),OR(env_use="No",AND(I161&lt;=L_bldg,J161&lt;=W_bldg),AND(I161&lt;=W_bldg,J161&lt;=L_bldg))),1,0)</f>
        <v>0</v>
      </c>
      <c r="AF161" s="48" t="n">
        <f aca="false">IF(obj_mode="Total cost",Z161,IF(obj_mode="Shuttle cycle",O161,T161))</f>
        <v>2492580</v>
      </c>
      <c r="AG161" s="3" t="n">
        <f aca="false">IF(AE161=1,AF161*(1+A161*0.0000000001),1E+099)</f>
        <v>1E+099</v>
      </c>
      <c r="AH161" s="3" t="str">
        <f aca="false">IF(AE161=1,"",IF(K161&gt;H_max,"height",IF(AND(lane_policy&lt;&gt;"Free (optimize N_C)",B161&lt;&gt;sku_pal),"lane policy","footprint")))</f>
        <v>height</v>
      </c>
    </row>
    <row r="162" customFormat="false" ht="15" hidden="false" customHeight="true" outlineLevel="0" collapsed="false">
      <c r="A162" s="3" t="n">
        <v>155</v>
      </c>
      <c r="B162" s="3" t="n">
        <f aca="false">$I$3</f>
        <v>12</v>
      </c>
      <c r="C162" s="3" t="n">
        <v>15</v>
      </c>
      <c r="D162" s="46" t="n">
        <f aca="false">INDEX(Tc_pl,C162)</f>
        <v>0.6</v>
      </c>
      <c r="E162" s="47" t="n">
        <f aca="false">INDEX(Tc_S,C162)</f>
        <v>46.3529761904762</v>
      </c>
      <c r="F162" s="34" t="n">
        <f aca="false">lam_total*D162*E162/3600</f>
        <v>0.772549603174603</v>
      </c>
      <c r="G162" s="3" t="n">
        <f aca="false">IF(F162&lt;=0.000000000001,0,MAX(ROUNDUP(F162/rho_max-0.000000001,0),IF(redund="Yes",ROUNDUP(F162/rho_fail-0.000000001,0)+1,0)))</f>
        <v>2</v>
      </c>
      <c r="H162" s="3" t="n">
        <f aca="false">MAX(1,ROUNDUP((P_req/(B162*C162)+G162*lpl)/2-0.000000001,0))</f>
        <v>17</v>
      </c>
      <c r="I162" s="47" t="n">
        <f aca="false">H162*u_w</f>
        <v>17</v>
      </c>
      <c r="J162" s="47" t="n">
        <f aca="false">2*B162*u_d+aisle_w</f>
        <v>32.5</v>
      </c>
      <c r="K162" s="47" t="n">
        <f aca="false">C162*u_h</f>
        <v>32.25</v>
      </c>
      <c r="L162" s="47" t="n">
        <f aca="false">IF(G162=0,I162,I162/(2*G162))</f>
        <v>4.25</v>
      </c>
      <c r="M162" s="34" t="n">
        <f aca="false">((IF((lane_off+(L162))&lt;=(v_sh^2/a_sh),(4/3)*(lane_off+(L162))^1.5/SQRT(a_sh),(4/3)*(v_sh^2/a_sh)^1.5/SQRT(a_sh)+((lane_off+(L162))^2-(v_sh^2/a_sh)^2)/(2*v_sh)+(v_sh/a_sh)*((lane_off+(L162))-(v_sh^2/a_sh))))-(IF((lane_off)&lt;=(v_sh^2/a_sh),(4/3)*(lane_off)^1.5/SQRT(a_sh),(4/3)*(v_sh^2/a_sh)^1.5/SQRT(a_sh)+((lane_off)^2-(v_sh^2/a_sh)^2)/(2*v_sh)+(v_sh/a_sh)*((lane_off)-(v_sh^2/a_sh)))))/(L162)</f>
        <v>5.15685729515279</v>
      </c>
      <c r="N162" s="34" t="n">
        <f aca="false">IF(((B162-1)*u_d/2*(1+f_hc)+lane_off)&lt;=0,0,IF(((B162-1)*u_d/2*(1+f_hc)+lane_off)&gt;=v_sh^2/a_sh,((B162-1)*u_d/2*(1+f_hc)+lane_off)/v_sh+v_sh/a_sh,2*SQRT(((B162-1)*u_d/2*(1+f_hc)+lane_off)/a_sh)))</f>
        <v>9.85714285714286</v>
      </c>
      <c r="O162" s="47" t="n">
        <f aca="false">2*t_sh+2*t_turn+2*M162+2*N162</f>
        <v>88.0280003045913</v>
      </c>
      <c r="P162" s="47" t="n">
        <f aca="false">SUMPRODUCT((Tc_idx&lt;=C162)*(ROUNDUP(lam_total*INDEX(Tc_P,C162,0)*O162/(3600*rho_max)-0.000000001,0)+(ROUNDUP(lam_total*INDEX(Tc_P,C162,0)*O162/(3600*rho_max)-0.000000001,0)&lt;min_sh)*(min_sh-ROUNDUP(lam_total*INDEX(Tc_P,C162,0)*O162/(3600*rho_max)-0.000000001,0))))</f>
        <v>17</v>
      </c>
      <c r="Q162" s="3" t="n">
        <f aca="false">ROUNDUP(P162-0.000000001,0)+spares</f>
        <v>19</v>
      </c>
      <c r="R162" s="45" t="n">
        <f aca="false">B162*C162*(2*H162-G162*lpl)</f>
        <v>5040</v>
      </c>
      <c r="S162" s="45" t="n">
        <f aca="false">R162*fill</f>
        <v>4284</v>
      </c>
      <c r="T162" s="45" t="n">
        <f aca="false">I162*J162</f>
        <v>552.5</v>
      </c>
      <c r="U162" s="45" t="n">
        <f aca="false">T162*(K162+headroom)</f>
        <v>18646.875</v>
      </c>
      <c r="V162" s="45" t="n">
        <f aca="false">G162*c_lift</f>
        <v>300000</v>
      </c>
      <c r="W162" s="45" t="n">
        <f aca="false">Q162*c_shut</f>
        <v>950000</v>
      </c>
      <c r="X162" s="45" t="n">
        <f aca="false">R162*c_pos</f>
        <v>504000</v>
      </c>
      <c r="Y162" s="45" t="n">
        <f aca="false">T162*c_m2+U162*c_m3</f>
        <v>780406.25</v>
      </c>
      <c r="Z162" s="45" t="n">
        <f aca="false">SUM(V162:Y162)</f>
        <v>2534406.25</v>
      </c>
      <c r="AA162" s="34" t="n">
        <f aca="false">B162*u_d/(H162*u_w)</f>
        <v>0.91764705882353</v>
      </c>
      <c r="AB162" s="46" t="n">
        <f aca="false">IF(G162=0,0,F162/G162)</f>
        <v>0.386274801587302</v>
      </c>
      <c r="AC162" s="46" t="n">
        <f aca="false">IF(G162&gt;1,F162/(G162-1),"n/a")</f>
        <v>0.772549603174603</v>
      </c>
      <c r="AD162" s="47" t="n">
        <f aca="false">moves_day*m_pallet*9.81*INDEX(Tc_mh,C162)/3600000</f>
        <v>14.90466</v>
      </c>
      <c r="AE162" s="3" t="n">
        <f aca="false">IF(AND(K162&lt;=H_max,H162&lt;=300,OR(lane_policy="Free (optimize N_C)",B162=sku_pal),OR(env_use="No",AND(I162&lt;=L_bldg,J162&lt;=W_bldg),AND(I162&lt;=W_bldg,J162&lt;=L_bldg))),1,0)</f>
        <v>0</v>
      </c>
      <c r="AF162" s="48" t="n">
        <f aca="false">IF(obj_mode="Total cost",Z162,IF(obj_mode="Shuttle cycle",O162,T162))</f>
        <v>2534406.25</v>
      </c>
      <c r="AG162" s="3" t="n">
        <f aca="false">IF(AE162=1,AF162*(1+A162*0.0000000001),1E+099)</f>
        <v>1E+099</v>
      </c>
      <c r="AH162" s="3" t="str">
        <f aca="false">IF(AE162=1,"",IF(K162&gt;H_max,"height",IF(AND(lane_policy&lt;&gt;"Free (optimize N_C)",B162&lt;&gt;sku_pal),"lane policy","footprint")))</f>
        <v>height</v>
      </c>
    </row>
    <row r="163" customFormat="false" ht="15" hidden="false" customHeight="true" outlineLevel="0" collapsed="false">
      <c r="A163" s="3" t="n">
        <v>156</v>
      </c>
      <c r="B163" s="3" t="n">
        <f aca="false">$I$3</f>
        <v>12</v>
      </c>
      <c r="C163" s="3" t="n">
        <v>16</v>
      </c>
      <c r="D163" s="46" t="n">
        <f aca="false">INDEX(Tc_pl,C163)</f>
        <v>0.6</v>
      </c>
      <c r="E163" s="47" t="n">
        <f aca="false">INDEX(Tc_S,C163)</f>
        <v>46.5321428571429</v>
      </c>
      <c r="F163" s="34" t="n">
        <f aca="false">lam_total*D163*E163/3600</f>
        <v>0.775535714285714</v>
      </c>
      <c r="G163" s="3" t="n">
        <f aca="false">IF(F163&lt;=0.000000000001,0,MAX(ROUNDUP(F163/rho_max-0.000000001,0),IF(redund="Yes",ROUNDUP(F163/rho_fail-0.000000001,0)+1,0)))</f>
        <v>2</v>
      </c>
      <c r="H163" s="3" t="n">
        <f aca="false">MAX(1,ROUNDUP((P_req/(B163*C163)+G163*lpl)/2-0.000000001,0))</f>
        <v>16</v>
      </c>
      <c r="I163" s="47" t="n">
        <f aca="false">H163*u_w</f>
        <v>16</v>
      </c>
      <c r="J163" s="47" t="n">
        <f aca="false">2*B163*u_d+aisle_w</f>
        <v>32.5</v>
      </c>
      <c r="K163" s="47" t="n">
        <f aca="false">C163*u_h</f>
        <v>34.4</v>
      </c>
      <c r="L163" s="47" t="n">
        <f aca="false">IF(G163=0,I163,I163/(2*G163))</f>
        <v>4</v>
      </c>
      <c r="M163" s="34" t="n">
        <f aca="false">((IF((lane_off+(L163))&lt;=(v_sh^2/a_sh),(4/3)*(lane_off+(L163))^1.5/SQRT(a_sh),(4/3)*(v_sh^2/a_sh)^1.5/SQRT(a_sh)+((lane_off+(L163))^2-(v_sh^2/a_sh)^2)/(2*v_sh)+(v_sh/a_sh)*((lane_off+(L163))-(v_sh^2/a_sh))))-(IF((lane_off)&lt;=(v_sh^2/a_sh),(4/3)*(lane_off)^1.5/SQRT(a_sh),(4/3)*(v_sh^2/a_sh)^1.5/SQRT(a_sh)+((lane_off)^2-(v_sh^2/a_sh)^2)/(2*v_sh)+(v_sh/a_sh)*((lane_off)-(v_sh^2/a_sh)))))/(L163)</f>
        <v>5.06197337609984</v>
      </c>
      <c r="N163" s="34" t="n">
        <f aca="false">IF(((B163-1)*u_d/2*(1+f_hc)+lane_off)&lt;=0,0,IF(((B163-1)*u_d/2*(1+f_hc)+lane_off)&gt;=v_sh^2/a_sh,((B163-1)*u_d/2*(1+f_hc)+lane_off)/v_sh+v_sh/a_sh,2*SQRT(((B163-1)*u_d/2*(1+f_hc)+lane_off)/a_sh)))</f>
        <v>9.85714285714286</v>
      </c>
      <c r="O163" s="47" t="n">
        <f aca="false">2*t_sh+2*t_turn+2*M163+2*N163</f>
        <v>87.8382324664854</v>
      </c>
      <c r="P163" s="47" t="n">
        <f aca="false">SUMPRODUCT((Tc_idx&lt;=C163)*(ROUNDUP(lam_total*INDEX(Tc_P,C163,0)*O163/(3600*rho_max)-0.000000001,0)+(ROUNDUP(lam_total*INDEX(Tc_P,C163,0)*O163/(3600*rho_max)-0.000000001,0)&lt;min_sh)*(min_sh-ROUNDUP(lam_total*INDEX(Tc_P,C163,0)*O163/(3600*rho_max)-0.000000001,0))))</f>
        <v>18</v>
      </c>
      <c r="Q163" s="3" t="n">
        <f aca="false">ROUNDUP(P163-0.000000001,0)+spares</f>
        <v>20</v>
      </c>
      <c r="R163" s="45" t="n">
        <f aca="false">B163*C163*(2*H163-G163*lpl)</f>
        <v>4992</v>
      </c>
      <c r="S163" s="45" t="n">
        <f aca="false">R163*fill</f>
        <v>4243.2</v>
      </c>
      <c r="T163" s="45" t="n">
        <f aca="false">I163*J163</f>
        <v>520</v>
      </c>
      <c r="U163" s="45" t="n">
        <f aca="false">T163*(K163+headroom)</f>
        <v>18668</v>
      </c>
      <c r="V163" s="45" t="n">
        <f aca="false">G163*c_lift</f>
        <v>300000</v>
      </c>
      <c r="W163" s="45" t="n">
        <f aca="false">Q163*c_shut</f>
        <v>1000000</v>
      </c>
      <c r="X163" s="45" t="n">
        <f aca="false">R163*c_pos</f>
        <v>499200</v>
      </c>
      <c r="Y163" s="45" t="n">
        <f aca="false">T163*c_m2+U163*c_m3</f>
        <v>768040</v>
      </c>
      <c r="Z163" s="45" t="n">
        <f aca="false">SUM(V163:Y163)</f>
        <v>2567240</v>
      </c>
      <c r="AA163" s="34" t="n">
        <f aca="false">B163*u_d/(H163*u_w)</f>
        <v>0.975</v>
      </c>
      <c r="AB163" s="46" t="n">
        <f aca="false">IF(G163=0,0,F163/G163)</f>
        <v>0.387767857142857</v>
      </c>
      <c r="AC163" s="46" t="n">
        <f aca="false">IF(G163&gt;1,F163/(G163-1),"n/a")</f>
        <v>0.775535714285714</v>
      </c>
      <c r="AD163" s="47" t="n">
        <f aca="false">moves_day*m_pallet*9.81*INDEX(Tc_mh,C163)/3600000</f>
        <v>15.18588</v>
      </c>
      <c r="AE163" s="3" t="n">
        <f aca="false">IF(AND(K163&lt;=H_max,H163&lt;=300,OR(lane_policy="Free (optimize N_C)",B163=sku_pal),OR(env_use="No",AND(I163&lt;=L_bldg,J163&lt;=W_bldg),AND(I163&lt;=W_bldg,J163&lt;=L_bldg))),1,0)</f>
        <v>0</v>
      </c>
      <c r="AF163" s="48" t="n">
        <f aca="false">IF(obj_mode="Total cost",Z163,IF(obj_mode="Shuttle cycle",O163,T163))</f>
        <v>2567240</v>
      </c>
      <c r="AG163" s="3" t="n">
        <f aca="false">IF(AE163=1,AF163*(1+A163*0.0000000001),1E+099)</f>
        <v>1E+099</v>
      </c>
      <c r="AH163" s="3" t="str">
        <f aca="false">IF(AE163=1,"",IF(K163&gt;H_max,"height",IF(AND(lane_policy&lt;&gt;"Free (optimize N_C)",B163&lt;&gt;sku_pal),"lane policy","footprint")))</f>
        <v>height</v>
      </c>
    </row>
    <row r="164" customFormat="false" ht="15" hidden="false" customHeight="true" outlineLevel="0" collapsed="false">
      <c r="A164" s="3" t="n">
        <v>157</v>
      </c>
      <c r="B164" s="3" t="n">
        <f aca="false">$I$3</f>
        <v>12</v>
      </c>
      <c r="C164" s="3" t="n">
        <v>17</v>
      </c>
      <c r="D164" s="46" t="n">
        <f aca="false">INDEX(Tc_pl,C164)</f>
        <v>0.6</v>
      </c>
      <c r="E164" s="47" t="n">
        <f aca="false">INDEX(Tc_S,C164)</f>
        <v>46.7113095238095</v>
      </c>
      <c r="F164" s="34" t="n">
        <f aca="false">lam_total*D164*E164/3600</f>
        <v>0.778521825396825</v>
      </c>
      <c r="G164" s="3" t="n">
        <f aca="false">IF(F164&lt;=0.000000000001,0,MAX(ROUNDUP(F164/rho_max-0.000000001,0),IF(redund="Yes",ROUNDUP(F164/rho_fail-0.000000001,0)+1,0)))</f>
        <v>2</v>
      </c>
      <c r="H164" s="3" t="n">
        <f aca="false">MAX(1,ROUNDUP((P_req/(B164*C164)+G164*lpl)/2-0.000000001,0))</f>
        <v>15</v>
      </c>
      <c r="I164" s="47" t="n">
        <f aca="false">H164*u_w</f>
        <v>15</v>
      </c>
      <c r="J164" s="47" t="n">
        <f aca="false">2*B164*u_d+aisle_w</f>
        <v>32.5</v>
      </c>
      <c r="K164" s="47" t="n">
        <f aca="false">C164*u_h</f>
        <v>36.55</v>
      </c>
      <c r="L164" s="47" t="n">
        <f aca="false">IF(G164=0,I164,I164/(2*G164))</f>
        <v>3.75</v>
      </c>
      <c r="M164" s="34" t="n">
        <f aca="false">((IF((lane_off+(L164))&lt;=(v_sh^2/a_sh),(4/3)*(lane_off+(L164))^1.5/SQRT(a_sh),(4/3)*(v_sh^2/a_sh)^1.5/SQRT(a_sh)+((lane_off+(L164))^2-(v_sh^2/a_sh)^2)/(2*v_sh)+(v_sh/a_sh)*((lane_off+(L164))-(v_sh^2/a_sh))))-(IF((lane_off)&lt;=(v_sh^2/a_sh),(4/3)*(lane_off)^1.5/SQRT(a_sh),(4/3)*(v_sh^2/a_sh)^1.5/SQRT(a_sh)+((lane_off)^2-(v_sh^2/a_sh)^2)/(2*v_sh)+(v_sh/a_sh)*((lane_off)-(v_sh^2/a_sh)))))/(L164)</f>
        <v>4.96634302974459</v>
      </c>
      <c r="N164" s="34" t="n">
        <f aca="false">IF(((B164-1)*u_d/2*(1+f_hc)+lane_off)&lt;=0,0,IF(((B164-1)*u_d/2*(1+f_hc)+lane_off)&gt;=v_sh^2/a_sh,((B164-1)*u_d/2*(1+f_hc)+lane_off)/v_sh+v_sh/a_sh,2*SQRT(((B164-1)*u_d/2*(1+f_hc)+lane_off)/a_sh)))</f>
        <v>9.85714285714286</v>
      </c>
      <c r="O164" s="47" t="n">
        <f aca="false">2*t_sh+2*t_turn+2*M164+2*N164</f>
        <v>87.6469717737749</v>
      </c>
      <c r="P164" s="47" t="n">
        <f aca="false">SUMPRODUCT((Tc_idx&lt;=C164)*(ROUNDUP(lam_total*INDEX(Tc_P,C164,0)*O164/(3600*rho_max)-0.000000001,0)+(ROUNDUP(lam_total*INDEX(Tc_P,C164,0)*O164/(3600*rho_max)-0.000000001,0)&lt;min_sh)*(min_sh-ROUNDUP(lam_total*INDEX(Tc_P,C164,0)*O164/(3600*rho_max)-0.000000001,0))))</f>
        <v>19</v>
      </c>
      <c r="Q164" s="3" t="n">
        <f aca="false">ROUNDUP(P164-0.000000001,0)+spares</f>
        <v>21</v>
      </c>
      <c r="R164" s="45" t="n">
        <f aca="false">B164*C164*(2*H164-G164*lpl)</f>
        <v>4896</v>
      </c>
      <c r="S164" s="45" t="n">
        <f aca="false">R164*fill</f>
        <v>4161.6</v>
      </c>
      <c r="T164" s="45" t="n">
        <f aca="false">I164*J164</f>
        <v>487.5</v>
      </c>
      <c r="U164" s="45" t="n">
        <f aca="false">T164*(K164+headroom)</f>
        <v>18549.375</v>
      </c>
      <c r="V164" s="45" t="n">
        <f aca="false">G164*c_lift</f>
        <v>300000</v>
      </c>
      <c r="W164" s="45" t="n">
        <f aca="false">Q164*c_shut</f>
        <v>1050000</v>
      </c>
      <c r="X164" s="45" t="n">
        <f aca="false">R164*c_pos</f>
        <v>489600</v>
      </c>
      <c r="Y164" s="45" t="n">
        <f aca="false">T164*c_m2+U164*c_m3</f>
        <v>751481.25</v>
      </c>
      <c r="Z164" s="45" t="n">
        <f aca="false">SUM(V164:Y164)</f>
        <v>2591081.25</v>
      </c>
      <c r="AA164" s="34" t="n">
        <f aca="false">B164*u_d/(H164*u_w)</f>
        <v>1.04</v>
      </c>
      <c r="AB164" s="46" t="n">
        <f aca="false">IF(G164=0,0,F164/G164)</f>
        <v>0.389260912698413</v>
      </c>
      <c r="AC164" s="46" t="n">
        <f aca="false">IF(G164&gt;1,F164/(G164-1),"n/a")</f>
        <v>0.778521825396825</v>
      </c>
      <c r="AD164" s="47" t="n">
        <f aca="false">moves_day*m_pallet*9.81*INDEX(Tc_mh,C164)/3600000</f>
        <v>15.4671</v>
      </c>
      <c r="AE164" s="3" t="n">
        <f aca="false">IF(AND(K164&lt;=H_max,H164&lt;=300,OR(lane_policy="Free (optimize N_C)",B164=sku_pal),OR(env_use="No",AND(I164&lt;=L_bldg,J164&lt;=W_bldg),AND(I164&lt;=W_bldg,J164&lt;=L_bldg))),1,0)</f>
        <v>0</v>
      </c>
      <c r="AF164" s="48" t="n">
        <f aca="false">IF(obj_mode="Total cost",Z164,IF(obj_mode="Shuttle cycle",O164,T164))</f>
        <v>2591081.25</v>
      </c>
      <c r="AG164" s="3" t="n">
        <f aca="false">IF(AE164=1,AF164*(1+A164*0.0000000001),1E+099)</f>
        <v>1E+099</v>
      </c>
      <c r="AH164" s="3" t="str">
        <f aca="false">IF(AE164=1,"",IF(K164&gt;H_max,"height",IF(AND(lane_policy&lt;&gt;"Free (optimize N_C)",B164&lt;&gt;sku_pal),"lane policy","footprint")))</f>
        <v>height</v>
      </c>
    </row>
    <row r="165" customFormat="false" ht="15" hidden="false" customHeight="true" outlineLevel="0" collapsed="false">
      <c r="A165" s="3" t="n">
        <v>158</v>
      </c>
      <c r="B165" s="3" t="n">
        <f aca="false">$I$3</f>
        <v>12</v>
      </c>
      <c r="C165" s="3" t="n">
        <v>18</v>
      </c>
      <c r="D165" s="46" t="n">
        <f aca="false">INDEX(Tc_pl,C165)</f>
        <v>0.6</v>
      </c>
      <c r="E165" s="47" t="n">
        <f aca="false">INDEX(Tc_S,C165)</f>
        <v>46.8904761904762</v>
      </c>
      <c r="F165" s="34" t="n">
        <f aca="false">lam_total*D165*E165/3600</f>
        <v>0.781507936507937</v>
      </c>
      <c r="G165" s="3" t="n">
        <f aca="false">IF(F165&lt;=0.000000000001,0,MAX(ROUNDUP(F165/rho_max-0.000000001,0),IF(redund="Yes",ROUNDUP(F165/rho_fail-0.000000001,0)+1,0)))</f>
        <v>2</v>
      </c>
      <c r="H165" s="3" t="n">
        <f aca="false">MAX(1,ROUNDUP((P_req/(B165*C165)+G165*lpl)/2-0.000000001,0))</f>
        <v>14</v>
      </c>
      <c r="I165" s="47" t="n">
        <f aca="false">H165*u_w</f>
        <v>14</v>
      </c>
      <c r="J165" s="47" t="n">
        <f aca="false">2*B165*u_d+aisle_w</f>
        <v>32.5</v>
      </c>
      <c r="K165" s="47" t="n">
        <f aca="false">C165*u_h</f>
        <v>38.7</v>
      </c>
      <c r="L165" s="47" t="n">
        <f aca="false">IF(G165=0,I165,I165/(2*G165))</f>
        <v>3.5</v>
      </c>
      <c r="M165" s="34" t="n">
        <f aca="false">((IF((lane_off+(L165))&lt;=(v_sh^2/a_sh),(4/3)*(lane_off+(L165))^1.5/SQRT(a_sh),(4/3)*(v_sh^2/a_sh)^1.5/SQRT(a_sh)+((lane_off+(L165))^2-(v_sh^2/a_sh)^2)/(2*v_sh)+(v_sh/a_sh)*((lane_off+(L165))-(v_sh^2/a_sh))))-(IF((lane_off)&lt;=(v_sh^2/a_sh),(4/3)*(lane_off)^1.5/SQRT(a_sh),(4/3)*(v_sh^2/a_sh)^1.5/SQRT(a_sh)+((lane_off)^2-(v_sh^2/a_sh)^2)/(2*v_sh)+(v_sh/a_sh)*((lane_off)-(v_sh^2/a_sh)))))/(L165)</f>
        <v>4.86980630737941</v>
      </c>
      <c r="N165" s="34" t="n">
        <f aca="false">IF(((B165-1)*u_d/2*(1+f_hc)+lane_off)&lt;=0,0,IF(((B165-1)*u_d/2*(1+f_hc)+lane_off)&gt;=v_sh^2/a_sh,((B165-1)*u_d/2*(1+f_hc)+lane_off)/v_sh+v_sh/a_sh,2*SQRT(((B165-1)*u_d/2*(1+f_hc)+lane_off)/a_sh)))</f>
        <v>9.85714285714286</v>
      </c>
      <c r="O165" s="47" t="n">
        <f aca="false">2*t_sh+2*t_turn+2*M165+2*N165</f>
        <v>87.4538983290445</v>
      </c>
      <c r="P165" s="47" t="n">
        <f aca="false">SUMPRODUCT((Tc_idx&lt;=C165)*(ROUNDUP(lam_total*INDEX(Tc_P,C165,0)*O165/(3600*rho_max)-0.000000001,0)+(ROUNDUP(lam_total*INDEX(Tc_P,C165,0)*O165/(3600*rho_max)-0.000000001,0)&lt;min_sh)*(min_sh-ROUNDUP(lam_total*INDEX(Tc_P,C165,0)*O165/(3600*rho_max)-0.000000001,0))))</f>
        <v>20</v>
      </c>
      <c r="Q165" s="3" t="n">
        <f aca="false">ROUNDUP(P165-0.000000001,0)+spares</f>
        <v>22</v>
      </c>
      <c r="R165" s="45" t="n">
        <f aca="false">B165*C165*(2*H165-G165*lpl)</f>
        <v>4752</v>
      </c>
      <c r="S165" s="45" t="n">
        <f aca="false">R165*fill</f>
        <v>4039.2</v>
      </c>
      <c r="T165" s="45" t="n">
        <f aca="false">I165*J165</f>
        <v>455</v>
      </c>
      <c r="U165" s="45" t="n">
        <f aca="false">T165*(K165+headroom)</f>
        <v>18291</v>
      </c>
      <c r="V165" s="45" t="n">
        <f aca="false">G165*c_lift</f>
        <v>300000</v>
      </c>
      <c r="W165" s="45" t="n">
        <f aca="false">Q165*c_shut</f>
        <v>1100000</v>
      </c>
      <c r="X165" s="45" t="n">
        <f aca="false">R165*c_pos</f>
        <v>475200</v>
      </c>
      <c r="Y165" s="45" t="n">
        <f aca="false">T165*c_m2+U165*c_m3</f>
        <v>730730</v>
      </c>
      <c r="Z165" s="45" t="n">
        <f aca="false">SUM(V165:Y165)</f>
        <v>2605930</v>
      </c>
      <c r="AA165" s="34" t="n">
        <f aca="false">B165*u_d/(H165*u_w)</f>
        <v>1.11428571428571</v>
      </c>
      <c r="AB165" s="46" t="n">
        <f aca="false">IF(G165=0,0,F165/G165)</f>
        <v>0.390753968253968</v>
      </c>
      <c r="AC165" s="46" t="n">
        <f aca="false">IF(G165&gt;1,F165/(G165-1),"n/a")</f>
        <v>0.781507936507937</v>
      </c>
      <c r="AD165" s="47" t="n">
        <f aca="false">moves_day*m_pallet*9.81*INDEX(Tc_mh,C165)/3600000</f>
        <v>15.74832</v>
      </c>
      <c r="AE165" s="3" t="n">
        <f aca="false">IF(AND(K165&lt;=H_max,H165&lt;=300,OR(lane_policy="Free (optimize N_C)",B165=sku_pal),OR(env_use="No",AND(I165&lt;=L_bldg,J165&lt;=W_bldg),AND(I165&lt;=W_bldg,J165&lt;=L_bldg))),1,0)</f>
        <v>0</v>
      </c>
      <c r="AF165" s="48" t="n">
        <f aca="false">IF(obj_mode="Total cost",Z165,IF(obj_mode="Shuttle cycle",O165,T165))</f>
        <v>2605930</v>
      </c>
      <c r="AG165" s="3" t="n">
        <f aca="false">IF(AE165=1,AF165*(1+A165*0.0000000001),1E+099)</f>
        <v>1E+099</v>
      </c>
      <c r="AH165" s="3" t="str">
        <f aca="false">IF(AE165=1,"",IF(K165&gt;H_max,"height",IF(AND(lane_policy&lt;&gt;"Free (optimize N_C)",B165&lt;&gt;sku_pal),"lane policy","footprint")))</f>
        <v>height</v>
      </c>
    </row>
    <row r="166" customFormat="false" ht="15" hidden="false" customHeight="true" outlineLevel="0" collapsed="false">
      <c r="A166" s="3" t="n">
        <v>159</v>
      </c>
      <c r="B166" s="3" t="n">
        <f aca="false">$I$3</f>
        <v>12</v>
      </c>
      <c r="C166" s="3" t="n">
        <v>19</v>
      </c>
      <c r="D166" s="46" t="n">
        <f aca="false">INDEX(Tc_pl,C166)</f>
        <v>0.6</v>
      </c>
      <c r="E166" s="47" t="n">
        <f aca="false">INDEX(Tc_S,C166)</f>
        <v>47.0696428571429</v>
      </c>
      <c r="F166" s="34" t="n">
        <f aca="false">lam_total*D166*E166/3600</f>
        <v>0.784494047619048</v>
      </c>
      <c r="G166" s="3" t="n">
        <f aca="false">IF(F166&lt;=0.000000000001,0,MAX(ROUNDUP(F166/rho_max-0.000000001,0),IF(redund="Yes",ROUNDUP(F166/rho_fail-0.000000001,0)+1,0)))</f>
        <v>2</v>
      </c>
      <c r="H166" s="3" t="n">
        <f aca="false">MAX(1,ROUNDUP((P_req/(B166*C166)+G166*lpl)/2-0.000000001,0))</f>
        <v>14</v>
      </c>
      <c r="I166" s="47" t="n">
        <f aca="false">H166*u_w</f>
        <v>14</v>
      </c>
      <c r="J166" s="47" t="n">
        <f aca="false">2*B166*u_d+aisle_w</f>
        <v>32.5</v>
      </c>
      <c r="K166" s="47" t="n">
        <f aca="false">C166*u_h</f>
        <v>40.85</v>
      </c>
      <c r="L166" s="47" t="n">
        <f aca="false">IF(G166=0,I166,I166/(2*G166))</f>
        <v>3.5</v>
      </c>
      <c r="M166" s="34" t="n">
        <f aca="false">((IF((lane_off+(L166))&lt;=(v_sh^2/a_sh),(4/3)*(lane_off+(L166))^1.5/SQRT(a_sh),(4/3)*(v_sh^2/a_sh)^1.5/SQRT(a_sh)+((lane_off+(L166))^2-(v_sh^2/a_sh)^2)/(2*v_sh)+(v_sh/a_sh)*((lane_off+(L166))-(v_sh^2/a_sh))))-(IF((lane_off)&lt;=(v_sh^2/a_sh),(4/3)*(lane_off)^1.5/SQRT(a_sh),(4/3)*(v_sh^2/a_sh)^1.5/SQRT(a_sh)+((lane_off)^2-(v_sh^2/a_sh)^2)/(2*v_sh)+(v_sh/a_sh)*((lane_off)-(v_sh^2/a_sh)))))/(L166)</f>
        <v>4.86980630737941</v>
      </c>
      <c r="N166" s="34" t="n">
        <f aca="false">IF(((B166-1)*u_d/2*(1+f_hc)+lane_off)&lt;=0,0,IF(((B166-1)*u_d/2*(1+f_hc)+lane_off)&gt;=v_sh^2/a_sh,((B166-1)*u_d/2*(1+f_hc)+lane_off)/v_sh+v_sh/a_sh,2*SQRT(((B166-1)*u_d/2*(1+f_hc)+lane_off)/a_sh)))</f>
        <v>9.85714285714286</v>
      </c>
      <c r="O166" s="47" t="n">
        <f aca="false">2*t_sh+2*t_turn+2*M166+2*N166</f>
        <v>87.4538983290445</v>
      </c>
      <c r="P166" s="47" t="n">
        <f aca="false">SUMPRODUCT((Tc_idx&lt;=C166)*(ROUNDUP(lam_total*INDEX(Tc_P,C166,0)*O166/(3600*rho_max)-0.000000001,0)+(ROUNDUP(lam_total*INDEX(Tc_P,C166,0)*O166/(3600*rho_max)-0.000000001,0)&lt;min_sh)*(min_sh-ROUNDUP(lam_total*INDEX(Tc_P,C166,0)*O166/(3600*rho_max)-0.000000001,0))))</f>
        <v>21</v>
      </c>
      <c r="Q166" s="3" t="n">
        <f aca="false">ROUNDUP(P166-0.000000001,0)+spares</f>
        <v>23</v>
      </c>
      <c r="R166" s="45" t="n">
        <f aca="false">B166*C166*(2*H166-G166*lpl)</f>
        <v>5016</v>
      </c>
      <c r="S166" s="45" t="n">
        <f aca="false">R166*fill</f>
        <v>4263.6</v>
      </c>
      <c r="T166" s="45" t="n">
        <f aca="false">I166*J166</f>
        <v>455</v>
      </c>
      <c r="U166" s="45" t="n">
        <f aca="false">T166*(K166+headroom)</f>
        <v>19269.25</v>
      </c>
      <c r="V166" s="45" t="n">
        <f aca="false">G166*c_lift</f>
        <v>300000</v>
      </c>
      <c r="W166" s="45" t="n">
        <f aca="false">Q166*c_shut</f>
        <v>1150000</v>
      </c>
      <c r="X166" s="45" t="n">
        <f aca="false">R166*c_pos</f>
        <v>501600</v>
      </c>
      <c r="Y166" s="45" t="n">
        <f aca="false">T166*c_m2+U166*c_m3</f>
        <v>760077.5</v>
      </c>
      <c r="Z166" s="45" t="n">
        <f aca="false">SUM(V166:Y166)</f>
        <v>2711677.5</v>
      </c>
      <c r="AA166" s="34" t="n">
        <f aca="false">B166*u_d/(H166*u_w)</f>
        <v>1.11428571428571</v>
      </c>
      <c r="AB166" s="46" t="n">
        <f aca="false">IF(G166=0,0,F166/G166)</f>
        <v>0.392247023809524</v>
      </c>
      <c r="AC166" s="46" t="n">
        <f aca="false">IF(G166&gt;1,F166/(G166-1),"n/a")</f>
        <v>0.784494047619048</v>
      </c>
      <c r="AD166" s="47" t="n">
        <f aca="false">moves_day*m_pallet*9.81*INDEX(Tc_mh,C166)/3600000</f>
        <v>16.02954</v>
      </c>
      <c r="AE166" s="3" t="n">
        <f aca="false">IF(AND(K166&lt;=H_max,H166&lt;=300,OR(lane_policy="Free (optimize N_C)",B166=sku_pal),OR(env_use="No",AND(I166&lt;=L_bldg,J166&lt;=W_bldg),AND(I166&lt;=W_bldg,J166&lt;=L_bldg))),1,0)</f>
        <v>0</v>
      </c>
      <c r="AF166" s="48" t="n">
        <f aca="false">IF(obj_mode="Total cost",Z166,IF(obj_mode="Shuttle cycle",O166,T166))</f>
        <v>2711677.5</v>
      </c>
      <c r="AG166" s="3" t="n">
        <f aca="false">IF(AE166=1,AF166*(1+A166*0.0000000001),1E+099)</f>
        <v>1E+099</v>
      </c>
      <c r="AH166" s="3" t="str">
        <f aca="false">IF(AE166=1,"",IF(K166&gt;H_max,"height",IF(AND(lane_policy&lt;&gt;"Free (optimize N_C)",B166&lt;&gt;sku_pal),"lane policy","footprint")))</f>
        <v>height</v>
      </c>
    </row>
    <row r="167" customFormat="false" ht="15" hidden="false" customHeight="true" outlineLevel="0" collapsed="false">
      <c r="A167" s="3" t="n">
        <v>160</v>
      </c>
      <c r="B167" s="3" t="n">
        <f aca="false">$I$3</f>
        <v>12</v>
      </c>
      <c r="C167" s="3" t="n">
        <v>20</v>
      </c>
      <c r="D167" s="46" t="n">
        <f aca="false">INDEX(Tc_pl,C167)</f>
        <v>0.6</v>
      </c>
      <c r="E167" s="47" t="n">
        <f aca="false">INDEX(Tc_S,C167)</f>
        <v>47.2488095238095</v>
      </c>
      <c r="F167" s="34" t="n">
        <f aca="false">lam_total*D167*E167/3600</f>
        <v>0.787480158730159</v>
      </c>
      <c r="G167" s="3" t="n">
        <f aca="false">IF(F167&lt;=0.000000000001,0,MAX(ROUNDUP(F167/rho_max-0.000000001,0),IF(redund="Yes",ROUNDUP(F167/rho_fail-0.000000001,0)+1,0)))</f>
        <v>2</v>
      </c>
      <c r="H167" s="3" t="n">
        <f aca="false">MAX(1,ROUNDUP((P_req/(B167*C167)+G167*lpl)/2-0.000000001,0))</f>
        <v>13</v>
      </c>
      <c r="I167" s="47" t="n">
        <f aca="false">H167*u_w</f>
        <v>13</v>
      </c>
      <c r="J167" s="47" t="n">
        <f aca="false">2*B167*u_d+aisle_w</f>
        <v>32.5</v>
      </c>
      <c r="K167" s="47" t="n">
        <f aca="false">C167*u_h</f>
        <v>43</v>
      </c>
      <c r="L167" s="47" t="n">
        <f aca="false">IF(G167=0,I167,I167/(2*G167))</f>
        <v>3.25</v>
      </c>
      <c r="M167" s="34" t="n">
        <f aca="false">((IF((lane_off+(L167))&lt;=(v_sh^2/a_sh),(4/3)*(lane_off+(L167))^1.5/SQRT(a_sh),(4/3)*(v_sh^2/a_sh)^1.5/SQRT(a_sh)+((lane_off+(L167))^2-(v_sh^2/a_sh)^2)/(2*v_sh)+(v_sh/a_sh)*((lane_off+(L167))-(v_sh^2/a_sh))))-(IF((lane_off)&lt;=(v_sh^2/a_sh),(4/3)*(lane_off)^1.5/SQRT(a_sh),(4/3)*(v_sh^2/a_sh)^1.5/SQRT(a_sh)+((lane_off)^2-(v_sh^2/a_sh)^2)/(2*v_sh)+(v_sh/a_sh)*((lane_off)-(v_sh^2/a_sh)))))/(L167)</f>
        <v>4.77215404530969</v>
      </c>
      <c r="N167" s="34" t="n">
        <f aca="false">IF(((B167-1)*u_d/2*(1+f_hc)+lane_off)&lt;=0,0,IF(((B167-1)*u_d/2*(1+f_hc)+lane_off)&gt;=v_sh^2/a_sh,((B167-1)*u_d/2*(1+f_hc)+lane_off)/v_sh+v_sh/a_sh,2*SQRT(((B167-1)*u_d/2*(1+f_hc)+lane_off)/a_sh)))</f>
        <v>9.85714285714286</v>
      </c>
      <c r="O167" s="47" t="n">
        <f aca="false">2*t_sh+2*t_turn+2*M167+2*N167</f>
        <v>87.2585938049051</v>
      </c>
      <c r="P167" s="47" t="n">
        <f aca="false">SUMPRODUCT((Tc_idx&lt;=C167)*(ROUNDUP(lam_total*INDEX(Tc_P,C167,0)*O167/(3600*rho_max)-0.000000001,0)+(ROUNDUP(lam_total*INDEX(Tc_P,C167,0)*O167/(3600*rho_max)-0.000000001,0)&lt;min_sh)*(min_sh-ROUNDUP(lam_total*INDEX(Tc_P,C167,0)*O167/(3600*rho_max)-0.000000001,0))))</f>
        <v>22</v>
      </c>
      <c r="Q167" s="3" t="n">
        <f aca="false">ROUNDUP(P167-0.000000001,0)+spares</f>
        <v>24</v>
      </c>
      <c r="R167" s="45" t="n">
        <f aca="false">B167*C167*(2*H167-G167*lpl)</f>
        <v>4800</v>
      </c>
      <c r="S167" s="45" t="n">
        <f aca="false">R167*fill</f>
        <v>4080</v>
      </c>
      <c r="T167" s="45" t="n">
        <f aca="false">I167*J167</f>
        <v>422.5</v>
      </c>
      <c r="U167" s="45" t="n">
        <f aca="false">T167*(K167+headroom)</f>
        <v>18801.25</v>
      </c>
      <c r="V167" s="45" t="n">
        <f aca="false">G167*c_lift</f>
        <v>300000</v>
      </c>
      <c r="W167" s="45" t="n">
        <f aca="false">Q167*c_shut</f>
        <v>1200000</v>
      </c>
      <c r="X167" s="45" t="n">
        <f aca="false">R167*c_pos</f>
        <v>480000</v>
      </c>
      <c r="Y167" s="45" t="n">
        <f aca="false">T167*c_m2+U167*c_m3</f>
        <v>733037.5</v>
      </c>
      <c r="Z167" s="45" t="n">
        <f aca="false">SUM(V167:Y167)</f>
        <v>2713037.5</v>
      </c>
      <c r="AA167" s="34" t="n">
        <f aca="false">B167*u_d/(H167*u_w)</f>
        <v>1.2</v>
      </c>
      <c r="AB167" s="46" t="n">
        <f aca="false">IF(G167=0,0,F167/G167)</f>
        <v>0.393740079365079</v>
      </c>
      <c r="AC167" s="46" t="n">
        <f aca="false">IF(G167&gt;1,F167/(G167-1),"n/a")</f>
        <v>0.787480158730159</v>
      </c>
      <c r="AD167" s="47" t="n">
        <f aca="false">moves_day*m_pallet*9.81*INDEX(Tc_mh,C167)/3600000</f>
        <v>16.31076</v>
      </c>
      <c r="AE167" s="3" t="n">
        <f aca="false">IF(AND(K167&lt;=H_max,H167&lt;=300,OR(lane_policy="Free (optimize N_C)",B167=sku_pal),OR(env_use="No",AND(I167&lt;=L_bldg,J167&lt;=W_bldg),AND(I167&lt;=W_bldg,J167&lt;=L_bldg))),1,0)</f>
        <v>0</v>
      </c>
      <c r="AF167" s="48" t="n">
        <f aca="false">IF(obj_mode="Total cost",Z167,IF(obj_mode="Shuttle cycle",O167,T167))</f>
        <v>2713037.5</v>
      </c>
      <c r="AG167" s="3" t="n">
        <f aca="false">IF(AE167=1,AF167*(1+A167*0.0000000001),1E+099)</f>
        <v>1E+099</v>
      </c>
      <c r="AH167" s="3" t="str">
        <f aca="false">IF(AE167=1,"",IF(K167&gt;H_max,"height",IF(AND(lane_policy&lt;&gt;"Free (optimize N_C)",B167&lt;&gt;sku_pal),"lane policy","footprint")))</f>
        <v>height</v>
      </c>
    </row>
    <row r="168" customFormat="false" ht="15" hidden="false" customHeight="true" outlineLevel="0" collapsed="false">
      <c r="A168" s="3" t="n">
        <v>161</v>
      </c>
      <c r="B168" s="3" t="n">
        <f aca="false">$J$3</f>
        <v>16</v>
      </c>
      <c r="C168" s="3" t="n">
        <v>1</v>
      </c>
      <c r="D168" s="46" t="n">
        <f aca="false">INDEX(Tc_pl,C168)</f>
        <v>0</v>
      </c>
      <c r="E168" s="47" t="n">
        <f aca="false">INDEX(Tc_S,C168)</f>
        <v>0</v>
      </c>
      <c r="F168" s="34" t="n">
        <f aca="false">lam_total*D168*E168/3600</f>
        <v>0</v>
      </c>
      <c r="G168" s="3" t="n">
        <f aca="false">IF(F168&lt;=0.000000000001,0,MAX(ROUNDUP(F168/rho_max-0.000000001,0),IF(redund="Yes",ROUNDUP(F168/rho_fail-0.000000001,0)+1,0)))</f>
        <v>0</v>
      </c>
      <c r="H168" s="3" t="n">
        <f aca="false">MAX(1,ROUNDUP((P_req/(B168*C168)+G168*lpl)/2-0.000000001,0))</f>
        <v>148</v>
      </c>
      <c r="I168" s="47" t="n">
        <f aca="false">H168*u_w</f>
        <v>148</v>
      </c>
      <c r="J168" s="47" t="n">
        <f aca="false">2*B168*u_d+aisle_w</f>
        <v>42.9</v>
      </c>
      <c r="K168" s="47" t="n">
        <f aca="false">C168*u_h</f>
        <v>2.15</v>
      </c>
      <c r="L168" s="47" t="n">
        <f aca="false">IF(G168=0,I168,I168/(2*G168))</f>
        <v>148</v>
      </c>
      <c r="M168" s="34" t="n">
        <f aca="false">((IF((lane_off+(L168))&lt;=(v_sh^2/a_sh),(4/3)*(lane_off+(L168))^1.5/SQRT(a_sh),(4/3)*(v_sh^2/a_sh)^1.5/SQRT(a_sh)+((lane_off+(L168))^2-(v_sh^2/a_sh)^2)/(2*v_sh)+(v_sh/a_sh)*((lane_off+(L168))-(v_sh^2/a_sh))))-(IF((lane_off)&lt;=(v_sh^2/a_sh),(4/3)*(lane_off)^1.5/SQRT(a_sh),(4/3)*(v_sh^2/a_sh)^1.5/SQRT(a_sh)+((lane_off)^2-(v_sh^2/a_sh)^2)/(2*v_sh)+(v_sh/a_sh)*((lane_off)-(v_sh^2/a_sh)))))/(L168)</f>
        <v>56.583142137578</v>
      </c>
      <c r="N168" s="34" t="n">
        <f aca="false">IF(((B168-1)*u_d/2*(1+f_hc)+lane_off)&lt;=0,0,IF(((B168-1)*u_d/2*(1+f_hc)+lane_off)&gt;=v_sh^2/a_sh,((B168-1)*u_d/2*(1+f_hc)+lane_off)/v_sh+v_sh/a_sh,2*SQRT(((B168-1)*u_d/2*(1+f_hc)+lane_off)/a_sh)))</f>
        <v>12.0857142857143</v>
      </c>
      <c r="O168" s="47" t="n">
        <f aca="false">2*t_sh+2*t_turn+2*M168+2*N168</f>
        <v>195.337712846585</v>
      </c>
      <c r="P168" s="47" t="n">
        <f aca="false">SUMPRODUCT((Tc_idx&lt;=C168)*(ROUNDUP(lam_total*INDEX(Tc_P,C168,0)*O168/(3600*rho_max)-0.000000001,0)+(ROUNDUP(lam_total*INDEX(Tc_P,C168,0)*O168/(3600*rho_max)-0.000000001,0)&lt;min_sh)*(min_sh-ROUNDUP(lam_total*INDEX(Tc_P,C168,0)*O168/(3600*rho_max)-0.000000001,0))))</f>
        <v>8</v>
      </c>
      <c r="Q168" s="3" t="n">
        <f aca="false">ROUNDUP(P168-0.000000001,0)+spares</f>
        <v>10</v>
      </c>
      <c r="R168" s="45" t="n">
        <f aca="false">B168*C168*(2*H168-G168*lpl)</f>
        <v>4736</v>
      </c>
      <c r="S168" s="45" t="n">
        <f aca="false">R168*fill</f>
        <v>4025.6</v>
      </c>
      <c r="T168" s="45" t="n">
        <f aca="false">I168*J168</f>
        <v>6349.2</v>
      </c>
      <c r="U168" s="45" t="n">
        <f aca="false">T168*(K168+headroom)</f>
        <v>23174.58</v>
      </c>
      <c r="V168" s="45" t="n">
        <f aca="false">G168*c_lift</f>
        <v>0</v>
      </c>
      <c r="W168" s="45" t="n">
        <f aca="false">Q168*c_shut</f>
        <v>500000</v>
      </c>
      <c r="X168" s="45" t="n">
        <f aca="false">R168*c_pos</f>
        <v>473600</v>
      </c>
      <c r="Y168" s="45" t="n">
        <f aca="false">T168*c_m2+U168*c_m3</f>
        <v>3234917.4</v>
      </c>
      <c r="Z168" s="45" t="n">
        <f aca="false">SUM(V168:Y168)</f>
        <v>4208517.4</v>
      </c>
      <c r="AA168" s="34" t="n">
        <f aca="false">B168*u_d/(H168*u_w)</f>
        <v>0.140540540540541</v>
      </c>
      <c r="AB168" s="46" t="n">
        <f aca="false">IF(G168=0,0,F168/G168)</f>
        <v>0</v>
      </c>
      <c r="AC168" s="46" t="str">
        <f aca="false">IF(G168&gt;1,F168/(G168-1),"n/a")</f>
        <v>n/a</v>
      </c>
      <c r="AD168" s="47" t="n">
        <f aca="false">moves_day*m_pallet*9.81*INDEX(Tc_mh,C168)/3600000</f>
        <v>0</v>
      </c>
      <c r="AE168" s="3" t="n">
        <f aca="false">IF(AND(K168&lt;=H_max,H168&lt;=300,OR(lane_policy="Free (optimize N_C)",B168=sku_pal),OR(env_use="No",AND(I168&lt;=L_bldg,J168&lt;=W_bldg),AND(I168&lt;=W_bldg,J168&lt;=L_bldg))),1,0)</f>
        <v>0</v>
      </c>
      <c r="AF168" s="48" t="n">
        <f aca="false">IF(obj_mode="Total cost",Z168,IF(obj_mode="Shuttle cycle",O168,T168))</f>
        <v>4208517.4</v>
      </c>
      <c r="AG168" s="3" t="n">
        <f aca="false">IF(AE168=1,AF168*(1+A168*0.0000000001),1E+099)</f>
        <v>1E+099</v>
      </c>
      <c r="AH168" s="3" t="str">
        <f aca="false">IF(AE168=1,"",IF(K168&gt;H_max,"height",IF(AND(lane_policy&lt;&gt;"Free (optimize N_C)",B168&lt;&gt;sku_pal),"lane policy","footprint")))</f>
        <v>footprint</v>
      </c>
    </row>
    <row r="169" customFormat="false" ht="15" hidden="false" customHeight="true" outlineLevel="0" collapsed="false">
      <c r="A169" s="3" t="n">
        <v>162</v>
      </c>
      <c r="B169" s="3" t="n">
        <f aca="false">$J$3</f>
        <v>16</v>
      </c>
      <c r="C169" s="3" t="n">
        <v>2</v>
      </c>
      <c r="D169" s="46" t="n">
        <f aca="false">INDEX(Tc_pl,C169)</f>
        <v>0.5</v>
      </c>
      <c r="E169" s="47" t="n">
        <f aca="false">INDEX(Tc_S,C169)</f>
        <v>41.1571428571429</v>
      </c>
      <c r="F169" s="34" t="n">
        <f aca="false">lam_total*D169*E169/3600</f>
        <v>0.571626984126984</v>
      </c>
      <c r="G169" s="3" t="n">
        <f aca="false">IF(F169&lt;=0.000000000001,0,MAX(ROUNDUP(F169/rho_max-0.000000001,0),IF(redund="Yes",ROUNDUP(F169/rho_fail-0.000000001,0)+1,0)))</f>
        <v>2</v>
      </c>
      <c r="H169" s="3" t="n">
        <f aca="false">MAX(1,ROUNDUP((P_req/(B169*C169)+G169*lpl)/2-0.000000001,0))</f>
        <v>77</v>
      </c>
      <c r="I169" s="47" t="n">
        <f aca="false">H169*u_w</f>
        <v>77</v>
      </c>
      <c r="J169" s="47" t="n">
        <f aca="false">2*B169*u_d+aisle_w</f>
        <v>42.9</v>
      </c>
      <c r="K169" s="47" t="n">
        <f aca="false">C169*u_h</f>
        <v>4.3</v>
      </c>
      <c r="L169" s="47" t="n">
        <f aca="false">IF(G169=0,I169,I169/(2*G169))</f>
        <v>19.25</v>
      </c>
      <c r="M169" s="34" t="n">
        <f aca="false">((IF((lane_off+(L169))&lt;=(v_sh^2/a_sh),(4/3)*(lane_off+(L169))^1.5/SQRT(a_sh),(4/3)*(v_sh^2/a_sh)^1.5/SQRT(a_sh)+((lane_off+(L169))^2-(v_sh^2/a_sh)^2)/(2*v_sh)+(v_sh/a_sh)*((lane_off+(L169))-(v_sh^2/a_sh))))-(IF((lane_off)&lt;=(v_sh^2/a_sh),(4/3)*(lane_off)^1.5/SQRT(a_sh),(4/3)*(v_sh^2/a_sh)^1.5/SQRT(a_sh)+((lane_off)^2-(v_sh^2/a_sh)^2)/(2*v_sh)+(v_sh/a_sh)*((lane_off)-(v_sh^2/a_sh)))))/(L169)</f>
        <v>10.5837959519911</v>
      </c>
      <c r="N169" s="34" t="n">
        <f aca="false">IF(((B169-1)*u_d/2*(1+f_hc)+lane_off)&lt;=0,0,IF(((B169-1)*u_d/2*(1+f_hc)+lane_off)&gt;=v_sh^2/a_sh,((B169-1)*u_d/2*(1+f_hc)+lane_off)/v_sh+v_sh/a_sh,2*SQRT(((B169-1)*u_d/2*(1+f_hc)+lane_off)/a_sh)))</f>
        <v>12.0857142857143</v>
      </c>
      <c r="O169" s="47" t="n">
        <f aca="false">2*t_sh+2*t_turn+2*M169+2*N169</f>
        <v>103.339020475411</v>
      </c>
      <c r="P169" s="47" t="n">
        <f aca="false">SUMPRODUCT((Tc_idx&lt;=C169)*(ROUNDUP(lam_total*INDEX(Tc_P,C169,0)*O169/(3600*rho_max)-0.000000001,0)+(ROUNDUP(lam_total*INDEX(Tc_P,C169,0)*O169/(3600*rho_max)-0.000000001,0)&lt;min_sh)*(min_sh-ROUNDUP(lam_total*INDEX(Tc_P,C169,0)*O169/(3600*rho_max)-0.000000001,0))))</f>
        <v>4</v>
      </c>
      <c r="Q169" s="3" t="n">
        <f aca="false">ROUNDUP(P169-0.000000001,0)+spares</f>
        <v>6</v>
      </c>
      <c r="R169" s="45" t="n">
        <f aca="false">B169*C169*(2*H169-G169*lpl)</f>
        <v>4736</v>
      </c>
      <c r="S169" s="45" t="n">
        <f aca="false">R169*fill</f>
        <v>4025.6</v>
      </c>
      <c r="T169" s="45" t="n">
        <f aca="false">I169*J169</f>
        <v>3303.3</v>
      </c>
      <c r="U169" s="45" t="n">
        <f aca="false">T169*(K169+headroom)</f>
        <v>19159.14</v>
      </c>
      <c r="V169" s="45" t="n">
        <f aca="false">G169*c_lift</f>
        <v>300000</v>
      </c>
      <c r="W169" s="45" t="n">
        <f aca="false">Q169*c_shut</f>
        <v>300000</v>
      </c>
      <c r="X169" s="45" t="n">
        <f aca="false">R169*c_pos</f>
        <v>473600</v>
      </c>
      <c r="Y169" s="45" t="n">
        <f aca="false">T169*c_m2+U169*c_m3</f>
        <v>1896094.2</v>
      </c>
      <c r="Z169" s="45" t="n">
        <f aca="false">SUM(V169:Y169)</f>
        <v>2969694.2</v>
      </c>
      <c r="AA169" s="34" t="n">
        <f aca="false">B169*u_d/(H169*u_w)</f>
        <v>0.27012987012987</v>
      </c>
      <c r="AB169" s="46" t="n">
        <f aca="false">IF(G169=0,0,F169/G169)</f>
        <v>0.285813492063492</v>
      </c>
      <c r="AC169" s="46" t="n">
        <f aca="false">IF(G169&gt;1,F169/(G169-1),"n/a")</f>
        <v>0.571626984126984</v>
      </c>
      <c r="AD169" s="47" t="n">
        <f aca="false">moves_day*m_pallet*9.81*INDEX(Tc_mh,C169)/3600000</f>
        <v>5.6244</v>
      </c>
      <c r="AE169" s="3" t="n">
        <f aca="false">IF(AND(K169&lt;=H_max,H169&lt;=300,OR(lane_policy="Free (optimize N_C)",B169=sku_pal),OR(env_use="No",AND(I169&lt;=L_bldg,J169&lt;=W_bldg),AND(I169&lt;=W_bldg,J169&lt;=L_bldg))),1,0)</f>
        <v>0</v>
      </c>
      <c r="AF169" s="48" t="n">
        <f aca="false">IF(obj_mode="Total cost",Z169,IF(obj_mode="Shuttle cycle",O169,T169))</f>
        <v>2969694.2</v>
      </c>
      <c r="AG169" s="3" t="n">
        <f aca="false">IF(AE169=1,AF169*(1+A169*0.0000000001),1E+099)</f>
        <v>1E+099</v>
      </c>
      <c r="AH169" s="3" t="str">
        <f aca="false">IF(AE169=1,"",IF(K169&gt;H_max,"height",IF(AND(lane_policy&lt;&gt;"Free (optimize N_C)",B169&lt;&gt;sku_pal),"lane policy","footprint")))</f>
        <v>footprint</v>
      </c>
    </row>
    <row r="170" customFormat="false" ht="15" hidden="false" customHeight="true" outlineLevel="0" collapsed="false">
      <c r="A170" s="3" t="n">
        <v>163</v>
      </c>
      <c r="B170" s="3" t="n">
        <f aca="false">$J$3</f>
        <v>16</v>
      </c>
      <c r="C170" s="3" t="n">
        <v>3</v>
      </c>
      <c r="D170" s="46" t="n">
        <f aca="false">INDEX(Tc_pl,C170)</f>
        <v>0.529411764705882</v>
      </c>
      <c r="E170" s="47" t="n">
        <f aca="false">INDEX(Tc_S,C170)</f>
        <v>41.6349206349206</v>
      </c>
      <c r="F170" s="34" t="n">
        <f aca="false">lam_total*D170*E170/3600</f>
        <v>0.612278244631186</v>
      </c>
      <c r="G170" s="3" t="n">
        <f aca="false">IF(F170&lt;=0.000000000001,0,MAX(ROUNDUP(F170/rho_max-0.000000001,0),IF(redund="Yes",ROUNDUP(F170/rho_fail-0.000000001,0)+1,0)))</f>
        <v>2</v>
      </c>
      <c r="H170" s="3" t="n">
        <f aca="false">MAX(1,ROUNDUP((P_req/(B170*C170)+G170*lpl)/2-0.000000001,0))</f>
        <v>53</v>
      </c>
      <c r="I170" s="47" t="n">
        <f aca="false">H170*u_w</f>
        <v>53</v>
      </c>
      <c r="J170" s="47" t="n">
        <f aca="false">2*B170*u_d+aisle_w</f>
        <v>42.9</v>
      </c>
      <c r="K170" s="47" t="n">
        <f aca="false">C170*u_h</f>
        <v>6.45</v>
      </c>
      <c r="L170" s="47" t="n">
        <f aca="false">IF(G170=0,I170,I170/(2*G170))</f>
        <v>13.25</v>
      </c>
      <c r="M170" s="34" t="n">
        <f aca="false">((IF((lane_off+(L170))&lt;=(v_sh^2/a_sh),(4/3)*(lane_off+(L170))^1.5/SQRT(a_sh),(4/3)*(v_sh^2/a_sh)^1.5/SQRT(a_sh)+((lane_off+(L170))^2-(v_sh^2/a_sh)^2)/(2*v_sh)+(v_sh/a_sh)*((lane_off+(L170))-(v_sh^2/a_sh))))-(IF((lane_off)&lt;=(v_sh^2/a_sh),(4/3)*(lane_off)^1.5/SQRT(a_sh),(4/3)*(v_sh^2/a_sh)^1.5/SQRT(a_sh)+((lane_off)^2-(v_sh^2/a_sh)^2)/(2*v_sh)+(v_sh/a_sh)*((lane_off)-(v_sh^2/a_sh)))))/(L170)</f>
        <v>8.43198387634281</v>
      </c>
      <c r="N170" s="34" t="n">
        <f aca="false">IF(((B170-1)*u_d/2*(1+f_hc)+lane_off)&lt;=0,0,IF(((B170-1)*u_d/2*(1+f_hc)+lane_off)&gt;=v_sh^2/a_sh,((B170-1)*u_d/2*(1+f_hc)+lane_off)/v_sh+v_sh/a_sh,2*SQRT(((B170-1)*u_d/2*(1+f_hc)+lane_off)/a_sh)))</f>
        <v>12.0857142857143</v>
      </c>
      <c r="O170" s="47" t="n">
        <f aca="false">2*t_sh+2*t_turn+2*M170+2*N170</f>
        <v>99.0353963241142</v>
      </c>
      <c r="P170" s="47" t="n">
        <f aca="false">SUMPRODUCT((Tc_idx&lt;=C170)*(ROUNDUP(lam_total*INDEX(Tc_P,C170,0)*O170/(3600*rho_max)-0.000000001,0)+(ROUNDUP(lam_total*INDEX(Tc_P,C170,0)*O170/(3600*rho_max)-0.000000001,0)&lt;min_sh)*(min_sh-ROUNDUP(lam_total*INDEX(Tc_P,C170,0)*O170/(3600*rho_max)-0.000000001,0))))</f>
        <v>5</v>
      </c>
      <c r="Q170" s="3" t="n">
        <f aca="false">ROUNDUP(P170-0.000000001,0)+spares</f>
        <v>7</v>
      </c>
      <c r="R170" s="45" t="n">
        <f aca="false">B170*C170*(2*H170-G170*lpl)</f>
        <v>4800</v>
      </c>
      <c r="S170" s="45" t="n">
        <f aca="false">R170*fill</f>
        <v>4080</v>
      </c>
      <c r="T170" s="45" t="n">
        <f aca="false">I170*J170</f>
        <v>2273.7</v>
      </c>
      <c r="U170" s="45" t="n">
        <f aca="false">T170*(K170+headroom)</f>
        <v>18075.915</v>
      </c>
      <c r="V170" s="45" t="n">
        <f aca="false">G170*c_lift</f>
        <v>300000</v>
      </c>
      <c r="W170" s="45" t="n">
        <f aca="false">Q170*c_shut</f>
        <v>350000</v>
      </c>
      <c r="X170" s="45" t="n">
        <f aca="false">R170*c_pos</f>
        <v>480000</v>
      </c>
      <c r="Y170" s="45" t="n">
        <f aca="false">T170*c_m2+U170*c_m3</f>
        <v>1451757.45</v>
      </c>
      <c r="Z170" s="45" t="n">
        <f aca="false">SUM(V170:Y170)</f>
        <v>2581757.45</v>
      </c>
      <c r="AA170" s="34" t="n">
        <f aca="false">B170*u_d/(H170*u_w)</f>
        <v>0.392452830188679</v>
      </c>
      <c r="AB170" s="46" t="n">
        <f aca="false">IF(G170=0,0,F170/G170)</f>
        <v>0.306139122315593</v>
      </c>
      <c r="AC170" s="46" t="n">
        <f aca="false">IF(G170&gt;1,F170/(G170-1),"n/a")</f>
        <v>0.612278244631186</v>
      </c>
      <c r="AD170" s="47" t="n">
        <f aca="false">moves_day*m_pallet*9.81*INDEX(Tc_mh,C170)/3600000</f>
        <v>6.61694117647059</v>
      </c>
      <c r="AE170" s="3" t="n">
        <f aca="false">IF(AND(K170&lt;=H_max,H170&lt;=300,OR(lane_policy="Free (optimize N_C)",B170=sku_pal),OR(env_use="No",AND(I170&lt;=L_bldg,J170&lt;=W_bldg),AND(I170&lt;=W_bldg,J170&lt;=L_bldg))),1,0)</f>
        <v>0</v>
      </c>
      <c r="AF170" s="48" t="n">
        <f aca="false">IF(obj_mode="Total cost",Z170,IF(obj_mode="Shuttle cycle",O170,T170))</f>
        <v>2581757.45</v>
      </c>
      <c r="AG170" s="3" t="n">
        <f aca="false">IF(AE170=1,AF170*(1+A170*0.0000000001),1E+099)</f>
        <v>1E+099</v>
      </c>
      <c r="AH170" s="3" t="str">
        <f aca="false">IF(AE170=1,"",IF(K170&gt;H_max,"height",IF(AND(lane_policy&lt;&gt;"Free (optimize N_C)",B170&lt;&gt;sku_pal),"lane policy","footprint")))</f>
        <v>footprint</v>
      </c>
    </row>
    <row r="171" customFormat="false" ht="15" hidden="false" customHeight="true" outlineLevel="0" collapsed="false">
      <c r="A171" s="3" t="n">
        <v>164</v>
      </c>
      <c r="B171" s="3" t="n">
        <f aca="false">$J$3</f>
        <v>16</v>
      </c>
      <c r="C171" s="3" t="n">
        <v>4</v>
      </c>
      <c r="D171" s="46" t="n">
        <f aca="false">INDEX(Tc_pl,C171)</f>
        <v>0.555555555555556</v>
      </c>
      <c r="E171" s="47" t="n">
        <f aca="false">INDEX(Tc_S,C171)</f>
        <v>42.4471428571429</v>
      </c>
      <c r="F171" s="34" t="n">
        <f aca="false">lam_total*D171*E171/3600</f>
        <v>0.655048500881834</v>
      </c>
      <c r="G171" s="3" t="n">
        <f aca="false">IF(F171&lt;=0.000000000001,0,MAX(ROUNDUP(F171/rho_max-0.000000001,0),IF(redund="Yes",ROUNDUP(F171/rho_fail-0.000000001,0)+1,0)))</f>
        <v>2</v>
      </c>
      <c r="H171" s="3" t="n">
        <f aca="false">MAX(1,ROUNDUP((P_req/(B171*C171)+G171*lpl)/2-0.000000001,0))</f>
        <v>40</v>
      </c>
      <c r="I171" s="47" t="n">
        <f aca="false">H171*u_w</f>
        <v>40</v>
      </c>
      <c r="J171" s="47" t="n">
        <f aca="false">2*B171*u_d+aisle_w</f>
        <v>42.9</v>
      </c>
      <c r="K171" s="47" t="n">
        <f aca="false">C171*u_h</f>
        <v>8.6</v>
      </c>
      <c r="L171" s="47" t="n">
        <f aca="false">IF(G171=0,I171,I171/(2*G171))</f>
        <v>10</v>
      </c>
      <c r="M171" s="34" t="n">
        <f aca="false">((IF((lane_off+(L171))&lt;=(v_sh^2/a_sh),(4/3)*(lane_off+(L171))^1.5/SQRT(a_sh),(4/3)*(v_sh^2/a_sh)^1.5/SQRT(a_sh)+((lane_off+(L171))^2-(v_sh^2/a_sh)^2)/(2*v_sh)+(v_sh/a_sh)*((lane_off+(L171))-(v_sh^2/a_sh))))-(IF((lane_off)&lt;=(v_sh^2/a_sh),(4/3)*(lane_off)^1.5/SQRT(a_sh),(4/3)*(v_sh^2/a_sh)^1.5/SQRT(a_sh)+((lane_off)^2-(v_sh^2/a_sh)^2)/(2*v_sh)+(v_sh/a_sh)*((lane_off)-(v_sh^2/a_sh)))))/(L171)</f>
        <v>7.26193220758279</v>
      </c>
      <c r="N171" s="34" t="n">
        <f aca="false">IF(((B171-1)*u_d/2*(1+f_hc)+lane_off)&lt;=0,0,IF(((B171-1)*u_d/2*(1+f_hc)+lane_off)&gt;=v_sh^2/a_sh,((B171-1)*u_d/2*(1+f_hc)+lane_off)/v_sh+v_sh/a_sh,2*SQRT(((B171-1)*u_d/2*(1+f_hc)+lane_off)/a_sh)))</f>
        <v>12.0857142857143</v>
      </c>
      <c r="O171" s="47" t="n">
        <f aca="false">2*t_sh+2*t_turn+2*M171+2*N171</f>
        <v>96.6952929865942</v>
      </c>
      <c r="P171" s="47" t="n">
        <f aca="false">SUMPRODUCT((Tc_idx&lt;=C171)*(ROUNDUP(lam_total*INDEX(Tc_P,C171,0)*O171/(3600*rho_max)-0.000000001,0)+(ROUNDUP(lam_total*INDEX(Tc_P,C171,0)*O171/(3600*rho_max)-0.000000001,0)&lt;min_sh)*(min_sh-ROUNDUP(lam_total*INDEX(Tc_P,C171,0)*O171/(3600*rho_max)-0.000000001,0))))</f>
        <v>6</v>
      </c>
      <c r="Q171" s="3" t="n">
        <f aca="false">ROUNDUP(P171-0.000000001,0)+spares</f>
        <v>8</v>
      </c>
      <c r="R171" s="45" t="n">
        <f aca="false">B171*C171*(2*H171-G171*lpl)</f>
        <v>4736</v>
      </c>
      <c r="S171" s="45" t="n">
        <f aca="false">R171*fill</f>
        <v>4025.6</v>
      </c>
      <c r="T171" s="45" t="n">
        <f aca="false">I171*J171</f>
        <v>1716</v>
      </c>
      <c r="U171" s="45" t="n">
        <f aca="false">T171*(K171+headroom)</f>
        <v>17331.6</v>
      </c>
      <c r="V171" s="45" t="n">
        <f aca="false">G171*c_lift</f>
        <v>300000</v>
      </c>
      <c r="W171" s="45" t="n">
        <f aca="false">Q171*c_shut</f>
        <v>400000</v>
      </c>
      <c r="X171" s="45" t="n">
        <f aca="false">R171*c_pos</f>
        <v>473600</v>
      </c>
      <c r="Y171" s="45" t="n">
        <f aca="false">T171*c_m2+U171*c_m3</f>
        <v>1206348</v>
      </c>
      <c r="Z171" s="45" t="n">
        <f aca="false">SUM(V171:Y171)</f>
        <v>2379948</v>
      </c>
      <c r="AA171" s="34" t="n">
        <f aca="false">B171*u_d/(H171*u_w)</f>
        <v>0.52</v>
      </c>
      <c r="AB171" s="46" t="n">
        <f aca="false">IF(G171=0,0,F171/G171)</f>
        <v>0.327524250440917</v>
      </c>
      <c r="AC171" s="46" t="n">
        <f aca="false">IF(G171&gt;1,F171/(G171-1),"n/a")</f>
        <v>0.655048500881834</v>
      </c>
      <c r="AD171" s="47" t="n">
        <f aca="false">moves_day*m_pallet*9.81*INDEX(Tc_mh,C171)/3600000</f>
        <v>8.12413333333333</v>
      </c>
      <c r="AE171" s="3" t="n">
        <f aca="false">IF(AND(K171&lt;=H_max,H171&lt;=300,OR(lane_policy="Free (optimize N_C)",B171=sku_pal),OR(env_use="No",AND(I171&lt;=L_bldg,J171&lt;=W_bldg),AND(I171&lt;=W_bldg,J171&lt;=L_bldg))),1,0)</f>
        <v>0</v>
      </c>
      <c r="AF171" s="48" t="n">
        <f aca="false">IF(obj_mode="Total cost",Z171,IF(obj_mode="Shuttle cycle",O171,T171))</f>
        <v>2379948</v>
      </c>
      <c r="AG171" s="3" t="n">
        <f aca="false">IF(AE171=1,AF171*(1+A171*0.0000000001),1E+099)</f>
        <v>1E+099</v>
      </c>
      <c r="AH171" s="3" t="str">
        <f aca="false">IF(AE171=1,"",IF(K171&gt;H_max,"height",IF(AND(lane_policy&lt;&gt;"Free (optimize N_C)",B171&lt;&gt;sku_pal),"lane policy","footprint")))</f>
        <v>footprint</v>
      </c>
    </row>
    <row r="172" customFormat="false" ht="15" hidden="false" customHeight="true" outlineLevel="0" collapsed="false">
      <c r="A172" s="3" t="n">
        <v>165</v>
      </c>
      <c r="B172" s="3" t="n">
        <f aca="false">$J$3</f>
        <v>16</v>
      </c>
      <c r="C172" s="3" t="n">
        <v>5</v>
      </c>
      <c r="D172" s="46" t="n">
        <f aca="false">INDEX(Tc_pl,C172)</f>
        <v>0.578947368421053</v>
      </c>
      <c r="E172" s="47" t="n">
        <f aca="false">INDEX(Tc_S,C172)</f>
        <v>43.5025974025974</v>
      </c>
      <c r="F172" s="34" t="n">
        <f aca="false">lam_total*D172*E172/3600</f>
        <v>0.699603174603175</v>
      </c>
      <c r="G172" s="3" t="n">
        <f aca="false">IF(F172&lt;=0.000000000001,0,MAX(ROUNDUP(F172/rho_max-0.000000001,0),IF(redund="Yes",ROUNDUP(F172/rho_fail-0.000000001,0)+1,0)))</f>
        <v>2</v>
      </c>
      <c r="H172" s="3" t="n">
        <f aca="false">MAX(1,ROUNDUP((P_req/(B172*C172)+G172*lpl)/2-0.000000001,0))</f>
        <v>33</v>
      </c>
      <c r="I172" s="47" t="n">
        <f aca="false">H172*u_w</f>
        <v>33</v>
      </c>
      <c r="J172" s="47" t="n">
        <f aca="false">2*B172*u_d+aisle_w</f>
        <v>42.9</v>
      </c>
      <c r="K172" s="47" t="n">
        <f aca="false">C172*u_h</f>
        <v>10.75</v>
      </c>
      <c r="L172" s="47" t="n">
        <f aca="false">IF(G172=0,I172,I172/(2*G172))</f>
        <v>8.25</v>
      </c>
      <c r="M172" s="34" t="n">
        <f aca="false">((IF((lane_off+(L172))&lt;=(v_sh^2/a_sh),(4/3)*(lane_off+(L172))^1.5/SQRT(a_sh),(4/3)*(v_sh^2/a_sh)^1.5/SQRT(a_sh)+((lane_off+(L172))^2-(v_sh^2/a_sh)^2)/(2*v_sh)+(v_sh/a_sh)*((lane_off+(L172))-(v_sh^2/a_sh))))-(IF((lane_off)&lt;=(v_sh^2/a_sh),(4/3)*(lane_off)^1.5/SQRT(a_sh),(4/3)*(v_sh^2/a_sh)^1.5/SQRT(a_sh)+((lane_off)^2-(v_sh^2/a_sh)^2)/(2*v_sh)+(v_sh/a_sh)*((lane_off)-(v_sh^2/a_sh)))))/(L172)</f>
        <v>6.62885722131248</v>
      </c>
      <c r="N172" s="34" t="n">
        <f aca="false">IF(((B172-1)*u_d/2*(1+f_hc)+lane_off)&lt;=0,0,IF(((B172-1)*u_d/2*(1+f_hc)+lane_off)&gt;=v_sh^2/a_sh,((B172-1)*u_d/2*(1+f_hc)+lane_off)/v_sh+v_sh/a_sh,2*SQRT(((B172-1)*u_d/2*(1+f_hc)+lane_off)/a_sh)))</f>
        <v>12.0857142857143</v>
      </c>
      <c r="O172" s="47" t="n">
        <f aca="false">2*t_sh+2*t_turn+2*M172+2*N172</f>
        <v>95.4291430140535</v>
      </c>
      <c r="P172" s="47" t="n">
        <f aca="false">SUMPRODUCT((Tc_idx&lt;=C172)*(ROUNDUP(lam_total*INDEX(Tc_P,C172,0)*O172/(3600*rho_max)-0.000000001,0)+(ROUNDUP(lam_total*INDEX(Tc_P,C172,0)*O172/(3600*rho_max)-0.000000001,0)&lt;min_sh)*(min_sh-ROUNDUP(lam_total*INDEX(Tc_P,C172,0)*O172/(3600*rho_max)-0.000000001,0))))</f>
        <v>7</v>
      </c>
      <c r="Q172" s="3" t="n">
        <f aca="false">ROUNDUP(P172-0.000000001,0)+spares</f>
        <v>9</v>
      </c>
      <c r="R172" s="45" t="n">
        <f aca="false">B172*C172*(2*H172-G172*lpl)</f>
        <v>4800</v>
      </c>
      <c r="S172" s="45" t="n">
        <f aca="false">R172*fill</f>
        <v>4080</v>
      </c>
      <c r="T172" s="45" t="n">
        <f aca="false">I172*J172</f>
        <v>1415.7</v>
      </c>
      <c r="U172" s="45" t="n">
        <f aca="false">T172*(K172+headroom)</f>
        <v>17342.325</v>
      </c>
      <c r="V172" s="45" t="n">
        <f aca="false">G172*c_lift</f>
        <v>300000</v>
      </c>
      <c r="W172" s="45" t="n">
        <f aca="false">Q172*c_shut</f>
        <v>450000</v>
      </c>
      <c r="X172" s="45" t="n">
        <f aca="false">R172*c_pos</f>
        <v>480000</v>
      </c>
      <c r="Y172" s="45" t="n">
        <f aca="false">T172*c_m2+U172*c_m3</f>
        <v>1086549.75</v>
      </c>
      <c r="Z172" s="45" t="n">
        <f aca="false">SUM(V172:Y172)</f>
        <v>2316549.75</v>
      </c>
      <c r="AA172" s="34" t="n">
        <f aca="false">B172*u_d/(H172*u_w)</f>
        <v>0.63030303030303</v>
      </c>
      <c r="AB172" s="46" t="n">
        <f aca="false">IF(G172=0,0,F172/G172)</f>
        <v>0.349801587301587</v>
      </c>
      <c r="AC172" s="46" t="n">
        <f aca="false">IF(G172&gt;1,F172/(G172-1),"n/a")</f>
        <v>0.699603174603175</v>
      </c>
      <c r="AD172" s="47" t="n">
        <f aca="false">moves_day*m_pallet*9.81*INDEX(Tc_mh,C172)/3600000</f>
        <v>10.0647157894737</v>
      </c>
      <c r="AE172" s="3" t="n">
        <f aca="false">IF(AND(K172&lt;=H_max,H172&lt;=300,OR(lane_policy="Free (optimize N_C)",B172=sku_pal),OR(env_use="No",AND(I172&lt;=L_bldg,J172&lt;=W_bldg),AND(I172&lt;=W_bldg,J172&lt;=L_bldg))),1,0)</f>
        <v>0</v>
      </c>
      <c r="AF172" s="48" t="n">
        <f aca="false">IF(obj_mode="Total cost",Z172,IF(obj_mode="Shuttle cycle",O172,T172))</f>
        <v>2316549.75</v>
      </c>
      <c r="AG172" s="3" t="n">
        <f aca="false">IF(AE172=1,AF172*(1+A172*0.0000000001),1E+099)</f>
        <v>1E+099</v>
      </c>
      <c r="AH172" s="3" t="str">
        <f aca="false">IF(AE172=1,"",IF(K172&gt;H_max,"height",IF(AND(lane_policy&lt;&gt;"Free (optimize N_C)",B172&lt;&gt;sku_pal),"lane policy","footprint")))</f>
        <v>footprint</v>
      </c>
    </row>
    <row r="173" customFormat="false" ht="15" hidden="false" customHeight="true" outlineLevel="0" collapsed="false">
      <c r="A173" s="3" t="n">
        <v>166</v>
      </c>
      <c r="B173" s="3" t="n">
        <f aca="false">$J$3</f>
        <v>16</v>
      </c>
      <c r="C173" s="3" t="n">
        <v>6</v>
      </c>
      <c r="D173" s="46" t="n">
        <f aca="false">INDEX(Tc_pl,C173)</f>
        <v>0.6</v>
      </c>
      <c r="E173" s="47" t="n">
        <f aca="false">INDEX(Tc_S,C173)</f>
        <v>44.7404761904762</v>
      </c>
      <c r="F173" s="34" t="n">
        <f aca="false">lam_total*D173*E173/3600</f>
        <v>0.745674603174603</v>
      </c>
      <c r="G173" s="3" t="n">
        <f aca="false">IF(F173&lt;=0.000000000001,0,MAX(ROUNDUP(F173/rho_max-0.000000001,0),IF(redund="Yes",ROUNDUP(F173/rho_fail-0.000000001,0)+1,0)))</f>
        <v>2</v>
      </c>
      <c r="H173" s="3" t="n">
        <f aca="false">MAX(1,ROUNDUP((P_req/(B173*C173)+G173*lpl)/2-0.000000001,0))</f>
        <v>28</v>
      </c>
      <c r="I173" s="47" t="n">
        <f aca="false">H173*u_w</f>
        <v>28</v>
      </c>
      <c r="J173" s="47" t="n">
        <f aca="false">2*B173*u_d+aisle_w</f>
        <v>42.9</v>
      </c>
      <c r="K173" s="47" t="n">
        <f aca="false">C173*u_h</f>
        <v>12.9</v>
      </c>
      <c r="L173" s="47" t="n">
        <f aca="false">IF(G173=0,I173,I173/(2*G173))</f>
        <v>7</v>
      </c>
      <c r="M173" s="34" t="n">
        <f aca="false">((IF((lane_off+(L173))&lt;=(v_sh^2/a_sh),(4/3)*(lane_off+(L173))^1.5/SQRT(a_sh),(4/3)*(v_sh^2/a_sh)^1.5/SQRT(a_sh)+((lane_off+(L173))^2-(v_sh^2/a_sh)^2)/(2*v_sh)+(v_sh/a_sh)*((lane_off+(L173))-(v_sh^2/a_sh))))-(IF((lane_off)&lt;=(v_sh^2/a_sh),(4/3)*(lane_off)^1.5/SQRT(a_sh),(4/3)*(v_sh^2/a_sh)^1.5/SQRT(a_sh)+((lane_off)^2-(v_sh^2/a_sh)^2)/(2*v_sh)+(v_sh/a_sh)*((lane_off)-(v_sh^2/a_sh)))))/(L173)</f>
        <v>6.17418886797542</v>
      </c>
      <c r="N173" s="34" t="n">
        <f aca="false">IF(((B173-1)*u_d/2*(1+f_hc)+lane_off)&lt;=0,0,IF(((B173-1)*u_d/2*(1+f_hc)+lane_off)&gt;=v_sh^2/a_sh,((B173-1)*u_d/2*(1+f_hc)+lane_off)/v_sh+v_sh/a_sh,2*SQRT(((B173-1)*u_d/2*(1+f_hc)+lane_off)/a_sh)))</f>
        <v>12.0857142857143</v>
      </c>
      <c r="O173" s="47" t="n">
        <f aca="false">2*t_sh+2*t_turn+2*M173+2*N173</f>
        <v>94.5198063073794</v>
      </c>
      <c r="P173" s="47" t="n">
        <f aca="false">SUMPRODUCT((Tc_idx&lt;=C173)*(ROUNDUP(lam_total*INDEX(Tc_P,C173,0)*O173/(3600*rho_max)-0.000000001,0)+(ROUNDUP(lam_total*INDEX(Tc_P,C173,0)*O173/(3600*rho_max)-0.000000001,0)&lt;min_sh)*(min_sh-ROUNDUP(lam_total*INDEX(Tc_P,C173,0)*O173/(3600*rho_max)-0.000000001,0))))</f>
        <v>8</v>
      </c>
      <c r="Q173" s="3" t="n">
        <f aca="false">ROUNDUP(P173-0.000000001,0)+spares</f>
        <v>10</v>
      </c>
      <c r="R173" s="45" t="n">
        <f aca="false">B173*C173*(2*H173-G173*lpl)</f>
        <v>4800</v>
      </c>
      <c r="S173" s="45" t="n">
        <f aca="false">R173*fill</f>
        <v>4080</v>
      </c>
      <c r="T173" s="45" t="n">
        <f aca="false">I173*J173</f>
        <v>1201.2</v>
      </c>
      <c r="U173" s="45" t="n">
        <f aca="false">T173*(K173+headroom)</f>
        <v>17297.28</v>
      </c>
      <c r="V173" s="45" t="n">
        <f aca="false">G173*c_lift</f>
        <v>300000</v>
      </c>
      <c r="W173" s="45" t="n">
        <f aca="false">Q173*c_shut</f>
        <v>500000</v>
      </c>
      <c r="X173" s="45" t="n">
        <f aca="false">R173*c_pos</f>
        <v>480000</v>
      </c>
      <c r="Y173" s="45" t="n">
        <f aca="false">T173*c_m2+U173*c_m3</f>
        <v>999398.4</v>
      </c>
      <c r="Z173" s="45" t="n">
        <f aca="false">SUM(V173:Y173)</f>
        <v>2279398.4</v>
      </c>
      <c r="AA173" s="34" t="n">
        <f aca="false">B173*u_d/(H173*u_w)</f>
        <v>0.742857142857143</v>
      </c>
      <c r="AB173" s="46" t="n">
        <f aca="false">IF(G173=0,0,F173/G173)</f>
        <v>0.372837301587302</v>
      </c>
      <c r="AC173" s="46" t="n">
        <f aca="false">IF(G173&gt;1,F173/(G173-1),"n/a")</f>
        <v>0.745674603174603</v>
      </c>
      <c r="AD173" s="47" t="n">
        <f aca="false">moves_day*m_pallet*9.81*INDEX(Tc_mh,C173)/3600000</f>
        <v>12.37368</v>
      </c>
      <c r="AE173" s="3" t="n">
        <f aca="false">IF(AND(K173&lt;=H_max,H173&lt;=300,OR(lane_policy="Free (optimize N_C)",B173=sku_pal),OR(env_use="No",AND(I173&lt;=L_bldg,J173&lt;=W_bldg),AND(I173&lt;=W_bldg,J173&lt;=L_bldg))),1,0)</f>
        <v>1</v>
      </c>
      <c r="AF173" s="48" t="n">
        <f aca="false">IF(obj_mode="Total cost",Z173,IF(obj_mode="Shuttle cycle",O173,T173))</f>
        <v>2279398.4</v>
      </c>
      <c r="AG173" s="3" t="n">
        <f aca="false">IF(AE173=1,AF173*(1+A173*0.0000000001),1E+099)</f>
        <v>2279398.43783801</v>
      </c>
      <c r="AH173" s="3" t="str">
        <f aca="false">IF(AE173=1,"",IF(K173&gt;H_max,"height",IF(AND(lane_policy&lt;&gt;"Free (optimize N_C)",B173&lt;&gt;sku_pal),"lane policy","footprint")))</f>
        <v/>
      </c>
    </row>
    <row r="174" customFormat="false" ht="15" hidden="false" customHeight="true" outlineLevel="0" collapsed="false">
      <c r="A174" s="3" t="n">
        <v>167</v>
      </c>
      <c r="B174" s="3" t="n">
        <f aca="false">$J$3</f>
        <v>16</v>
      </c>
      <c r="C174" s="3" t="n">
        <v>7</v>
      </c>
      <c r="D174" s="46" t="n">
        <f aca="false">INDEX(Tc_pl,C174)</f>
        <v>0.6</v>
      </c>
      <c r="E174" s="47" t="n">
        <f aca="false">INDEX(Tc_S,C174)</f>
        <v>44.9196428571429</v>
      </c>
      <c r="F174" s="34" t="n">
        <f aca="false">lam_total*D174*E174/3600</f>
        <v>0.748660714285714</v>
      </c>
      <c r="G174" s="3" t="n">
        <f aca="false">IF(F174&lt;=0.000000000001,0,MAX(ROUNDUP(F174/rho_max-0.000000001,0),IF(redund="Yes",ROUNDUP(F174/rho_fail-0.000000001,0)+1,0)))</f>
        <v>2</v>
      </c>
      <c r="H174" s="3" t="n">
        <f aca="false">MAX(1,ROUNDUP((P_req/(B174*C174)+G174*lpl)/2-0.000000001,0))</f>
        <v>25</v>
      </c>
      <c r="I174" s="47" t="n">
        <f aca="false">H174*u_w</f>
        <v>25</v>
      </c>
      <c r="J174" s="47" t="n">
        <f aca="false">2*B174*u_d+aisle_w</f>
        <v>42.9</v>
      </c>
      <c r="K174" s="47" t="n">
        <f aca="false">C174*u_h</f>
        <v>15.05</v>
      </c>
      <c r="L174" s="47" t="n">
        <f aca="false">IF(G174=0,I174,I174/(2*G174))</f>
        <v>6.25</v>
      </c>
      <c r="M174" s="34" t="n">
        <f aca="false">((IF((lane_off+(L174))&lt;=(v_sh^2/a_sh),(4/3)*(lane_off+(L174))^1.5/SQRT(a_sh),(4/3)*(v_sh^2/a_sh)^1.5/SQRT(a_sh)+((lane_off+(L174))^2-(v_sh^2/a_sh)^2)/(2*v_sh)+(v_sh/a_sh)*((lane_off+(L174))-(v_sh^2/a_sh))))-(IF((lane_off)&lt;=(v_sh^2/a_sh),(4/3)*(lane_off)^1.5/SQRT(a_sh),(4/3)*(v_sh^2/a_sh)^1.5/SQRT(a_sh)+((lane_off)^2-(v_sh^2/a_sh)^2)/(2*v_sh)+(v_sh/a_sh)*((lane_off)-(v_sh^2/a_sh)))))/(L174)</f>
        <v>5.89980581784675</v>
      </c>
      <c r="N174" s="34" t="n">
        <f aca="false">IF(((B174-1)*u_d/2*(1+f_hc)+lane_off)&lt;=0,0,IF(((B174-1)*u_d/2*(1+f_hc)+lane_off)&gt;=v_sh^2/a_sh,((B174-1)*u_d/2*(1+f_hc)+lane_off)/v_sh+v_sh/a_sh,2*SQRT(((B174-1)*u_d/2*(1+f_hc)+lane_off)/a_sh)))</f>
        <v>12.0857142857143</v>
      </c>
      <c r="O174" s="47" t="n">
        <f aca="false">2*t_sh+2*t_turn+2*M174+2*N174</f>
        <v>93.9710402071221</v>
      </c>
      <c r="P174" s="47" t="n">
        <f aca="false">SUMPRODUCT((Tc_idx&lt;=C174)*(ROUNDUP(lam_total*INDEX(Tc_P,C174,0)*O174/(3600*rho_max)-0.000000001,0)+(ROUNDUP(lam_total*INDEX(Tc_P,C174,0)*O174/(3600*rho_max)-0.000000001,0)&lt;min_sh)*(min_sh-ROUNDUP(lam_total*INDEX(Tc_P,C174,0)*O174/(3600*rho_max)-0.000000001,0))))</f>
        <v>9</v>
      </c>
      <c r="Q174" s="3" t="n">
        <f aca="false">ROUNDUP(P174-0.000000001,0)+spares</f>
        <v>11</v>
      </c>
      <c r="R174" s="45" t="n">
        <f aca="false">B174*C174*(2*H174-G174*lpl)</f>
        <v>4928</v>
      </c>
      <c r="S174" s="45" t="n">
        <f aca="false">R174*fill</f>
        <v>4188.8</v>
      </c>
      <c r="T174" s="45" t="n">
        <f aca="false">I174*J174</f>
        <v>1072.5</v>
      </c>
      <c r="U174" s="45" t="n">
        <f aca="false">T174*(K174+headroom)</f>
        <v>17749.875</v>
      </c>
      <c r="V174" s="45" t="n">
        <f aca="false">G174*c_lift</f>
        <v>300000</v>
      </c>
      <c r="W174" s="45" t="n">
        <f aca="false">Q174*c_shut</f>
        <v>550000</v>
      </c>
      <c r="X174" s="45" t="n">
        <f aca="false">R174*c_pos</f>
        <v>492800</v>
      </c>
      <c r="Y174" s="45" t="n">
        <f aca="false">T174*c_m2+U174*c_m3</f>
        <v>961496.25</v>
      </c>
      <c r="Z174" s="45" t="n">
        <f aca="false">SUM(V174:Y174)</f>
        <v>2304296.25</v>
      </c>
      <c r="AA174" s="34" t="n">
        <f aca="false">B174*u_d/(H174*u_w)</f>
        <v>0.832</v>
      </c>
      <c r="AB174" s="46" t="n">
        <f aca="false">IF(G174=0,0,F174/G174)</f>
        <v>0.374330357142857</v>
      </c>
      <c r="AC174" s="46" t="n">
        <f aca="false">IF(G174&gt;1,F174/(G174-1),"n/a")</f>
        <v>0.748660714285714</v>
      </c>
      <c r="AD174" s="47" t="n">
        <f aca="false">moves_day*m_pallet*9.81*INDEX(Tc_mh,C174)/3600000</f>
        <v>12.6549</v>
      </c>
      <c r="AE174" s="3" t="n">
        <f aca="false">IF(AND(K174&lt;=H_max,H174&lt;=300,OR(lane_policy="Free (optimize N_C)",B174=sku_pal),OR(env_use="No",AND(I174&lt;=L_bldg,J174&lt;=W_bldg),AND(I174&lt;=W_bldg,J174&lt;=L_bldg))),1,0)</f>
        <v>1</v>
      </c>
      <c r="AF174" s="48" t="n">
        <f aca="false">IF(obj_mode="Total cost",Z174,IF(obj_mode="Shuttle cycle",O174,T174))</f>
        <v>2304296.25</v>
      </c>
      <c r="AG174" s="3" t="n">
        <f aca="false">IF(AE174=1,AF174*(1+A174*0.0000000001),1E+099)</f>
        <v>2304296.28848175</v>
      </c>
      <c r="AH174" s="3" t="str">
        <f aca="false">IF(AE174=1,"",IF(K174&gt;H_max,"height",IF(AND(lane_policy&lt;&gt;"Free (optimize N_C)",B174&lt;&gt;sku_pal),"lane policy","footprint")))</f>
        <v/>
      </c>
    </row>
    <row r="175" customFormat="false" ht="15" hidden="false" customHeight="true" outlineLevel="0" collapsed="false">
      <c r="A175" s="3" t="n">
        <v>168</v>
      </c>
      <c r="B175" s="3" t="n">
        <f aca="false">$J$3</f>
        <v>16</v>
      </c>
      <c r="C175" s="3" t="n">
        <v>8</v>
      </c>
      <c r="D175" s="46" t="n">
        <f aca="false">INDEX(Tc_pl,C175)</f>
        <v>0.6</v>
      </c>
      <c r="E175" s="47" t="n">
        <f aca="false">INDEX(Tc_S,C175)</f>
        <v>45.0988095238095</v>
      </c>
      <c r="F175" s="34" t="n">
        <f aca="false">lam_total*D175*E175/3600</f>
        <v>0.751646825396826</v>
      </c>
      <c r="G175" s="3" t="n">
        <f aca="false">IF(F175&lt;=0.000000000001,0,MAX(ROUNDUP(F175/rho_max-0.000000001,0),IF(redund="Yes",ROUNDUP(F175/rho_fail-0.000000001,0)+1,0)))</f>
        <v>2</v>
      </c>
      <c r="H175" s="3" t="n">
        <f aca="false">MAX(1,ROUNDUP((P_req/(B175*C175)+G175*lpl)/2-0.000000001,0))</f>
        <v>22</v>
      </c>
      <c r="I175" s="47" t="n">
        <f aca="false">H175*u_w</f>
        <v>22</v>
      </c>
      <c r="J175" s="47" t="n">
        <f aca="false">2*B175*u_d+aisle_w</f>
        <v>42.9</v>
      </c>
      <c r="K175" s="47" t="n">
        <f aca="false">C175*u_h</f>
        <v>17.2</v>
      </c>
      <c r="L175" s="47" t="n">
        <f aca="false">IF(G175=0,I175,I175/(2*G175))</f>
        <v>5.5</v>
      </c>
      <c r="M175" s="34" t="n">
        <f aca="false">((IF((lane_off+(L175))&lt;=(v_sh^2/a_sh),(4/3)*(lane_off+(L175))^1.5/SQRT(a_sh),(4/3)*(v_sh^2/a_sh)^1.5/SQRT(a_sh)+((lane_off+(L175))^2-(v_sh^2/a_sh)^2)/(2*v_sh)+(v_sh/a_sh)*((lane_off+(L175))-(v_sh^2/a_sh))))-(IF((lane_off)&lt;=(v_sh^2/a_sh),(4/3)*(lane_off)^1.5/SQRT(a_sh),(4/3)*(v_sh^2/a_sh)^1.5/SQRT(a_sh)+((lane_off)^2-(v_sh^2/a_sh)^2)/(2*v_sh)+(v_sh/a_sh)*((lane_off)-(v_sh^2/a_sh)))))/(L175)</f>
        <v>5.62364297482586</v>
      </c>
      <c r="N175" s="34" t="n">
        <f aca="false">IF(((B175-1)*u_d/2*(1+f_hc)+lane_off)&lt;=0,0,IF(((B175-1)*u_d/2*(1+f_hc)+lane_off)&gt;=v_sh^2/a_sh,((B175-1)*u_d/2*(1+f_hc)+lane_off)/v_sh+v_sh/a_sh,2*SQRT(((B175-1)*u_d/2*(1+f_hc)+lane_off)/a_sh)))</f>
        <v>12.0857142857143</v>
      </c>
      <c r="O175" s="47" t="n">
        <f aca="false">2*t_sh+2*t_turn+2*M175+2*N175</f>
        <v>93.4187145210803</v>
      </c>
      <c r="P175" s="47" t="n">
        <f aca="false">SUMPRODUCT((Tc_idx&lt;=C175)*(ROUNDUP(lam_total*INDEX(Tc_P,C175,0)*O175/(3600*rho_max)-0.000000001,0)+(ROUNDUP(lam_total*INDEX(Tc_P,C175,0)*O175/(3600*rho_max)-0.000000001,0)&lt;min_sh)*(min_sh-ROUNDUP(lam_total*INDEX(Tc_P,C175,0)*O175/(3600*rho_max)-0.000000001,0))))</f>
        <v>10</v>
      </c>
      <c r="Q175" s="3" t="n">
        <f aca="false">ROUNDUP(P175-0.000000001,0)+spares</f>
        <v>12</v>
      </c>
      <c r="R175" s="45" t="n">
        <f aca="false">B175*C175*(2*H175-G175*lpl)</f>
        <v>4864</v>
      </c>
      <c r="S175" s="45" t="n">
        <f aca="false">R175*fill</f>
        <v>4134.4</v>
      </c>
      <c r="T175" s="45" t="n">
        <f aca="false">I175*J175</f>
        <v>943.8</v>
      </c>
      <c r="U175" s="45" t="n">
        <f aca="false">T175*(K175+headroom)</f>
        <v>17649.06</v>
      </c>
      <c r="V175" s="45" t="n">
        <f aca="false">G175*c_lift</f>
        <v>300000</v>
      </c>
      <c r="W175" s="45" t="n">
        <f aca="false">Q175*c_shut</f>
        <v>600000</v>
      </c>
      <c r="X175" s="45" t="n">
        <f aca="false">R175*c_pos</f>
        <v>486400</v>
      </c>
      <c r="Y175" s="45" t="n">
        <f aca="false">T175*c_m2+U175*c_m3</f>
        <v>906991.8</v>
      </c>
      <c r="Z175" s="45" t="n">
        <f aca="false">SUM(V175:Y175)</f>
        <v>2293391.8</v>
      </c>
      <c r="AA175" s="34" t="n">
        <f aca="false">B175*u_d/(H175*u_w)</f>
        <v>0.945454545454545</v>
      </c>
      <c r="AB175" s="46" t="n">
        <f aca="false">IF(G175=0,0,F175/G175)</f>
        <v>0.375823412698413</v>
      </c>
      <c r="AC175" s="46" t="n">
        <f aca="false">IF(G175&gt;1,F175/(G175-1),"n/a")</f>
        <v>0.751646825396826</v>
      </c>
      <c r="AD175" s="47" t="n">
        <f aca="false">moves_day*m_pallet*9.81*INDEX(Tc_mh,C175)/3600000</f>
        <v>12.93612</v>
      </c>
      <c r="AE175" s="3" t="n">
        <f aca="false">IF(AND(K175&lt;=H_max,H175&lt;=300,OR(lane_policy="Free (optimize N_C)",B175=sku_pal),OR(env_use="No",AND(I175&lt;=L_bldg,J175&lt;=W_bldg),AND(I175&lt;=W_bldg,J175&lt;=L_bldg))),1,0)</f>
        <v>1</v>
      </c>
      <c r="AF175" s="48" t="n">
        <f aca="false">IF(obj_mode="Total cost",Z175,IF(obj_mode="Shuttle cycle",O175,T175))</f>
        <v>2293391.8</v>
      </c>
      <c r="AG175" s="3" t="n">
        <f aca="false">IF(AE175=1,AF175*(1+A175*0.0000000001),1E+099)</f>
        <v>2293391.83852898</v>
      </c>
      <c r="AH175" s="3" t="str">
        <f aca="false">IF(AE175=1,"",IF(K175&gt;H_max,"height",IF(AND(lane_policy&lt;&gt;"Free (optimize N_C)",B175&lt;&gt;sku_pal),"lane policy","footprint")))</f>
        <v/>
      </c>
    </row>
    <row r="176" customFormat="false" ht="15" hidden="false" customHeight="true" outlineLevel="0" collapsed="false">
      <c r="A176" s="3" t="n">
        <v>169</v>
      </c>
      <c r="B176" s="3" t="n">
        <f aca="false">$J$3</f>
        <v>16</v>
      </c>
      <c r="C176" s="3" t="n">
        <v>9</v>
      </c>
      <c r="D176" s="46" t="n">
        <f aca="false">INDEX(Tc_pl,C176)</f>
        <v>0.6</v>
      </c>
      <c r="E176" s="47" t="n">
        <f aca="false">INDEX(Tc_S,C176)</f>
        <v>45.2779761904762</v>
      </c>
      <c r="F176" s="34" t="n">
        <f aca="false">lam_total*D176*E176/3600</f>
        <v>0.754632936507936</v>
      </c>
      <c r="G176" s="3" t="n">
        <f aca="false">IF(F176&lt;=0.000000000001,0,MAX(ROUNDUP(F176/rho_max-0.000000001,0),IF(redund="Yes",ROUNDUP(F176/rho_fail-0.000000001,0)+1,0)))</f>
        <v>2</v>
      </c>
      <c r="H176" s="3" t="n">
        <f aca="false">MAX(1,ROUNDUP((P_req/(B176*C176)+G176*lpl)/2-0.000000001,0))</f>
        <v>20</v>
      </c>
      <c r="I176" s="47" t="n">
        <f aca="false">H176*u_w</f>
        <v>20</v>
      </c>
      <c r="J176" s="47" t="n">
        <f aca="false">2*B176*u_d+aisle_w</f>
        <v>42.9</v>
      </c>
      <c r="K176" s="47" t="n">
        <f aca="false">C176*u_h</f>
        <v>19.35</v>
      </c>
      <c r="L176" s="47" t="n">
        <f aca="false">IF(G176=0,I176,I176/(2*G176))</f>
        <v>5</v>
      </c>
      <c r="M176" s="34" t="n">
        <f aca="false">((IF((lane_off+(L176))&lt;=(v_sh^2/a_sh),(4/3)*(lane_off+(L176))^1.5/SQRT(a_sh),(4/3)*(v_sh^2/a_sh)^1.5/SQRT(a_sh)+((lane_off+(L176))^2-(v_sh^2/a_sh)^2)/(2*v_sh)+(v_sh/a_sh)*((lane_off+(L176))-(v_sh^2/a_sh))))-(IF((lane_off)&lt;=(v_sh^2/a_sh),(4/3)*(lane_off)^1.5/SQRT(a_sh),(4/3)*(v_sh^2/a_sh)^1.5/SQRT(a_sh)+((lane_off)^2-(v_sh^2/a_sh)^2)/(2*v_sh)+(v_sh/a_sh)*((lane_off)-(v_sh^2/a_sh)))))/(L176)</f>
        <v>5.4381501294513</v>
      </c>
      <c r="N176" s="34" t="n">
        <f aca="false">IF(((B176-1)*u_d/2*(1+f_hc)+lane_off)&lt;=0,0,IF(((B176-1)*u_d/2*(1+f_hc)+lane_off)&gt;=v_sh^2/a_sh,((B176-1)*u_d/2*(1+f_hc)+lane_off)/v_sh+v_sh/a_sh,2*SQRT(((B176-1)*u_d/2*(1+f_hc)+lane_off)/a_sh)))</f>
        <v>12.0857142857143</v>
      </c>
      <c r="O176" s="47" t="n">
        <f aca="false">2*t_sh+2*t_turn+2*M176+2*N176</f>
        <v>93.0477288303312</v>
      </c>
      <c r="P176" s="47" t="n">
        <f aca="false">SUMPRODUCT((Tc_idx&lt;=C176)*(ROUNDUP(lam_total*INDEX(Tc_P,C176,0)*O176/(3600*rho_max)-0.000000001,0)+(ROUNDUP(lam_total*INDEX(Tc_P,C176,0)*O176/(3600*rho_max)-0.000000001,0)&lt;min_sh)*(min_sh-ROUNDUP(lam_total*INDEX(Tc_P,C176,0)*O176/(3600*rho_max)-0.000000001,0))))</f>
        <v>11</v>
      </c>
      <c r="Q176" s="3" t="n">
        <f aca="false">ROUNDUP(P176-0.000000001,0)+spares</f>
        <v>13</v>
      </c>
      <c r="R176" s="45" t="n">
        <f aca="false">B176*C176*(2*H176-G176*lpl)</f>
        <v>4896</v>
      </c>
      <c r="S176" s="45" t="n">
        <f aca="false">R176*fill</f>
        <v>4161.6</v>
      </c>
      <c r="T176" s="45" t="n">
        <f aca="false">I176*J176</f>
        <v>858</v>
      </c>
      <c r="U176" s="45" t="n">
        <f aca="false">T176*(K176+headroom)</f>
        <v>17889.3</v>
      </c>
      <c r="V176" s="45" t="n">
        <f aca="false">G176*c_lift</f>
        <v>300000</v>
      </c>
      <c r="W176" s="45" t="n">
        <f aca="false">Q176*c_shut</f>
        <v>650000</v>
      </c>
      <c r="X176" s="45" t="n">
        <f aca="false">R176*c_pos</f>
        <v>489600</v>
      </c>
      <c r="Y176" s="45" t="n">
        <f aca="false">T176*c_m2+U176*c_m3</f>
        <v>879879</v>
      </c>
      <c r="Z176" s="45" t="n">
        <f aca="false">SUM(V176:Y176)</f>
        <v>2319479</v>
      </c>
      <c r="AA176" s="34" t="n">
        <f aca="false">B176*u_d/(H176*u_w)</f>
        <v>1.04</v>
      </c>
      <c r="AB176" s="46" t="n">
        <f aca="false">IF(G176=0,0,F176/G176)</f>
        <v>0.377316468253968</v>
      </c>
      <c r="AC176" s="46" t="n">
        <f aca="false">IF(G176&gt;1,F176/(G176-1),"n/a")</f>
        <v>0.754632936507936</v>
      </c>
      <c r="AD176" s="47" t="n">
        <f aca="false">moves_day*m_pallet*9.81*INDEX(Tc_mh,C176)/3600000</f>
        <v>13.21734</v>
      </c>
      <c r="AE176" s="3" t="n">
        <f aca="false">IF(AND(K176&lt;=H_max,H176&lt;=300,OR(lane_policy="Free (optimize N_C)",B176=sku_pal),OR(env_use="No",AND(I176&lt;=L_bldg,J176&lt;=W_bldg),AND(I176&lt;=W_bldg,J176&lt;=L_bldg))),1,0)</f>
        <v>1</v>
      </c>
      <c r="AF176" s="48" t="n">
        <f aca="false">IF(obj_mode="Total cost",Z176,IF(obj_mode="Shuttle cycle",O176,T176))</f>
        <v>2319479</v>
      </c>
      <c r="AG176" s="3" t="n">
        <f aca="false">IF(AE176=1,AF176*(1+A176*0.0000000001),1E+099)</f>
        <v>2319479.0391992</v>
      </c>
      <c r="AH176" s="3" t="str">
        <f aca="false">IF(AE176=1,"",IF(K176&gt;H_max,"height",IF(AND(lane_policy&lt;&gt;"Free (optimize N_C)",B176&lt;&gt;sku_pal),"lane policy","footprint")))</f>
        <v/>
      </c>
    </row>
    <row r="177" customFormat="false" ht="15" hidden="false" customHeight="true" outlineLevel="0" collapsed="false">
      <c r="A177" s="3" t="n">
        <v>170</v>
      </c>
      <c r="B177" s="3" t="n">
        <f aca="false">$J$3</f>
        <v>16</v>
      </c>
      <c r="C177" s="3" t="n">
        <v>10</v>
      </c>
      <c r="D177" s="46" t="n">
        <f aca="false">INDEX(Tc_pl,C177)</f>
        <v>0.6</v>
      </c>
      <c r="E177" s="47" t="n">
        <f aca="false">INDEX(Tc_S,C177)</f>
        <v>45.4571428571429</v>
      </c>
      <c r="F177" s="34" t="n">
        <f aca="false">lam_total*D177*E177/3600</f>
        <v>0.757619047619048</v>
      </c>
      <c r="G177" s="3" t="n">
        <f aca="false">IF(F177&lt;=0.000000000001,0,MAX(ROUNDUP(F177/rho_max-0.000000001,0),IF(redund="Yes",ROUNDUP(F177/rho_fail-0.000000001,0)+1,0)))</f>
        <v>2</v>
      </c>
      <c r="H177" s="3" t="n">
        <f aca="false">MAX(1,ROUNDUP((P_req/(B177*C177)+G177*lpl)/2-0.000000001,0))</f>
        <v>18</v>
      </c>
      <c r="I177" s="47" t="n">
        <f aca="false">H177*u_w</f>
        <v>18</v>
      </c>
      <c r="J177" s="47" t="n">
        <f aca="false">2*B177*u_d+aisle_w</f>
        <v>42.9</v>
      </c>
      <c r="K177" s="47" t="n">
        <f aca="false">C177*u_h</f>
        <v>21.5</v>
      </c>
      <c r="L177" s="47" t="n">
        <f aca="false">IF(G177=0,I177,I177/(2*G177))</f>
        <v>4.5</v>
      </c>
      <c r="M177" s="34" t="n">
        <f aca="false">((IF((lane_off+(L177))&lt;=(v_sh^2/a_sh),(4/3)*(lane_off+(L177))^1.5/SQRT(a_sh),(4/3)*(v_sh^2/a_sh)^1.5/SQRT(a_sh)+((lane_off+(L177))^2-(v_sh^2/a_sh)^2)/(2*v_sh)+(v_sh/a_sh)*((lane_off+(L177))-(v_sh^2/a_sh))))-(IF((lane_off)&lt;=(v_sh^2/a_sh),(4/3)*(lane_off)^1.5/SQRT(a_sh),(4/3)*(v_sh^2/a_sh)^1.5/SQRT(a_sh)+((lane_off)^2-(v_sh^2/a_sh)^2)/(2*v_sh)+(v_sh/a_sh)*((lane_off)-(v_sh^2/a_sh)))))/(L177)</f>
        <v>5.25111919145383</v>
      </c>
      <c r="N177" s="34" t="n">
        <f aca="false">IF(((B177-1)*u_d/2*(1+f_hc)+lane_off)&lt;=0,0,IF(((B177-1)*u_d/2*(1+f_hc)+lane_off)&gt;=v_sh^2/a_sh,((B177-1)*u_d/2*(1+f_hc)+lane_off)/v_sh+v_sh/a_sh,2*SQRT(((B177-1)*u_d/2*(1+f_hc)+lane_off)/a_sh)))</f>
        <v>12.0857142857143</v>
      </c>
      <c r="O177" s="47" t="n">
        <f aca="false">2*t_sh+2*t_turn+2*M177+2*N177</f>
        <v>92.6736669543362</v>
      </c>
      <c r="P177" s="47" t="n">
        <f aca="false">SUMPRODUCT((Tc_idx&lt;=C177)*(ROUNDUP(lam_total*INDEX(Tc_P,C177,0)*O177/(3600*rho_max)-0.000000001,0)+(ROUNDUP(lam_total*INDEX(Tc_P,C177,0)*O177/(3600*rho_max)-0.000000001,0)&lt;min_sh)*(min_sh-ROUNDUP(lam_total*INDEX(Tc_P,C177,0)*O177/(3600*rho_max)-0.000000001,0))))</f>
        <v>12</v>
      </c>
      <c r="Q177" s="3" t="n">
        <f aca="false">ROUNDUP(P177-0.000000001,0)+spares</f>
        <v>14</v>
      </c>
      <c r="R177" s="45" t="n">
        <f aca="false">B177*C177*(2*H177-G177*lpl)</f>
        <v>4800</v>
      </c>
      <c r="S177" s="45" t="n">
        <f aca="false">R177*fill</f>
        <v>4080</v>
      </c>
      <c r="T177" s="45" t="n">
        <f aca="false">I177*J177</f>
        <v>772.2</v>
      </c>
      <c r="U177" s="45" t="n">
        <f aca="false">T177*(K177+headroom)</f>
        <v>17760.6</v>
      </c>
      <c r="V177" s="45" t="n">
        <f aca="false">G177*c_lift</f>
        <v>300000</v>
      </c>
      <c r="W177" s="45" t="n">
        <f aca="false">Q177*c_shut</f>
        <v>700000</v>
      </c>
      <c r="X177" s="45" t="n">
        <f aca="false">R177*c_pos</f>
        <v>480000</v>
      </c>
      <c r="Y177" s="45" t="n">
        <f aca="false">T177*c_m2+U177*c_m3</f>
        <v>841698</v>
      </c>
      <c r="Z177" s="45" t="n">
        <f aca="false">SUM(V177:Y177)</f>
        <v>2321698</v>
      </c>
      <c r="AA177" s="34" t="n">
        <f aca="false">B177*u_d/(H177*u_w)</f>
        <v>1.15555555555556</v>
      </c>
      <c r="AB177" s="46" t="n">
        <f aca="false">IF(G177=0,0,F177/G177)</f>
        <v>0.378809523809524</v>
      </c>
      <c r="AC177" s="46" t="n">
        <f aca="false">IF(G177&gt;1,F177/(G177-1),"n/a")</f>
        <v>0.757619047619048</v>
      </c>
      <c r="AD177" s="47" t="n">
        <f aca="false">moves_day*m_pallet*9.81*INDEX(Tc_mh,C177)/3600000</f>
        <v>13.49856</v>
      </c>
      <c r="AE177" s="3" t="n">
        <f aca="false">IF(AND(K177&lt;=H_max,H177&lt;=300,OR(lane_policy="Free (optimize N_C)",B177=sku_pal),OR(env_use="No",AND(I177&lt;=L_bldg,J177&lt;=W_bldg),AND(I177&lt;=W_bldg,J177&lt;=L_bldg))),1,0)</f>
        <v>0</v>
      </c>
      <c r="AF177" s="48" t="n">
        <f aca="false">IF(obj_mode="Total cost",Z177,IF(obj_mode="Shuttle cycle",O177,T177))</f>
        <v>2321698</v>
      </c>
      <c r="AG177" s="3" t="n">
        <f aca="false">IF(AE177=1,AF177*(1+A177*0.0000000001),1E+099)</f>
        <v>1E+099</v>
      </c>
      <c r="AH177" s="3" t="str">
        <f aca="false">IF(AE177=1,"",IF(K177&gt;H_max,"height",IF(AND(lane_policy&lt;&gt;"Free (optimize N_C)",B177&lt;&gt;sku_pal),"lane policy","footprint")))</f>
        <v>height</v>
      </c>
    </row>
    <row r="178" customFormat="false" ht="15" hidden="false" customHeight="true" outlineLevel="0" collapsed="false">
      <c r="A178" s="3" t="n">
        <v>171</v>
      </c>
      <c r="B178" s="3" t="n">
        <f aca="false">$J$3</f>
        <v>16</v>
      </c>
      <c r="C178" s="3" t="n">
        <v>11</v>
      </c>
      <c r="D178" s="46" t="n">
        <f aca="false">INDEX(Tc_pl,C178)</f>
        <v>0.6</v>
      </c>
      <c r="E178" s="47" t="n">
        <f aca="false">INDEX(Tc_S,C178)</f>
        <v>45.6363095238095</v>
      </c>
      <c r="F178" s="34" t="n">
        <f aca="false">lam_total*D178*E178/3600</f>
        <v>0.760605158730159</v>
      </c>
      <c r="G178" s="3" t="n">
        <f aca="false">IF(F178&lt;=0.000000000001,0,MAX(ROUNDUP(F178/rho_max-0.000000001,0),IF(redund="Yes",ROUNDUP(F178/rho_fail-0.000000001,0)+1,0)))</f>
        <v>2</v>
      </c>
      <c r="H178" s="3" t="n">
        <f aca="false">MAX(1,ROUNDUP((P_req/(B178*C178)+G178*lpl)/2-0.000000001,0))</f>
        <v>17</v>
      </c>
      <c r="I178" s="47" t="n">
        <f aca="false">H178*u_w</f>
        <v>17</v>
      </c>
      <c r="J178" s="47" t="n">
        <f aca="false">2*B178*u_d+aisle_w</f>
        <v>42.9</v>
      </c>
      <c r="K178" s="47" t="n">
        <f aca="false">C178*u_h</f>
        <v>23.65</v>
      </c>
      <c r="L178" s="47" t="n">
        <f aca="false">IF(G178=0,I178,I178/(2*G178))</f>
        <v>4.25</v>
      </c>
      <c r="M178" s="34" t="n">
        <f aca="false">((IF((lane_off+(L178))&lt;=(v_sh^2/a_sh),(4/3)*(lane_off+(L178))^1.5/SQRT(a_sh),(4/3)*(v_sh^2/a_sh)^1.5/SQRT(a_sh)+((lane_off+(L178))^2-(v_sh^2/a_sh)^2)/(2*v_sh)+(v_sh/a_sh)*((lane_off+(L178))-(v_sh^2/a_sh))))-(IF((lane_off)&lt;=(v_sh^2/a_sh),(4/3)*(lane_off)^1.5/SQRT(a_sh),(4/3)*(v_sh^2/a_sh)^1.5/SQRT(a_sh)+((lane_off)^2-(v_sh^2/a_sh)^2)/(2*v_sh)+(v_sh/a_sh)*((lane_off)-(v_sh^2/a_sh)))))/(L178)</f>
        <v>5.15685729515279</v>
      </c>
      <c r="N178" s="34" t="n">
        <f aca="false">IF(((B178-1)*u_d/2*(1+f_hc)+lane_off)&lt;=0,0,IF(((B178-1)*u_d/2*(1+f_hc)+lane_off)&gt;=v_sh^2/a_sh,((B178-1)*u_d/2*(1+f_hc)+lane_off)/v_sh+v_sh/a_sh,2*SQRT(((B178-1)*u_d/2*(1+f_hc)+lane_off)/a_sh)))</f>
        <v>12.0857142857143</v>
      </c>
      <c r="O178" s="47" t="n">
        <f aca="false">2*t_sh+2*t_turn+2*M178+2*N178</f>
        <v>92.4851431617342</v>
      </c>
      <c r="P178" s="47" t="n">
        <f aca="false">SUMPRODUCT((Tc_idx&lt;=C178)*(ROUNDUP(lam_total*INDEX(Tc_P,C178,0)*O178/(3600*rho_max)-0.000000001,0)+(ROUNDUP(lam_total*INDEX(Tc_P,C178,0)*O178/(3600*rho_max)-0.000000001,0)&lt;min_sh)*(min_sh-ROUNDUP(lam_total*INDEX(Tc_P,C178,0)*O178/(3600*rho_max)-0.000000001,0))))</f>
        <v>13</v>
      </c>
      <c r="Q178" s="3" t="n">
        <f aca="false">ROUNDUP(P178-0.000000001,0)+spares</f>
        <v>15</v>
      </c>
      <c r="R178" s="45" t="n">
        <f aca="false">B178*C178*(2*H178-G178*lpl)</f>
        <v>4928</v>
      </c>
      <c r="S178" s="45" t="n">
        <f aca="false">R178*fill</f>
        <v>4188.8</v>
      </c>
      <c r="T178" s="45" t="n">
        <f aca="false">I178*J178</f>
        <v>729.3</v>
      </c>
      <c r="U178" s="45" t="n">
        <f aca="false">T178*(K178+headroom)</f>
        <v>18341.895</v>
      </c>
      <c r="V178" s="45" t="n">
        <f aca="false">G178*c_lift</f>
        <v>300000</v>
      </c>
      <c r="W178" s="45" t="n">
        <f aca="false">Q178*c_shut</f>
        <v>750000</v>
      </c>
      <c r="X178" s="45" t="n">
        <f aca="false">R178*c_pos</f>
        <v>492800</v>
      </c>
      <c r="Y178" s="45" t="n">
        <f aca="false">T178*c_m2+U178*c_m3</f>
        <v>841976.85</v>
      </c>
      <c r="Z178" s="45" t="n">
        <f aca="false">SUM(V178:Y178)</f>
        <v>2384776.85</v>
      </c>
      <c r="AA178" s="34" t="n">
        <f aca="false">B178*u_d/(H178*u_w)</f>
        <v>1.22352941176471</v>
      </c>
      <c r="AB178" s="46" t="n">
        <f aca="false">IF(G178=0,0,F178/G178)</f>
        <v>0.380302579365079</v>
      </c>
      <c r="AC178" s="46" t="n">
        <f aca="false">IF(G178&gt;1,F178/(G178-1),"n/a")</f>
        <v>0.760605158730159</v>
      </c>
      <c r="AD178" s="47" t="n">
        <f aca="false">moves_day*m_pallet*9.81*INDEX(Tc_mh,C178)/3600000</f>
        <v>13.77978</v>
      </c>
      <c r="AE178" s="3" t="n">
        <f aca="false">IF(AND(K178&lt;=H_max,H178&lt;=300,OR(lane_policy="Free (optimize N_C)",B178=sku_pal),OR(env_use="No",AND(I178&lt;=L_bldg,J178&lt;=W_bldg),AND(I178&lt;=W_bldg,J178&lt;=L_bldg))),1,0)</f>
        <v>0</v>
      </c>
      <c r="AF178" s="48" t="n">
        <f aca="false">IF(obj_mode="Total cost",Z178,IF(obj_mode="Shuttle cycle",O178,T178))</f>
        <v>2384776.85</v>
      </c>
      <c r="AG178" s="3" t="n">
        <f aca="false">IF(AE178=1,AF178*(1+A178*0.0000000001),1E+099)</f>
        <v>1E+099</v>
      </c>
      <c r="AH178" s="3" t="str">
        <f aca="false">IF(AE178=1,"",IF(K178&gt;H_max,"height",IF(AND(lane_policy&lt;&gt;"Free (optimize N_C)",B178&lt;&gt;sku_pal),"lane policy","footprint")))</f>
        <v>height</v>
      </c>
    </row>
    <row r="179" customFormat="false" ht="15" hidden="false" customHeight="true" outlineLevel="0" collapsed="false">
      <c r="A179" s="3" t="n">
        <v>172</v>
      </c>
      <c r="B179" s="3" t="n">
        <f aca="false">$J$3</f>
        <v>16</v>
      </c>
      <c r="C179" s="3" t="n">
        <v>12</v>
      </c>
      <c r="D179" s="46" t="n">
        <f aca="false">INDEX(Tc_pl,C179)</f>
        <v>0.6</v>
      </c>
      <c r="E179" s="47" t="n">
        <f aca="false">INDEX(Tc_S,C179)</f>
        <v>45.8154761904762</v>
      </c>
      <c r="F179" s="34" t="n">
        <f aca="false">lam_total*D179*E179/3600</f>
        <v>0.76359126984127</v>
      </c>
      <c r="G179" s="3" t="n">
        <f aca="false">IF(F179&lt;=0.000000000001,0,MAX(ROUNDUP(F179/rho_max-0.000000001,0),IF(redund="Yes",ROUNDUP(F179/rho_fail-0.000000001,0)+1,0)))</f>
        <v>2</v>
      </c>
      <c r="H179" s="3" t="n">
        <f aca="false">MAX(1,ROUNDUP((P_req/(B179*C179)+G179*lpl)/2-0.000000001,0))</f>
        <v>16</v>
      </c>
      <c r="I179" s="47" t="n">
        <f aca="false">H179*u_w</f>
        <v>16</v>
      </c>
      <c r="J179" s="47" t="n">
        <f aca="false">2*B179*u_d+aisle_w</f>
        <v>42.9</v>
      </c>
      <c r="K179" s="47" t="n">
        <f aca="false">C179*u_h</f>
        <v>25.8</v>
      </c>
      <c r="L179" s="47" t="n">
        <f aca="false">IF(G179=0,I179,I179/(2*G179))</f>
        <v>4</v>
      </c>
      <c r="M179" s="34" t="n">
        <f aca="false">((IF((lane_off+(L179))&lt;=(v_sh^2/a_sh),(4/3)*(lane_off+(L179))^1.5/SQRT(a_sh),(4/3)*(v_sh^2/a_sh)^1.5/SQRT(a_sh)+((lane_off+(L179))^2-(v_sh^2/a_sh)^2)/(2*v_sh)+(v_sh/a_sh)*((lane_off+(L179))-(v_sh^2/a_sh))))-(IF((lane_off)&lt;=(v_sh^2/a_sh),(4/3)*(lane_off)^1.5/SQRT(a_sh),(4/3)*(v_sh^2/a_sh)^1.5/SQRT(a_sh)+((lane_off)^2-(v_sh^2/a_sh)^2)/(2*v_sh)+(v_sh/a_sh)*((lane_off)-(v_sh^2/a_sh)))))/(L179)</f>
        <v>5.06197337609984</v>
      </c>
      <c r="N179" s="34" t="n">
        <f aca="false">IF(((B179-1)*u_d/2*(1+f_hc)+lane_off)&lt;=0,0,IF(((B179-1)*u_d/2*(1+f_hc)+lane_off)&gt;=v_sh^2/a_sh,((B179-1)*u_d/2*(1+f_hc)+lane_off)/v_sh+v_sh/a_sh,2*SQRT(((B179-1)*u_d/2*(1+f_hc)+lane_off)/a_sh)))</f>
        <v>12.0857142857143</v>
      </c>
      <c r="O179" s="47" t="n">
        <f aca="false">2*t_sh+2*t_turn+2*M179+2*N179</f>
        <v>92.2953753236283</v>
      </c>
      <c r="P179" s="47" t="n">
        <f aca="false">SUMPRODUCT((Tc_idx&lt;=C179)*(ROUNDUP(lam_total*INDEX(Tc_P,C179,0)*O179/(3600*rho_max)-0.000000001,0)+(ROUNDUP(lam_total*INDEX(Tc_P,C179,0)*O179/(3600*rho_max)-0.000000001,0)&lt;min_sh)*(min_sh-ROUNDUP(lam_total*INDEX(Tc_P,C179,0)*O179/(3600*rho_max)-0.000000001,0))))</f>
        <v>14</v>
      </c>
      <c r="Q179" s="3" t="n">
        <f aca="false">ROUNDUP(P179-0.000000001,0)+spares</f>
        <v>16</v>
      </c>
      <c r="R179" s="45" t="n">
        <f aca="false">B179*C179*(2*H179-G179*lpl)</f>
        <v>4992</v>
      </c>
      <c r="S179" s="45" t="n">
        <f aca="false">R179*fill</f>
        <v>4243.2</v>
      </c>
      <c r="T179" s="45" t="n">
        <f aca="false">I179*J179</f>
        <v>686.4</v>
      </c>
      <c r="U179" s="45" t="n">
        <f aca="false">T179*(K179+headroom)</f>
        <v>18738.72</v>
      </c>
      <c r="V179" s="45" t="n">
        <f aca="false">G179*c_lift</f>
        <v>300000</v>
      </c>
      <c r="W179" s="45" t="n">
        <f aca="false">Q179*c_shut</f>
        <v>800000</v>
      </c>
      <c r="X179" s="45" t="n">
        <f aca="false">R179*c_pos</f>
        <v>499200</v>
      </c>
      <c r="Y179" s="45" t="n">
        <f aca="false">T179*c_m2+U179*c_m3</f>
        <v>836721.6</v>
      </c>
      <c r="Z179" s="45" t="n">
        <f aca="false">SUM(V179:Y179)</f>
        <v>2435921.6</v>
      </c>
      <c r="AA179" s="34" t="n">
        <f aca="false">B179*u_d/(H179*u_w)</f>
        <v>1.3</v>
      </c>
      <c r="AB179" s="46" t="n">
        <f aca="false">IF(G179=0,0,F179/G179)</f>
        <v>0.381795634920635</v>
      </c>
      <c r="AC179" s="46" t="n">
        <f aca="false">IF(G179&gt;1,F179/(G179-1),"n/a")</f>
        <v>0.76359126984127</v>
      </c>
      <c r="AD179" s="47" t="n">
        <f aca="false">moves_day*m_pallet*9.81*INDEX(Tc_mh,C179)/3600000</f>
        <v>14.061</v>
      </c>
      <c r="AE179" s="3" t="n">
        <f aca="false">IF(AND(K179&lt;=H_max,H179&lt;=300,OR(lane_policy="Free (optimize N_C)",B179=sku_pal),OR(env_use="No",AND(I179&lt;=L_bldg,J179&lt;=W_bldg),AND(I179&lt;=W_bldg,J179&lt;=L_bldg))),1,0)</f>
        <v>0</v>
      </c>
      <c r="AF179" s="48" t="n">
        <f aca="false">IF(obj_mode="Total cost",Z179,IF(obj_mode="Shuttle cycle",O179,T179))</f>
        <v>2435921.6</v>
      </c>
      <c r="AG179" s="3" t="n">
        <f aca="false">IF(AE179=1,AF179*(1+A179*0.0000000001),1E+099)</f>
        <v>1E+099</v>
      </c>
      <c r="AH179" s="3" t="str">
        <f aca="false">IF(AE179=1,"",IF(K179&gt;H_max,"height",IF(AND(lane_policy&lt;&gt;"Free (optimize N_C)",B179&lt;&gt;sku_pal),"lane policy","footprint")))</f>
        <v>height</v>
      </c>
    </row>
    <row r="180" customFormat="false" ht="15" hidden="false" customHeight="true" outlineLevel="0" collapsed="false">
      <c r="A180" s="3" t="n">
        <v>173</v>
      </c>
      <c r="B180" s="3" t="n">
        <f aca="false">$J$3</f>
        <v>16</v>
      </c>
      <c r="C180" s="3" t="n">
        <v>13</v>
      </c>
      <c r="D180" s="46" t="n">
        <f aca="false">INDEX(Tc_pl,C180)</f>
        <v>0.6</v>
      </c>
      <c r="E180" s="47" t="n">
        <f aca="false">INDEX(Tc_S,C180)</f>
        <v>45.9946428571429</v>
      </c>
      <c r="F180" s="34" t="n">
        <f aca="false">lam_total*D180*E180/3600</f>
        <v>0.766577380952381</v>
      </c>
      <c r="G180" s="3" t="n">
        <f aca="false">IF(F180&lt;=0.000000000001,0,MAX(ROUNDUP(F180/rho_max-0.000000001,0),IF(redund="Yes",ROUNDUP(F180/rho_fail-0.000000001,0)+1,0)))</f>
        <v>2</v>
      </c>
      <c r="H180" s="3" t="n">
        <f aca="false">MAX(1,ROUNDUP((P_req/(B180*C180)+G180*lpl)/2-0.000000001,0))</f>
        <v>15</v>
      </c>
      <c r="I180" s="47" t="n">
        <f aca="false">H180*u_w</f>
        <v>15</v>
      </c>
      <c r="J180" s="47" t="n">
        <f aca="false">2*B180*u_d+aisle_w</f>
        <v>42.9</v>
      </c>
      <c r="K180" s="47" t="n">
        <f aca="false">C180*u_h</f>
        <v>27.95</v>
      </c>
      <c r="L180" s="47" t="n">
        <f aca="false">IF(G180=0,I180,I180/(2*G180))</f>
        <v>3.75</v>
      </c>
      <c r="M180" s="34" t="n">
        <f aca="false">((IF((lane_off+(L180))&lt;=(v_sh^2/a_sh),(4/3)*(lane_off+(L180))^1.5/SQRT(a_sh),(4/3)*(v_sh^2/a_sh)^1.5/SQRT(a_sh)+((lane_off+(L180))^2-(v_sh^2/a_sh)^2)/(2*v_sh)+(v_sh/a_sh)*((lane_off+(L180))-(v_sh^2/a_sh))))-(IF((lane_off)&lt;=(v_sh^2/a_sh),(4/3)*(lane_off)^1.5/SQRT(a_sh),(4/3)*(v_sh^2/a_sh)^1.5/SQRT(a_sh)+((lane_off)^2-(v_sh^2/a_sh)^2)/(2*v_sh)+(v_sh/a_sh)*((lane_off)-(v_sh^2/a_sh)))))/(L180)</f>
        <v>4.96634302974459</v>
      </c>
      <c r="N180" s="34" t="n">
        <f aca="false">IF(((B180-1)*u_d/2*(1+f_hc)+lane_off)&lt;=0,0,IF(((B180-1)*u_d/2*(1+f_hc)+lane_off)&gt;=v_sh^2/a_sh,((B180-1)*u_d/2*(1+f_hc)+lane_off)/v_sh+v_sh/a_sh,2*SQRT(((B180-1)*u_d/2*(1+f_hc)+lane_off)/a_sh)))</f>
        <v>12.0857142857143</v>
      </c>
      <c r="O180" s="47" t="n">
        <f aca="false">2*t_sh+2*t_turn+2*M180+2*N180</f>
        <v>92.1041146309178</v>
      </c>
      <c r="P180" s="47" t="n">
        <f aca="false">SUMPRODUCT((Tc_idx&lt;=C180)*(ROUNDUP(lam_total*INDEX(Tc_P,C180,0)*O180/(3600*rho_max)-0.000000001,0)+(ROUNDUP(lam_total*INDEX(Tc_P,C180,0)*O180/(3600*rho_max)-0.000000001,0)&lt;min_sh)*(min_sh-ROUNDUP(lam_total*INDEX(Tc_P,C180,0)*O180/(3600*rho_max)-0.000000001,0))))</f>
        <v>15</v>
      </c>
      <c r="Q180" s="3" t="n">
        <f aca="false">ROUNDUP(P180-0.000000001,0)+spares</f>
        <v>17</v>
      </c>
      <c r="R180" s="45" t="n">
        <f aca="false">B180*C180*(2*H180-G180*lpl)</f>
        <v>4992</v>
      </c>
      <c r="S180" s="45" t="n">
        <f aca="false">R180*fill</f>
        <v>4243.2</v>
      </c>
      <c r="T180" s="45" t="n">
        <f aca="false">I180*J180</f>
        <v>643.5</v>
      </c>
      <c r="U180" s="45" t="n">
        <f aca="false">T180*(K180+headroom)</f>
        <v>18951.075</v>
      </c>
      <c r="V180" s="45" t="n">
        <f aca="false">G180*c_lift</f>
        <v>300000</v>
      </c>
      <c r="W180" s="45" t="n">
        <f aca="false">Q180*c_shut</f>
        <v>850000</v>
      </c>
      <c r="X180" s="45" t="n">
        <f aca="false">R180*c_pos</f>
        <v>499200</v>
      </c>
      <c r="Y180" s="45" t="n">
        <f aca="false">T180*c_m2+U180*c_m3</f>
        <v>825932.25</v>
      </c>
      <c r="Z180" s="45" t="n">
        <f aca="false">SUM(V180:Y180)</f>
        <v>2475132.25</v>
      </c>
      <c r="AA180" s="34" t="n">
        <f aca="false">B180*u_d/(H180*u_w)</f>
        <v>1.38666666666667</v>
      </c>
      <c r="AB180" s="46" t="n">
        <f aca="false">IF(G180=0,0,F180/G180)</f>
        <v>0.383288690476191</v>
      </c>
      <c r="AC180" s="46" t="n">
        <f aca="false">IF(G180&gt;1,F180/(G180-1),"n/a")</f>
        <v>0.766577380952381</v>
      </c>
      <c r="AD180" s="47" t="n">
        <f aca="false">moves_day*m_pallet*9.81*INDEX(Tc_mh,C180)/3600000</f>
        <v>14.34222</v>
      </c>
      <c r="AE180" s="3" t="n">
        <f aca="false">IF(AND(K180&lt;=H_max,H180&lt;=300,OR(lane_policy="Free (optimize N_C)",B180=sku_pal),OR(env_use="No",AND(I180&lt;=L_bldg,J180&lt;=W_bldg),AND(I180&lt;=W_bldg,J180&lt;=L_bldg))),1,0)</f>
        <v>0</v>
      </c>
      <c r="AF180" s="48" t="n">
        <f aca="false">IF(obj_mode="Total cost",Z180,IF(obj_mode="Shuttle cycle",O180,T180))</f>
        <v>2475132.25</v>
      </c>
      <c r="AG180" s="3" t="n">
        <f aca="false">IF(AE180=1,AF180*(1+A180*0.0000000001),1E+099)</f>
        <v>1E+099</v>
      </c>
      <c r="AH180" s="3" t="str">
        <f aca="false">IF(AE180=1,"",IF(K180&gt;H_max,"height",IF(AND(lane_policy&lt;&gt;"Free (optimize N_C)",B180&lt;&gt;sku_pal),"lane policy","footprint")))</f>
        <v>height</v>
      </c>
    </row>
    <row r="181" customFormat="false" ht="15" hidden="false" customHeight="true" outlineLevel="0" collapsed="false">
      <c r="A181" s="3" t="n">
        <v>174</v>
      </c>
      <c r="B181" s="3" t="n">
        <f aca="false">$J$3</f>
        <v>16</v>
      </c>
      <c r="C181" s="3" t="n">
        <v>14</v>
      </c>
      <c r="D181" s="46" t="n">
        <f aca="false">INDEX(Tc_pl,C181)</f>
        <v>0.6</v>
      </c>
      <c r="E181" s="47" t="n">
        <f aca="false">INDEX(Tc_S,C181)</f>
        <v>46.1738095238095</v>
      </c>
      <c r="F181" s="34" t="n">
        <f aca="false">lam_total*D181*E181/3600</f>
        <v>0.769563492063492</v>
      </c>
      <c r="G181" s="3" t="n">
        <f aca="false">IF(F181&lt;=0.000000000001,0,MAX(ROUNDUP(F181/rho_max-0.000000001,0),IF(redund="Yes",ROUNDUP(F181/rho_fail-0.000000001,0)+1,0)))</f>
        <v>2</v>
      </c>
      <c r="H181" s="3" t="n">
        <f aca="false">MAX(1,ROUNDUP((P_req/(B181*C181)+G181*lpl)/2-0.000000001,0))</f>
        <v>14</v>
      </c>
      <c r="I181" s="47" t="n">
        <f aca="false">H181*u_w</f>
        <v>14</v>
      </c>
      <c r="J181" s="47" t="n">
        <f aca="false">2*B181*u_d+aisle_w</f>
        <v>42.9</v>
      </c>
      <c r="K181" s="47" t="n">
        <f aca="false">C181*u_h</f>
        <v>30.1</v>
      </c>
      <c r="L181" s="47" t="n">
        <f aca="false">IF(G181=0,I181,I181/(2*G181))</f>
        <v>3.5</v>
      </c>
      <c r="M181" s="34" t="n">
        <f aca="false">((IF((lane_off+(L181))&lt;=(v_sh^2/a_sh),(4/3)*(lane_off+(L181))^1.5/SQRT(a_sh),(4/3)*(v_sh^2/a_sh)^1.5/SQRT(a_sh)+((lane_off+(L181))^2-(v_sh^2/a_sh)^2)/(2*v_sh)+(v_sh/a_sh)*((lane_off+(L181))-(v_sh^2/a_sh))))-(IF((lane_off)&lt;=(v_sh^2/a_sh),(4/3)*(lane_off)^1.5/SQRT(a_sh),(4/3)*(v_sh^2/a_sh)^1.5/SQRT(a_sh)+((lane_off)^2-(v_sh^2/a_sh)^2)/(2*v_sh)+(v_sh/a_sh)*((lane_off)-(v_sh^2/a_sh)))))/(L181)</f>
        <v>4.86980630737941</v>
      </c>
      <c r="N181" s="34" t="n">
        <f aca="false">IF(((B181-1)*u_d/2*(1+f_hc)+lane_off)&lt;=0,0,IF(((B181-1)*u_d/2*(1+f_hc)+lane_off)&gt;=v_sh^2/a_sh,((B181-1)*u_d/2*(1+f_hc)+lane_off)/v_sh+v_sh/a_sh,2*SQRT(((B181-1)*u_d/2*(1+f_hc)+lane_off)/a_sh)))</f>
        <v>12.0857142857143</v>
      </c>
      <c r="O181" s="47" t="n">
        <f aca="false">2*t_sh+2*t_turn+2*M181+2*N181</f>
        <v>91.9110411861874</v>
      </c>
      <c r="P181" s="47" t="n">
        <f aca="false">SUMPRODUCT((Tc_idx&lt;=C181)*(ROUNDUP(lam_total*INDEX(Tc_P,C181,0)*O181/(3600*rho_max)-0.000000001,0)+(ROUNDUP(lam_total*INDEX(Tc_P,C181,0)*O181/(3600*rho_max)-0.000000001,0)&lt;min_sh)*(min_sh-ROUNDUP(lam_total*INDEX(Tc_P,C181,0)*O181/(3600*rho_max)-0.000000001,0))))</f>
        <v>16</v>
      </c>
      <c r="Q181" s="3" t="n">
        <f aca="false">ROUNDUP(P181-0.000000001,0)+spares</f>
        <v>18</v>
      </c>
      <c r="R181" s="45" t="n">
        <f aca="false">B181*C181*(2*H181-G181*lpl)</f>
        <v>4928</v>
      </c>
      <c r="S181" s="45" t="n">
        <f aca="false">R181*fill</f>
        <v>4188.8</v>
      </c>
      <c r="T181" s="45" t="n">
        <f aca="false">I181*J181</f>
        <v>600.6</v>
      </c>
      <c r="U181" s="45" t="n">
        <f aca="false">T181*(K181+headroom)</f>
        <v>18978.96</v>
      </c>
      <c r="V181" s="45" t="n">
        <f aca="false">G181*c_lift</f>
        <v>300000</v>
      </c>
      <c r="W181" s="45" t="n">
        <f aca="false">Q181*c_shut</f>
        <v>900000</v>
      </c>
      <c r="X181" s="45" t="n">
        <f aca="false">R181*c_pos</f>
        <v>492800</v>
      </c>
      <c r="Y181" s="45" t="n">
        <f aca="false">T181*c_m2+U181*c_m3</f>
        <v>809608.8</v>
      </c>
      <c r="Z181" s="45" t="n">
        <f aca="false">SUM(V181:Y181)</f>
        <v>2502408.8</v>
      </c>
      <c r="AA181" s="34" t="n">
        <f aca="false">B181*u_d/(H181*u_w)</f>
        <v>1.48571428571429</v>
      </c>
      <c r="AB181" s="46" t="n">
        <f aca="false">IF(G181=0,0,F181/G181)</f>
        <v>0.384781746031746</v>
      </c>
      <c r="AC181" s="46" t="n">
        <f aca="false">IF(G181&gt;1,F181/(G181-1),"n/a")</f>
        <v>0.769563492063492</v>
      </c>
      <c r="AD181" s="47" t="n">
        <f aca="false">moves_day*m_pallet*9.81*INDEX(Tc_mh,C181)/3600000</f>
        <v>14.62344</v>
      </c>
      <c r="AE181" s="3" t="n">
        <f aca="false">IF(AND(K181&lt;=H_max,H181&lt;=300,OR(lane_policy="Free (optimize N_C)",B181=sku_pal),OR(env_use="No",AND(I181&lt;=L_bldg,J181&lt;=W_bldg),AND(I181&lt;=W_bldg,J181&lt;=L_bldg))),1,0)</f>
        <v>0</v>
      </c>
      <c r="AF181" s="48" t="n">
        <f aca="false">IF(obj_mode="Total cost",Z181,IF(obj_mode="Shuttle cycle",O181,T181))</f>
        <v>2502408.8</v>
      </c>
      <c r="AG181" s="3" t="n">
        <f aca="false">IF(AE181=1,AF181*(1+A181*0.0000000001),1E+099)</f>
        <v>1E+099</v>
      </c>
      <c r="AH181" s="3" t="str">
        <f aca="false">IF(AE181=1,"",IF(K181&gt;H_max,"height",IF(AND(lane_policy&lt;&gt;"Free (optimize N_C)",B181&lt;&gt;sku_pal),"lane policy","footprint")))</f>
        <v>height</v>
      </c>
    </row>
    <row r="182" customFormat="false" ht="15" hidden="false" customHeight="true" outlineLevel="0" collapsed="false">
      <c r="A182" s="3" t="n">
        <v>175</v>
      </c>
      <c r="B182" s="3" t="n">
        <f aca="false">$J$3</f>
        <v>16</v>
      </c>
      <c r="C182" s="3" t="n">
        <v>15</v>
      </c>
      <c r="D182" s="46" t="n">
        <f aca="false">INDEX(Tc_pl,C182)</f>
        <v>0.6</v>
      </c>
      <c r="E182" s="47" t="n">
        <f aca="false">INDEX(Tc_S,C182)</f>
        <v>46.3529761904762</v>
      </c>
      <c r="F182" s="34" t="n">
        <f aca="false">lam_total*D182*E182/3600</f>
        <v>0.772549603174603</v>
      </c>
      <c r="G182" s="3" t="n">
        <f aca="false">IF(F182&lt;=0.000000000001,0,MAX(ROUNDUP(F182/rho_max-0.000000001,0),IF(redund="Yes",ROUNDUP(F182/rho_fail-0.000000001,0)+1,0)))</f>
        <v>2</v>
      </c>
      <c r="H182" s="3" t="n">
        <f aca="false">MAX(1,ROUNDUP((P_req/(B182*C182)+G182*lpl)/2-0.000000001,0))</f>
        <v>13</v>
      </c>
      <c r="I182" s="47" t="n">
        <f aca="false">H182*u_w</f>
        <v>13</v>
      </c>
      <c r="J182" s="47" t="n">
        <f aca="false">2*B182*u_d+aisle_w</f>
        <v>42.9</v>
      </c>
      <c r="K182" s="47" t="n">
        <f aca="false">C182*u_h</f>
        <v>32.25</v>
      </c>
      <c r="L182" s="47" t="n">
        <f aca="false">IF(G182=0,I182,I182/(2*G182))</f>
        <v>3.25</v>
      </c>
      <c r="M182" s="34" t="n">
        <f aca="false">((IF((lane_off+(L182))&lt;=(v_sh^2/a_sh),(4/3)*(lane_off+(L182))^1.5/SQRT(a_sh),(4/3)*(v_sh^2/a_sh)^1.5/SQRT(a_sh)+((lane_off+(L182))^2-(v_sh^2/a_sh)^2)/(2*v_sh)+(v_sh/a_sh)*((lane_off+(L182))-(v_sh^2/a_sh))))-(IF((lane_off)&lt;=(v_sh^2/a_sh),(4/3)*(lane_off)^1.5/SQRT(a_sh),(4/3)*(v_sh^2/a_sh)^1.5/SQRT(a_sh)+((lane_off)^2-(v_sh^2/a_sh)^2)/(2*v_sh)+(v_sh/a_sh)*((lane_off)-(v_sh^2/a_sh)))))/(L182)</f>
        <v>4.77215404530969</v>
      </c>
      <c r="N182" s="34" t="n">
        <f aca="false">IF(((B182-1)*u_d/2*(1+f_hc)+lane_off)&lt;=0,0,IF(((B182-1)*u_d/2*(1+f_hc)+lane_off)&gt;=v_sh^2/a_sh,((B182-1)*u_d/2*(1+f_hc)+lane_off)/v_sh+v_sh/a_sh,2*SQRT(((B182-1)*u_d/2*(1+f_hc)+lane_off)/a_sh)))</f>
        <v>12.0857142857143</v>
      </c>
      <c r="O182" s="47" t="n">
        <f aca="false">2*t_sh+2*t_turn+2*M182+2*N182</f>
        <v>91.715736662048</v>
      </c>
      <c r="P182" s="47" t="n">
        <f aca="false">SUMPRODUCT((Tc_idx&lt;=C182)*(ROUNDUP(lam_total*INDEX(Tc_P,C182,0)*O182/(3600*rho_max)-0.000000001,0)+(ROUNDUP(lam_total*INDEX(Tc_P,C182,0)*O182/(3600*rho_max)-0.000000001,0)&lt;min_sh)*(min_sh-ROUNDUP(lam_total*INDEX(Tc_P,C182,0)*O182/(3600*rho_max)-0.000000001,0))))</f>
        <v>17</v>
      </c>
      <c r="Q182" s="3" t="n">
        <f aca="false">ROUNDUP(P182-0.000000001,0)+spares</f>
        <v>19</v>
      </c>
      <c r="R182" s="45" t="n">
        <f aca="false">B182*C182*(2*H182-G182*lpl)</f>
        <v>4800</v>
      </c>
      <c r="S182" s="45" t="n">
        <f aca="false">R182*fill</f>
        <v>4080</v>
      </c>
      <c r="T182" s="45" t="n">
        <f aca="false">I182*J182</f>
        <v>557.7</v>
      </c>
      <c r="U182" s="45" t="n">
        <f aca="false">T182*(K182+headroom)</f>
        <v>18822.375</v>
      </c>
      <c r="V182" s="45" t="n">
        <f aca="false">G182*c_lift</f>
        <v>300000</v>
      </c>
      <c r="W182" s="45" t="n">
        <f aca="false">Q182*c_shut</f>
        <v>950000</v>
      </c>
      <c r="X182" s="45" t="n">
        <f aca="false">R182*c_pos</f>
        <v>480000</v>
      </c>
      <c r="Y182" s="45" t="n">
        <f aca="false">T182*c_m2+U182*c_m3</f>
        <v>787751.25</v>
      </c>
      <c r="Z182" s="45" t="n">
        <f aca="false">SUM(V182:Y182)</f>
        <v>2517751.25</v>
      </c>
      <c r="AA182" s="34" t="n">
        <f aca="false">B182*u_d/(H182*u_w)</f>
        <v>1.6</v>
      </c>
      <c r="AB182" s="46" t="n">
        <f aca="false">IF(G182=0,0,F182/G182)</f>
        <v>0.386274801587302</v>
      </c>
      <c r="AC182" s="46" t="n">
        <f aca="false">IF(G182&gt;1,F182/(G182-1),"n/a")</f>
        <v>0.772549603174603</v>
      </c>
      <c r="AD182" s="47" t="n">
        <f aca="false">moves_day*m_pallet*9.81*INDEX(Tc_mh,C182)/3600000</f>
        <v>14.90466</v>
      </c>
      <c r="AE182" s="3" t="n">
        <f aca="false">IF(AND(K182&lt;=H_max,H182&lt;=300,OR(lane_policy="Free (optimize N_C)",B182=sku_pal),OR(env_use="No",AND(I182&lt;=L_bldg,J182&lt;=W_bldg),AND(I182&lt;=W_bldg,J182&lt;=L_bldg))),1,0)</f>
        <v>0</v>
      </c>
      <c r="AF182" s="48" t="n">
        <f aca="false">IF(obj_mode="Total cost",Z182,IF(obj_mode="Shuttle cycle",O182,T182))</f>
        <v>2517751.25</v>
      </c>
      <c r="AG182" s="3" t="n">
        <f aca="false">IF(AE182=1,AF182*(1+A182*0.0000000001),1E+099)</f>
        <v>1E+099</v>
      </c>
      <c r="AH182" s="3" t="str">
        <f aca="false">IF(AE182=1,"",IF(K182&gt;H_max,"height",IF(AND(lane_policy&lt;&gt;"Free (optimize N_C)",B182&lt;&gt;sku_pal),"lane policy","footprint")))</f>
        <v>height</v>
      </c>
    </row>
    <row r="183" customFormat="false" ht="15" hidden="false" customHeight="true" outlineLevel="0" collapsed="false">
      <c r="A183" s="3" t="n">
        <v>176</v>
      </c>
      <c r="B183" s="3" t="n">
        <f aca="false">$J$3</f>
        <v>16</v>
      </c>
      <c r="C183" s="3" t="n">
        <v>16</v>
      </c>
      <c r="D183" s="46" t="n">
        <f aca="false">INDEX(Tc_pl,C183)</f>
        <v>0.6</v>
      </c>
      <c r="E183" s="47" t="n">
        <f aca="false">INDEX(Tc_S,C183)</f>
        <v>46.5321428571429</v>
      </c>
      <c r="F183" s="34" t="n">
        <f aca="false">lam_total*D183*E183/3600</f>
        <v>0.775535714285714</v>
      </c>
      <c r="G183" s="3" t="n">
        <f aca="false">IF(F183&lt;=0.000000000001,0,MAX(ROUNDUP(F183/rho_max-0.000000001,0),IF(redund="Yes",ROUNDUP(F183/rho_fail-0.000000001,0)+1,0)))</f>
        <v>2</v>
      </c>
      <c r="H183" s="3" t="n">
        <f aca="false">MAX(1,ROUNDUP((P_req/(B183*C183)+G183*lpl)/2-0.000000001,0))</f>
        <v>13</v>
      </c>
      <c r="I183" s="47" t="n">
        <f aca="false">H183*u_w</f>
        <v>13</v>
      </c>
      <c r="J183" s="47" t="n">
        <f aca="false">2*B183*u_d+aisle_w</f>
        <v>42.9</v>
      </c>
      <c r="K183" s="47" t="n">
        <f aca="false">C183*u_h</f>
        <v>34.4</v>
      </c>
      <c r="L183" s="47" t="n">
        <f aca="false">IF(G183=0,I183,I183/(2*G183))</f>
        <v>3.25</v>
      </c>
      <c r="M183" s="34" t="n">
        <f aca="false">((IF((lane_off+(L183))&lt;=(v_sh^2/a_sh),(4/3)*(lane_off+(L183))^1.5/SQRT(a_sh),(4/3)*(v_sh^2/a_sh)^1.5/SQRT(a_sh)+((lane_off+(L183))^2-(v_sh^2/a_sh)^2)/(2*v_sh)+(v_sh/a_sh)*((lane_off+(L183))-(v_sh^2/a_sh))))-(IF((lane_off)&lt;=(v_sh^2/a_sh),(4/3)*(lane_off)^1.5/SQRT(a_sh),(4/3)*(v_sh^2/a_sh)^1.5/SQRT(a_sh)+((lane_off)^2-(v_sh^2/a_sh)^2)/(2*v_sh)+(v_sh/a_sh)*((lane_off)-(v_sh^2/a_sh)))))/(L183)</f>
        <v>4.77215404530969</v>
      </c>
      <c r="N183" s="34" t="n">
        <f aca="false">IF(((B183-1)*u_d/2*(1+f_hc)+lane_off)&lt;=0,0,IF(((B183-1)*u_d/2*(1+f_hc)+lane_off)&gt;=v_sh^2/a_sh,((B183-1)*u_d/2*(1+f_hc)+lane_off)/v_sh+v_sh/a_sh,2*SQRT(((B183-1)*u_d/2*(1+f_hc)+lane_off)/a_sh)))</f>
        <v>12.0857142857143</v>
      </c>
      <c r="O183" s="47" t="n">
        <f aca="false">2*t_sh+2*t_turn+2*M183+2*N183</f>
        <v>91.715736662048</v>
      </c>
      <c r="P183" s="47" t="n">
        <f aca="false">SUMPRODUCT((Tc_idx&lt;=C183)*(ROUNDUP(lam_total*INDEX(Tc_P,C183,0)*O183/(3600*rho_max)-0.000000001,0)+(ROUNDUP(lam_total*INDEX(Tc_P,C183,0)*O183/(3600*rho_max)-0.000000001,0)&lt;min_sh)*(min_sh-ROUNDUP(lam_total*INDEX(Tc_P,C183,0)*O183/(3600*rho_max)-0.000000001,0))))</f>
        <v>18</v>
      </c>
      <c r="Q183" s="3" t="n">
        <f aca="false">ROUNDUP(P183-0.000000001,0)+spares</f>
        <v>20</v>
      </c>
      <c r="R183" s="45" t="n">
        <f aca="false">B183*C183*(2*H183-G183*lpl)</f>
        <v>5120</v>
      </c>
      <c r="S183" s="45" t="n">
        <f aca="false">R183*fill</f>
        <v>4352</v>
      </c>
      <c r="T183" s="45" t="n">
        <f aca="false">I183*J183</f>
        <v>557.7</v>
      </c>
      <c r="U183" s="45" t="n">
        <f aca="false">T183*(K183+headroom)</f>
        <v>20021.43</v>
      </c>
      <c r="V183" s="45" t="n">
        <f aca="false">G183*c_lift</f>
        <v>300000</v>
      </c>
      <c r="W183" s="45" t="n">
        <f aca="false">Q183*c_shut</f>
        <v>1000000</v>
      </c>
      <c r="X183" s="45" t="n">
        <f aca="false">R183*c_pos</f>
        <v>512000</v>
      </c>
      <c r="Y183" s="45" t="n">
        <f aca="false">T183*c_m2+U183*c_m3</f>
        <v>823722.9</v>
      </c>
      <c r="Z183" s="45" t="n">
        <f aca="false">SUM(V183:Y183)</f>
        <v>2635722.9</v>
      </c>
      <c r="AA183" s="34" t="n">
        <f aca="false">B183*u_d/(H183*u_w)</f>
        <v>1.6</v>
      </c>
      <c r="AB183" s="46" t="n">
        <f aca="false">IF(G183=0,0,F183/G183)</f>
        <v>0.387767857142857</v>
      </c>
      <c r="AC183" s="46" t="n">
        <f aca="false">IF(G183&gt;1,F183/(G183-1),"n/a")</f>
        <v>0.775535714285714</v>
      </c>
      <c r="AD183" s="47" t="n">
        <f aca="false">moves_day*m_pallet*9.81*INDEX(Tc_mh,C183)/3600000</f>
        <v>15.18588</v>
      </c>
      <c r="AE183" s="3" t="n">
        <f aca="false">IF(AND(K183&lt;=H_max,H183&lt;=300,OR(lane_policy="Free (optimize N_C)",B183=sku_pal),OR(env_use="No",AND(I183&lt;=L_bldg,J183&lt;=W_bldg),AND(I183&lt;=W_bldg,J183&lt;=L_bldg))),1,0)</f>
        <v>0</v>
      </c>
      <c r="AF183" s="48" t="n">
        <f aca="false">IF(obj_mode="Total cost",Z183,IF(obj_mode="Shuttle cycle",O183,T183))</f>
        <v>2635722.9</v>
      </c>
      <c r="AG183" s="3" t="n">
        <f aca="false">IF(AE183=1,AF183*(1+A183*0.0000000001),1E+099)</f>
        <v>1E+099</v>
      </c>
      <c r="AH183" s="3" t="str">
        <f aca="false">IF(AE183=1,"",IF(K183&gt;H_max,"height",IF(AND(lane_policy&lt;&gt;"Free (optimize N_C)",B183&lt;&gt;sku_pal),"lane policy","footprint")))</f>
        <v>height</v>
      </c>
    </row>
    <row r="184" customFormat="false" ht="15" hidden="false" customHeight="true" outlineLevel="0" collapsed="false">
      <c r="A184" s="3" t="n">
        <v>177</v>
      </c>
      <c r="B184" s="3" t="n">
        <f aca="false">$J$3</f>
        <v>16</v>
      </c>
      <c r="C184" s="3" t="n">
        <v>17</v>
      </c>
      <c r="D184" s="46" t="n">
        <f aca="false">INDEX(Tc_pl,C184)</f>
        <v>0.6</v>
      </c>
      <c r="E184" s="47" t="n">
        <f aca="false">INDEX(Tc_S,C184)</f>
        <v>46.7113095238095</v>
      </c>
      <c r="F184" s="34" t="n">
        <f aca="false">lam_total*D184*E184/3600</f>
        <v>0.778521825396825</v>
      </c>
      <c r="G184" s="3" t="n">
        <f aca="false">IF(F184&lt;=0.000000000001,0,MAX(ROUNDUP(F184/rho_max-0.000000001,0),IF(redund="Yes",ROUNDUP(F184/rho_fail-0.000000001,0)+1,0)))</f>
        <v>2</v>
      </c>
      <c r="H184" s="3" t="n">
        <f aca="false">MAX(1,ROUNDUP((P_req/(B184*C184)+G184*lpl)/2-0.000000001,0))</f>
        <v>12</v>
      </c>
      <c r="I184" s="47" t="n">
        <f aca="false">H184*u_w</f>
        <v>12</v>
      </c>
      <c r="J184" s="47" t="n">
        <f aca="false">2*B184*u_d+aisle_w</f>
        <v>42.9</v>
      </c>
      <c r="K184" s="47" t="n">
        <f aca="false">C184*u_h</f>
        <v>36.55</v>
      </c>
      <c r="L184" s="47" t="n">
        <f aca="false">IF(G184=0,I184,I184/(2*G184))</f>
        <v>3</v>
      </c>
      <c r="M184" s="34" t="n">
        <f aca="false">((IF((lane_off+(L184))&lt;=(v_sh^2/a_sh),(4/3)*(lane_off+(L184))^1.5/SQRT(a_sh),(4/3)*(v_sh^2/a_sh)^1.5/SQRT(a_sh)+((lane_off+(L184))^2-(v_sh^2/a_sh)^2)/(2*v_sh)+(v_sh/a_sh)*((lane_off+(L184))-(v_sh^2/a_sh))))-(IF((lane_off)&lt;=(v_sh^2/a_sh),(4/3)*(lane_off)^1.5/SQRT(a_sh),(4/3)*(v_sh^2/a_sh)^1.5/SQRT(a_sh)+((lane_off)^2-(v_sh^2/a_sh)^2)/(2*v_sh)+(v_sh/a_sh)*((lane_off)-(v_sh^2/a_sh)))))/(L184)</f>
        <v>4.67310735860931</v>
      </c>
      <c r="N184" s="34" t="n">
        <f aca="false">IF(((B184-1)*u_d/2*(1+f_hc)+lane_off)&lt;=0,0,IF(((B184-1)*u_d/2*(1+f_hc)+lane_off)&gt;=v_sh^2/a_sh,((B184-1)*u_d/2*(1+f_hc)+lane_off)/v_sh+v_sh/a_sh,2*SQRT(((B184-1)*u_d/2*(1+f_hc)+lane_off)/a_sh)))</f>
        <v>12.0857142857143</v>
      </c>
      <c r="O184" s="47" t="n">
        <f aca="false">2*t_sh+2*t_turn+2*M184+2*N184</f>
        <v>91.5176432886472</v>
      </c>
      <c r="P184" s="47" t="n">
        <f aca="false">SUMPRODUCT((Tc_idx&lt;=C184)*(ROUNDUP(lam_total*INDEX(Tc_P,C184,0)*O184/(3600*rho_max)-0.000000001,0)+(ROUNDUP(lam_total*INDEX(Tc_P,C184,0)*O184/(3600*rho_max)-0.000000001,0)&lt;min_sh)*(min_sh-ROUNDUP(lam_total*INDEX(Tc_P,C184,0)*O184/(3600*rho_max)-0.000000001,0))))</f>
        <v>19</v>
      </c>
      <c r="Q184" s="3" t="n">
        <f aca="false">ROUNDUP(P184-0.000000001,0)+spares</f>
        <v>21</v>
      </c>
      <c r="R184" s="45" t="n">
        <f aca="false">B184*C184*(2*H184-G184*lpl)</f>
        <v>4896</v>
      </c>
      <c r="S184" s="45" t="n">
        <f aca="false">R184*fill</f>
        <v>4161.6</v>
      </c>
      <c r="T184" s="45" t="n">
        <f aca="false">I184*J184</f>
        <v>514.8</v>
      </c>
      <c r="U184" s="45" t="n">
        <f aca="false">T184*(K184+headroom)</f>
        <v>19588.14</v>
      </c>
      <c r="V184" s="45" t="n">
        <f aca="false">G184*c_lift</f>
        <v>300000</v>
      </c>
      <c r="W184" s="45" t="n">
        <f aca="false">Q184*c_shut</f>
        <v>1050000</v>
      </c>
      <c r="X184" s="45" t="n">
        <f aca="false">R184*c_pos</f>
        <v>489600</v>
      </c>
      <c r="Y184" s="45" t="n">
        <f aca="false">T184*c_m2+U184*c_m3</f>
        <v>793564.2</v>
      </c>
      <c r="Z184" s="45" t="n">
        <f aca="false">SUM(V184:Y184)</f>
        <v>2633164.2</v>
      </c>
      <c r="AA184" s="34" t="n">
        <f aca="false">B184*u_d/(H184*u_w)</f>
        <v>1.73333333333333</v>
      </c>
      <c r="AB184" s="46" t="n">
        <f aca="false">IF(G184=0,0,F184/G184)</f>
        <v>0.389260912698413</v>
      </c>
      <c r="AC184" s="46" t="n">
        <f aca="false">IF(G184&gt;1,F184/(G184-1),"n/a")</f>
        <v>0.778521825396825</v>
      </c>
      <c r="AD184" s="47" t="n">
        <f aca="false">moves_day*m_pallet*9.81*INDEX(Tc_mh,C184)/3600000</f>
        <v>15.4671</v>
      </c>
      <c r="AE184" s="3" t="n">
        <f aca="false">IF(AND(K184&lt;=H_max,H184&lt;=300,OR(lane_policy="Free (optimize N_C)",B184=sku_pal),OR(env_use="No",AND(I184&lt;=L_bldg,J184&lt;=W_bldg),AND(I184&lt;=W_bldg,J184&lt;=L_bldg))),1,0)</f>
        <v>0</v>
      </c>
      <c r="AF184" s="48" t="n">
        <f aca="false">IF(obj_mode="Total cost",Z184,IF(obj_mode="Shuttle cycle",O184,T184))</f>
        <v>2633164.2</v>
      </c>
      <c r="AG184" s="3" t="n">
        <f aca="false">IF(AE184=1,AF184*(1+A184*0.0000000001),1E+099)</f>
        <v>1E+099</v>
      </c>
      <c r="AH184" s="3" t="str">
        <f aca="false">IF(AE184=1,"",IF(K184&gt;H_max,"height",IF(AND(lane_policy&lt;&gt;"Free (optimize N_C)",B184&lt;&gt;sku_pal),"lane policy","footprint")))</f>
        <v>height</v>
      </c>
    </row>
    <row r="185" customFormat="false" ht="15" hidden="false" customHeight="true" outlineLevel="0" collapsed="false">
      <c r="A185" s="3" t="n">
        <v>178</v>
      </c>
      <c r="B185" s="3" t="n">
        <f aca="false">$J$3</f>
        <v>16</v>
      </c>
      <c r="C185" s="3" t="n">
        <v>18</v>
      </c>
      <c r="D185" s="46" t="n">
        <f aca="false">INDEX(Tc_pl,C185)</f>
        <v>0.6</v>
      </c>
      <c r="E185" s="47" t="n">
        <f aca="false">INDEX(Tc_S,C185)</f>
        <v>46.8904761904762</v>
      </c>
      <c r="F185" s="34" t="n">
        <f aca="false">lam_total*D185*E185/3600</f>
        <v>0.781507936507937</v>
      </c>
      <c r="G185" s="3" t="n">
        <f aca="false">IF(F185&lt;=0.000000000001,0,MAX(ROUNDUP(F185/rho_max-0.000000001,0),IF(redund="Yes",ROUNDUP(F185/rho_fail-0.000000001,0)+1,0)))</f>
        <v>2</v>
      </c>
      <c r="H185" s="3" t="n">
        <f aca="false">MAX(1,ROUNDUP((P_req/(B185*C185)+G185*lpl)/2-0.000000001,0))</f>
        <v>12</v>
      </c>
      <c r="I185" s="47" t="n">
        <f aca="false">H185*u_w</f>
        <v>12</v>
      </c>
      <c r="J185" s="47" t="n">
        <f aca="false">2*B185*u_d+aisle_w</f>
        <v>42.9</v>
      </c>
      <c r="K185" s="47" t="n">
        <f aca="false">C185*u_h</f>
        <v>38.7</v>
      </c>
      <c r="L185" s="47" t="n">
        <f aca="false">IF(G185=0,I185,I185/(2*G185))</f>
        <v>3</v>
      </c>
      <c r="M185" s="34" t="n">
        <f aca="false">((IF((lane_off+(L185))&lt;=(v_sh^2/a_sh),(4/3)*(lane_off+(L185))^1.5/SQRT(a_sh),(4/3)*(v_sh^2/a_sh)^1.5/SQRT(a_sh)+((lane_off+(L185))^2-(v_sh^2/a_sh)^2)/(2*v_sh)+(v_sh/a_sh)*((lane_off+(L185))-(v_sh^2/a_sh))))-(IF((lane_off)&lt;=(v_sh^2/a_sh),(4/3)*(lane_off)^1.5/SQRT(a_sh),(4/3)*(v_sh^2/a_sh)^1.5/SQRT(a_sh)+((lane_off)^2-(v_sh^2/a_sh)^2)/(2*v_sh)+(v_sh/a_sh)*((lane_off)-(v_sh^2/a_sh)))))/(L185)</f>
        <v>4.67310735860931</v>
      </c>
      <c r="N185" s="34" t="n">
        <f aca="false">IF(((B185-1)*u_d/2*(1+f_hc)+lane_off)&lt;=0,0,IF(((B185-1)*u_d/2*(1+f_hc)+lane_off)&gt;=v_sh^2/a_sh,((B185-1)*u_d/2*(1+f_hc)+lane_off)/v_sh+v_sh/a_sh,2*SQRT(((B185-1)*u_d/2*(1+f_hc)+lane_off)/a_sh)))</f>
        <v>12.0857142857143</v>
      </c>
      <c r="O185" s="47" t="n">
        <f aca="false">2*t_sh+2*t_turn+2*M185+2*N185</f>
        <v>91.5176432886472</v>
      </c>
      <c r="P185" s="47" t="n">
        <f aca="false">SUMPRODUCT((Tc_idx&lt;=C185)*(ROUNDUP(lam_total*INDEX(Tc_P,C185,0)*O185/(3600*rho_max)-0.000000001,0)+(ROUNDUP(lam_total*INDEX(Tc_P,C185,0)*O185/(3600*rho_max)-0.000000001,0)&lt;min_sh)*(min_sh-ROUNDUP(lam_total*INDEX(Tc_P,C185,0)*O185/(3600*rho_max)-0.000000001,0))))</f>
        <v>20</v>
      </c>
      <c r="Q185" s="3" t="n">
        <f aca="false">ROUNDUP(P185-0.000000001,0)+spares</f>
        <v>22</v>
      </c>
      <c r="R185" s="45" t="n">
        <f aca="false">B185*C185*(2*H185-G185*lpl)</f>
        <v>5184</v>
      </c>
      <c r="S185" s="45" t="n">
        <f aca="false">R185*fill</f>
        <v>4406.4</v>
      </c>
      <c r="T185" s="45" t="n">
        <f aca="false">I185*J185</f>
        <v>514.8</v>
      </c>
      <c r="U185" s="45" t="n">
        <f aca="false">T185*(K185+headroom)</f>
        <v>20694.96</v>
      </c>
      <c r="V185" s="45" t="n">
        <f aca="false">G185*c_lift</f>
        <v>300000</v>
      </c>
      <c r="W185" s="45" t="n">
        <f aca="false">Q185*c_shut</f>
        <v>1100000</v>
      </c>
      <c r="X185" s="45" t="n">
        <f aca="false">R185*c_pos</f>
        <v>518400</v>
      </c>
      <c r="Y185" s="45" t="n">
        <f aca="false">T185*c_m2+U185*c_m3</f>
        <v>826768.8</v>
      </c>
      <c r="Z185" s="45" t="n">
        <f aca="false">SUM(V185:Y185)</f>
        <v>2745168.8</v>
      </c>
      <c r="AA185" s="34" t="n">
        <f aca="false">B185*u_d/(H185*u_w)</f>
        <v>1.73333333333333</v>
      </c>
      <c r="AB185" s="46" t="n">
        <f aca="false">IF(G185=0,0,F185/G185)</f>
        <v>0.390753968253968</v>
      </c>
      <c r="AC185" s="46" t="n">
        <f aca="false">IF(G185&gt;1,F185/(G185-1),"n/a")</f>
        <v>0.781507936507937</v>
      </c>
      <c r="AD185" s="47" t="n">
        <f aca="false">moves_day*m_pallet*9.81*INDEX(Tc_mh,C185)/3600000</f>
        <v>15.74832</v>
      </c>
      <c r="AE185" s="3" t="n">
        <f aca="false">IF(AND(K185&lt;=H_max,H185&lt;=300,OR(lane_policy="Free (optimize N_C)",B185=sku_pal),OR(env_use="No",AND(I185&lt;=L_bldg,J185&lt;=W_bldg),AND(I185&lt;=W_bldg,J185&lt;=L_bldg))),1,0)</f>
        <v>0</v>
      </c>
      <c r="AF185" s="48" t="n">
        <f aca="false">IF(obj_mode="Total cost",Z185,IF(obj_mode="Shuttle cycle",O185,T185))</f>
        <v>2745168.8</v>
      </c>
      <c r="AG185" s="3" t="n">
        <f aca="false">IF(AE185=1,AF185*(1+A185*0.0000000001),1E+099)</f>
        <v>1E+099</v>
      </c>
      <c r="AH185" s="3" t="str">
        <f aca="false">IF(AE185=1,"",IF(K185&gt;H_max,"height",IF(AND(lane_policy&lt;&gt;"Free (optimize N_C)",B185&lt;&gt;sku_pal),"lane policy","footprint")))</f>
        <v>height</v>
      </c>
    </row>
    <row r="186" customFormat="false" ht="15" hidden="false" customHeight="true" outlineLevel="0" collapsed="false">
      <c r="A186" s="3" t="n">
        <v>179</v>
      </c>
      <c r="B186" s="3" t="n">
        <f aca="false">$J$3</f>
        <v>16</v>
      </c>
      <c r="C186" s="3" t="n">
        <v>19</v>
      </c>
      <c r="D186" s="46" t="n">
        <f aca="false">INDEX(Tc_pl,C186)</f>
        <v>0.6</v>
      </c>
      <c r="E186" s="47" t="n">
        <f aca="false">INDEX(Tc_S,C186)</f>
        <v>47.0696428571429</v>
      </c>
      <c r="F186" s="34" t="n">
        <f aca="false">lam_total*D186*E186/3600</f>
        <v>0.784494047619048</v>
      </c>
      <c r="G186" s="3" t="n">
        <f aca="false">IF(F186&lt;=0.000000000001,0,MAX(ROUNDUP(F186/rho_max-0.000000001,0),IF(redund="Yes",ROUNDUP(F186/rho_fail-0.000000001,0)+1,0)))</f>
        <v>2</v>
      </c>
      <c r="H186" s="3" t="n">
        <f aca="false">MAX(1,ROUNDUP((P_req/(B186*C186)+G186*lpl)/2-0.000000001,0))</f>
        <v>11</v>
      </c>
      <c r="I186" s="47" t="n">
        <f aca="false">H186*u_w</f>
        <v>11</v>
      </c>
      <c r="J186" s="47" t="n">
        <f aca="false">2*B186*u_d+aisle_w</f>
        <v>42.9</v>
      </c>
      <c r="K186" s="47" t="n">
        <f aca="false">C186*u_h</f>
        <v>40.85</v>
      </c>
      <c r="L186" s="47" t="n">
        <f aca="false">IF(G186=0,I186,I186/(2*G186))</f>
        <v>2.75</v>
      </c>
      <c r="M186" s="34" t="n">
        <f aca="false">((IF((lane_off+(L186))&lt;=(v_sh^2/a_sh),(4/3)*(lane_off+(L186))^1.5/SQRT(a_sh),(4/3)*(v_sh^2/a_sh)^1.5/SQRT(a_sh)+((lane_off+(L186))^2-(v_sh^2/a_sh)^2)/(2*v_sh)+(v_sh/a_sh)*((lane_off+(L186))-(v_sh^2/a_sh))))-(IF((lane_off)&lt;=(v_sh^2/a_sh),(4/3)*(lane_off)^1.5/SQRT(a_sh),(4/3)*(v_sh^2/a_sh)^1.5/SQRT(a_sh)+((lane_off)^2-(v_sh^2/a_sh)^2)/(2*v_sh)+(v_sh/a_sh)*((lane_off)-(v_sh^2/a_sh)))))/(L186)</f>
        <v>4.57228594965171</v>
      </c>
      <c r="N186" s="34" t="n">
        <f aca="false">IF(((B186-1)*u_d/2*(1+f_hc)+lane_off)&lt;=0,0,IF(((B186-1)*u_d/2*(1+f_hc)+lane_off)&gt;=v_sh^2/a_sh,((B186-1)*u_d/2*(1+f_hc)+lane_off)/v_sh+v_sh/a_sh,2*SQRT(((B186-1)*u_d/2*(1+f_hc)+lane_off)/a_sh)))</f>
        <v>12.0857142857143</v>
      </c>
      <c r="O186" s="47" t="n">
        <f aca="false">2*t_sh+2*t_turn+2*M186+2*N186</f>
        <v>91.316000470732</v>
      </c>
      <c r="P186" s="47" t="n">
        <f aca="false">SUMPRODUCT((Tc_idx&lt;=C186)*(ROUNDUP(lam_total*INDEX(Tc_P,C186,0)*O186/(3600*rho_max)-0.000000001,0)+(ROUNDUP(lam_total*INDEX(Tc_P,C186,0)*O186/(3600*rho_max)-0.000000001,0)&lt;min_sh)*(min_sh-ROUNDUP(lam_total*INDEX(Tc_P,C186,0)*O186/(3600*rho_max)-0.000000001,0))))</f>
        <v>21</v>
      </c>
      <c r="Q186" s="3" t="n">
        <f aca="false">ROUNDUP(P186-0.000000001,0)+spares</f>
        <v>23</v>
      </c>
      <c r="R186" s="45" t="n">
        <f aca="false">B186*C186*(2*H186-G186*lpl)</f>
        <v>4864</v>
      </c>
      <c r="S186" s="45" t="n">
        <f aca="false">R186*fill</f>
        <v>4134.4</v>
      </c>
      <c r="T186" s="45" t="n">
        <f aca="false">I186*J186</f>
        <v>471.9</v>
      </c>
      <c r="U186" s="45" t="n">
        <f aca="false">T186*(K186+headroom)</f>
        <v>19984.965</v>
      </c>
      <c r="V186" s="45" t="n">
        <f aca="false">G186*c_lift</f>
        <v>300000</v>
      </c>
      <c r="W186" s="45" t="n">
        <f aca="false">Q186*c_shut</f>
        <v>1150000</v>
      </c>
      <c r="X186" s="45" t="n">
        <f aca="false">R186*c_pos</f>
        <v>486400</v>
      </c>
      <c r="Y186" s="45" t="n">
        <f aca="false">T186*c_m2+U186*c_m3</f>
        <v>788308.95</v>
      </c>
      <c r="Z186" s="45" t="n">
        <f aca="false">SUM(V186:Y186)</f>
        <v>2724708.95</v>
      </c>
      <c r="AA186" s="34" t="n">
        <f aca="false">B186*u_d/(H186*u_w)</f>
        <v>1.89090909090909</v>
      </c>
      <c r="AB186" s="46" t="n">
        <f aca="false">IF(G186=0,0,F186/G186)</f>
        <v>0.392247023809524</v>
      </c>
      <c r="AC186" s="46" t="n">
        <f aca="false">IF(G186&gt;1,F186/(G186-1),"n/a")</f>
        <v>0.784494047619048</v>
      </c>
      <c r="AD186" s="47" t="n">
        <f aca="false">moves_day*m_pallet*9.81*INDEX(Tc_mh,C186)/3600000</f>
        <v>16.02954</v>
      </c>
      <c r="AE186" s="3" t="n">
        <f aca="false">IF(AND(K186&lt;=H_max,H186&lt;=300,OR(lane_policy="Free (optimize N_C)",B186=sku_pal),OR(env_use="No",AND(I186&lt;=L_bldg,J186&lt;=W_bldg),AND(I186&lt;=W_bldg,J186&lt;=L_bldg))),1,0)</f>
        <v>0</v>
      </c>
      <c r="AF186" s="48" t="n">
        <f aca="false">IF(obj_mode="Total cost",Z186,IF(obj_mode="Shuttle cycle",O186,T186))</f>
        <v>2724708.95</v>
      </c>
      <c r="AG186" s="3" t="n">
        <f aca="false">IF(AE186=1,AF186*(1+A186*0.0000000001),1E+099)</f>
        <v>1E+099</v>
      </c>
      <c r="AH186" s="3" t="str">
        <f aca="false">IF(AE186=1,"",IF(K186&gt;H_max,"height",IF(AND(lane_policy&lt;&gt;"Free (optimize N_C)",B186&lt;&gt;sku_pal),"lane policy","footprint")))</f>
        <v>height</v>
      </c>
    </row>
    <row r="187" customFormat="false" ht="15" hidden="false" customHeight="true" outlineLevel="0" collapsed="false">
      <c r="A187" s="3" t="n">
        <v>180</v>
      </c>
      <c r="B187" s="3" t="n">
        <f aca="false">$J$3</f>
        <v>16</v>
      </c>
      <c r="C187" s="3" t="n">
        <v>20</v>
      </c>
      <c r="D187" s="46" t="n">
        <f aca="false">INDEX(Tc_pl,C187)</f>
        <v>0.6</v>
      </c>
      <c r="E187" s="47" t="n">
        <f aca="false">INDEX(Tc_S,C187)</f>
        <v>47.2488095238095</v>
      </c>
      <c r="F187" s="34" t="n">
        <f aca="false">lam_total*D187*E187/3600</f>
        <v>0.787480158730159</v>
      </c>
      <c r="G187" s="3" t="n">
        <f aca="false">IF(F187&lt;=0.000000000001,0,MAX(ROUNDUP(F187/rho_max-0.000000001,0),IF(redund="Yes",ROUNDUP(F187/rho_fail-0.000000001,0)+1,0)))</f>
        <v>2</v>
      </c>
      <c r="H187" s="3" t="n">
        <f aca="false">MAX(1,ROUNDUP((P_req/(B187*C187)+G187*lpl)/2-0.000000001,0))</f>
        <v>11</v>
      </c>
      <c r="I187" s="47" t="n">
        <f aca="false">H187*u_w</f>
        <v>11</v>
      </c>
      <c r="J187" s="47" t="n">
        <f aca="false">2*B187*u_d+aisle_w</f>
        <v>42.9</v>
      </c>
      <c r="K187" s="47" t="n">
        <f aca="false">C187*u_h</f>
        <v>43</v>
      </c>
      <c r="L187" s="47" t="n">
        <f aca="false">IF(G187=0,I187,I187/(2*G187))</f>
        <v>2.75</v>
      </c>
      <c r="M187" s="34" t="n">
        <f aca="false">((IF((lane_off+(L187))&lt;=(v_sh^2/a_sh),(4/3)*(lane_off+(L187))^1.5/SQRT(a_sh),(4/3)*(v_sh^2/a_sh)^1.5/SQRT(a_sh)+((lane_off+(L187))^2-(v_sh^2/a_sh)^2)/(2*v_sh)+(v_sh/a_sh)*((lane_off+(L187))-(v_sh^2/a_sh))))-(IF((lane_off)&lt;=(v_sh^2/a_sh),(4/3)*(lane_off)^1.5/SQRT(a_sh),(4/3)*(v_sh^2/a_sh)^1.5/SQRT(a_sh)+((lane_off)^2-(v_sh^2/a_sh)^2)/(2*v_sh)+(v_sh/a_sh)*((lane_off)-(v_sh^2/a_sh)))))/(L187)</f>
        <v>4.57228594965171</v>
      </c>
      <c r="N187" s="34" t="n">
        <f aca="false">IF(((B187-1)*u_d/2*(1+f_hc)+lane_off)&lt;=0,0,IF(((B187-1)*u_d/2*(1+f_hc)+lane_off)&gt;=v_sh^2/a_sh,((B187-1)*u_d/2*(1+f_hc)+lane_off)/v_sh+v_sh/a_sh,2*SQRT(((B187-1)*u_d/2*(1+f_hc)+lane_off)/a_sh)))</f>
        <v>12.0857142857143</v>
      </c>
      <c r="O187" s="47" t="n">
        <f aca="false">2*t_sh+2*t_turn+2*M187+2*N187</f>
        <v>91.316000470732</v>
      </c>
      <c r="P187" s="47" t="n">
        <f aca="false">SUMPRODUCT((Tc_idx&lt;=C187)*(ROUNDUP(lam_total*INDEX(Tc_P,C187,0)*O187/(3600*rho_max)-0.000000001,0)+(ROUNDUP(lam_total*INDEX(Tc_P,C187,0)*O187/(3600*rho_max)-0.000000001,0)&lt;min_sh)*(min_sh-ROUNDUP(lam_total*INDEX(Tc_P,C187,0)*O187/(3600*rho_max)-0.000000001,0))))</f>
        <v>22</v>
      </c>
      <c r="Q187" s="3" t="n">
        <f aca="false">ROUNDUP(P187-0.000000001,0)+spares</f>
        <v>24</v>
      </c>
      <c r="R187" s="45" t="n">
        <f aca="false">B187*C187*(2*H187-G187*lpl)</f>
        <v>5120</v>
      </c>
      <c r="S187" s="45" t="n">
        <f aca="false">R187*fill</f>
        <v>4352</v>
      </c>
      <c r="T187" s="45" t="n">
        <f aca="false">I187*J187</f>
        <v>471.9</v>
      </c>
      <c r="U187" s="45" t="n">
        <f aca="false">T187*(K187+headroom)</f>
        <v>20999.55</v>
      </c>
      <c r="V187" s="45" t="n">
        <f aca="false">G187*c_lift</f>
        <v>300000</v>
      </c>
      <c r="W187" s="45" t="n">
        <f aca="false">Q187*c_shut</f>
        <v>1200000</v>
      </c>
      <c r="X187" s="45" t="n">
        <f aca="false">R187*c_pos</f>
        <v>512000</v>
      </c>
      <c r="Y187" s="45" t="n">
        <f aca="false">T187*c_m2+U187*c_m3</f>
        <v>818746.5</v>
      </c>
      <c r="Z187" s="45" t="n">
        <f aca="false">SUM(V187:Y187)</f>
        <v>2830746.5</v>
      </c>
      <c r="AA187" s="34" t="n">
        <f aca="false">B187*u_d/(H187*u_w)</f>
        <v>1.89090909090909</v>
      </c>
      <c r="AB187" s="46" t="n">
        <f aca="false">IF(G187=0,0,F187/G187)</f>
        <v>0.393740079365079</v>
      </c>
      <c r="AC187" s="46" t="n">
        <f aca="false">IF(G187&gt;1,F187/(G187-1),"n/a")</f>
        <v>0.787480158730159</v>
      </c>
      <c r="AD187" s="47" t="n">
        <f aca="false">moves_day*m_pallet*9.81*INDEX(Tc_mh,C187)/3600000</f>
        <v>16.31076</v>
      </c>
      <c r="AE187" s="3" t="n">
        <f aca="false">IF(AND(K187&lt;=H_max,H187&lt;=300,OR(lane_policy="Free (optimize N_C)",B187=sku_pal),OR(env_use="No",AND(I187&lt;=L_bldg,J187&lt;=W_bldg),AND(I187&lt;=W_bldg,J187&lt;=L_bldg))),1,0)</f>
        <v>0</v>
      </c>
      <c r="AF187" s="48" t="n">
        <f aca="false">IF(obj_mode="Total cost",Z187,IF(obj_mode="Shuttle cycle",O187,T187))</f>
        <v>2830746.5</v>
      </c>
      <c r="AG187" s="3" t="n">
        <f aca="false">IF(AE187=1,AF187*(1+A187*0.0000000001),1E+099)</f>
        <v>1E+099</v>
      </c>
      <c r="AH187" s="3" t="str">
        <f aca="false">IF(AE187=1,"",IF(K187&gt;H_max,"height",IF(AND(lane_policy&lt;&gt;"Free (optimize N_C)",B187&lt;&gt;sku_pal),"lane policy","footprint")))</f>
        <v>height</v>
      </c>
    </row>
    <row r="188" customFormat="false" ht="15" hidden="false" customHeight="true" outlineLevel="0" collapsed="false">
      <c r="A188" s="3" t="n">
        <v>181</v>
      </c>
      <c r="B188" s="3" t="n">
        <f aca="false">$K$3</f>
        <v>20</v>
      </c>
      <c r="C188" s="3" t="n">
        <v>1</v>
      </c>
      <c r="D188" s="46" t="n">
        <f aca="false">INDEX(Tc_pl,C188)</f>
        <v>0</v>
      </c>
      <c r="E188" s="47" t="n">
        <f aca="false">INDEX(Tc_S,C188)</f>
        <v>0</v>
      </c>
      <c r="F188" s="34" t="n">
        <f aca="false">lam_total*D188*E188/3600</f>
        <v>0</v>
      </c>
      <c r="G188" s="3" t="n">
        <f aca="false">IF(F188&lt;=0.000000000001,0,MAX(ROUNDUP(F188/rho_max-0.000000001,0),IF(redund="Yes",ROUNDUP(F188/rho_fail-0.000000001,0)+1,0)))</f>
        <v>0</v>
      </c>
      <c r="H188" s="3" t="n">
        <f aca="false">MAX(1,ROUNDUP((P_req/(B188*C188)+G188*lpl)/2-0.000000001,0))</f>
        <v>118</v>
      </c>
      <c r="I188" s="47" t="n">
        <f aca="false">H188*u_w</f>
        <v>118</v>
      </c>
      <c r="J188" s="47" t="n">
        <f aca="false">2*B188*u_d+aisle_w</f>
        <v>53.3</v>
      </c>
      <c r="K188" s="47" t="n">
        <f aca="false">C188*u_h</f>
        <v>2.15</v>
      </c>
      <c r="L188" s="47" t="n">
        <f aca="false">IF(G188=0,I188,I188/(2*G188))</f>
        <v>118</v>
      </c>
      <c r="M188" s="34" t="n">
        <f aca="false">((IF((lane_off+(L188))&lt;=(v_sh^2/a_sh),(4/3)*(lane_off+(L188))^1.5/SQRT(a_sh),(4/3)*(v_sh^2/a_sh)^1.5/SQRT(a_sh)+((lane_off+(L188))^2-(v_sh^2/a_sh)^2)/(2*v_sh)+(v_sh/a_sh)*((lane_off+(L188))-(v_sh^2/a_sh))))-(IF((lane_off)&lt;=(v_sh^2/a_sh),(4/3)*(lane_off)^1.5/SQRT(a_sh),(4/3)*(v_sh^2/a_sh)^1.5/SQRT(a_sh)+((lane_off)^2-(v_sh^2/a_sh)^2)/(2*v_sh)+(v_sh/a_sh)*((lane_off)-(v_sh^2/a_sh)))))/(L188)</f>
        <v>45.8682024873254</v>
      </c>
      <c r="N188" s="34" t="n">
        <f aca="false">IF(((B188-1)*u_d/2*(1+f_hc)+lane_off)&lt;=0,0,IF(((B188-1)*u_d/2*(1+f_hc)+lane_off)&gt;=v_sh^2/a_sh,((B188-1)*u_d/2*(1+f_hc)+lane_off)/v_sh+v_sh/a_sh,2*SQRT(((B188-1)*u_d/2*(1+f_hc)+lane_off)/a_sh)))</f>
        <v>14.3142857142857</v>
      </c>
      <c r="O188" s="47" t="n">
        <f aca="false">2*t_sh+2*t_turn+2*M188+2*N188</f>
        <v>178.364976403222</v>
      </c>
      <c r="P188" s="47" t="n">
        <f aca="false">SUMPRODUCT((Tc_idx&lt;=C188)*(ROUNDUP(lam_total*INDEX(Tc_P,C188,0)*O188/(3600*rho_max)-0.000000001,0)+(ROUNDUP(lam_total*INDEX(Tc_P,C188,0)*O188/(3600*rho_max)-0.000000001,0)&lt;min_sh)*(min_sh-ROUNDUP(lam_total*INDEX(Tc_P,C188,0)*O188/(3600*rho_max)-0.000000001,0))))</f>
        <v>7</v>
      </c>
      <c r="Q188" s="3" t="n">
        <f aca="false">ROUNDUP(P188-0.000000001,0)+spares</f>
        <v>9</v>
      </c>
      <c r="R188" s="45" t="n">
        <f aca="false">B188*C188*(2*H188-G188*lpl)</f>
        <v>4720</v>
      </c>
      <c r="S188" s="45" t="n">
        <f aca="false">R188*fill</f>
        <v>4012</v>
      </c>
      <c r="T188" s="45" t="n">
        <f aca="false">I188*J188</f>
        <v>6289.4</v>
      </c>
      <c r="U188" s="45" t="n">
        <f aca="false">T188*(K188+headroom)</f>
        <v>22956.31</v>
      </c>
      <c r="V188" s="45" t="n">
        <f aca="false">G188*c_lift</f>
        <v>0</v>
      </c>
      <c r="W188" s="45" t="n">
        <f aca="false">Q188*c_shut</f>
        <v>450000</v>
      </c>
      <c r="X188" s="45" t="n">
        <f aca="false">R188*c_pos</f>
        <v>472000</v>
      </c>
      <c r="Y188" s="45" t="n">
        <f aca="false">T188*c_m2+U188*c_m3</f>
        <v>3204449.3</v>
      </c>
      <c r="Z188" s="45" t="n">
        <f aca="false">SUM(V188:Y188)</f>
        <v>4126449.3</v>
      </c>
      <c r="AA188" s="34" t="n">
        <f aca="false">B188*u_d/(H188*u_w)</f>
        <v>0.220338983050847</v>
      </c>
      <c r="AB188" s="46" t="n">
        <f aca="false">IF(G188=0,0,F188/G188)</f>
        <v>0</v>
      </c>
      <c r="AC188" s="46" t="str">
        <f aca="false">IF(G188&gt;1,F188/(G188-1),"n/a")</f>
        <v>n/a</v>
      </c>
      <c r="AD188" s="47" t="n">
        <f aca="false">moves_day*m_pallet*9.81*INDEX(Tc_mh,C188)/3600000</f>
        <v>0</v>
      </c>
      <c r="AE188" s="3" t="n">
        <f aca="false">IF(AND(K188&lt;=H_max,H188&lt;=300,OR(lane_policy="Free (optimize N_C)",B188=sku_pal),OR(env_use="No",AND(I188&lt;=L_bldg,J188&lt;=W_bldg),AND(I188&lt;=W_bldg,J188&lt;=L_bldg))),1,0)</f>
        <v>0</v>
      </c>
      <c r="AF188" s="48" t="n">
        <f aca="false">IF(obj_mode="Total cost",Z188,IF(obj_mode="Shuttle cycle",O188,T188))</f>
        <v>4126449.3</v>
      </c>
      <c r="AG188" s="3" t="n">
        <f aca="false">IF(AE188=1,AF188*(1+A188*0.0000000001),1E+099)</f>
        <v>1E+099</v>
      </c>
      <c r="AH188" s="3" t="str">
        <f aca="false">IF(AE188=1,"",IF(K188&gt;H_max,"height",IF(AND(lane_policy&lt;&gt;"Free (optimize N_C)",B188&lt;&gt;sku_pal),"lane policy","footprint")))</f>
        <v>footprint</v>
      </c>
    </row>
    <row r="189" customFormat="false" ht="15" hidden="false" customHeight="true" outlineLevel="0" collapsed="false">
      <c r="A189" s="3" t="n">
        <v>182</v>
      </c>
      <c r="B189" s="3" t="n">
        <f aca="false">$K$3</f>
        <v>20</v>
      </c>
      <c r="C189" s="3" t="n">
        <v>2</v>
      </c>
      <c r="D189" s="46" t="n">
        <f aca="false">INDEX(Tc_pl,C189)</f>
        <v>0.5</v>
      </c>
      <c r="E189" s="47" t="n">
        <f aca="false">INDEX(Tc_S,C189)</f>
        <v>41.1571428571429</v>
      </c>
      <c r="F189" s="34" t="n">
        <f aca="false">lam_total*D189*E189/3600</f>
        <v>0.571626984126984</v>
      </c>
      <c r="G189" s="3" t="n">
        <f aca="false">IF(F189&lt;=0.000000000001,0,MAX(ROUNDUP(F189/rho_max-0.000000001,0),IF(redund="Yes",ROUNDUP(F189/rho_fail-0.000000001,0)+1,0)))</f>
        <v>2</v>
      </c>
      <c r="H189" s="3" t="n">
        <f aca="false">MAX(1,ROUNDUP((P_req/(B189*C189)+G189*lpl)/2-0.000000001,0))</f>
        <v>62</v>
      </c>
      <c r="I189" s="47" t="n">
        <f aca="false">H189*u_w</f>
        <v>62</v>
      </c>
      <c r="J189" s="47" t="n">
        <f aca="false">2*B189*u_d+aisle_w</f>
        <v>53.3</v>
      </c>
      <c r="K189" s="47" t="n">
        <f aca="false">C189*u_h</f>
        <v>4.3</v>
      </c>
      <c r="L189" s="47" t="n">
        <f aca="false">IF(G189=0,I189,I189/(2*G189))</f>
        <v>15.5</v>
      </c>
      <c r="M189" s="34" t="n">
        <f aca="false">((IF((lane_off+(L189))&lt;=(v_sh^2/a_sh),(4/3)*(lane_off+(L189))^1.5/SQRT(a_sh),(4/3)*(v_sh^2/a_sh)^1.5/SQRT(a_sh)+((lane_off+(L189))^2-(v_sh^2/a_sh)^2)/(2*v_sh)+(v_sh/a_sh)*((lane_off+(L189))-(v_sh^2/a_sh))))-(IF((lane_off)&lt;=(v_sh^2/a_sh),(4/3)*(lane_off)^1.5/SQRT(a_sh),(4/3)*(v_sh^2/a_sh)^1.5/SQRT(a_sh)+((lane_off)^2-(v_sh^2/a_sh)^2)/(2*v_sh)+(v_sh/a_sh)*((lane_off)-(v_sh^2/a_sh)))))/(L189)</f>
        <v>9.2397258482101</v>
      </c>
      <c r="N189" s="34" t="n">
        <f aca="false">IF(((B189-1)*u_d/2*(1+f_hc)+lane_off)&lt;=0,0,IF(((B189-1)*u_d/2*(1+f_hc)+lane_off)&gt;=v_sh^2/a_sh,((B189-1)*u_d/2*(1+f_hc)+lane_off)/v_sh+v_sh/a_sh,2*SQRT(((B189-1)*u_d/2*(1+f_hc)+lane_off)/a_sh)))</f>
        <v>14.3142857142857</v>
      </c>
      <c r="O189" s="47" t="n">
        <f aca="false">2*t_sh+2*t_turn+2*M189+2*N189</f>
        <v>105.108023124992</v>
      </c>
      <c r="P189" s="47" t="n">
        <f aca="false">SUMPRODUCT((Tc_idx&lt;=C189)*(ROUNDUP(lam_total*INDEX(Tc_P,C189,0)*O189/(3600*rho_max)-0.000000001,0)+(ROUNDUP(lam_total*INDEX(Tc_P,C189,0)*O189/(3600*rho_max)-0.000000001,0)&lt;min_sh)*(min_sh-ROUNDUP(lam_total*INDEX(Tc_P,C189,0)*O189/(3600*rho_max)-0.000000001,0))))</f>
        <v>4</v>
      </c>
      <c r="Q189" s="3" t="n">
        <f aca="false">ROUNDUP(P189-0.000000001,0)+spares</f>
        <v>6</v>
      </c>
      <c r="R189" s="45" t="n">
        <f aca="false">B189*C189*(2*H189-G189*lpl)</f>
        <v>4720</v>
      </c>
      <c r="S189" s="45" t="n">
        <f aca="false">R189*fill</f>
        <v>4012</v>
      </c>
      <c r="T189" s="45" t="n">
        <f aca="false">I189*J189</f>
        <v>3304.6</v>
      </c>
      <c r="U189" s="45" t="n">
        <f aca="false">T189*(K189+headroom)</f>
        <v>19166.68</v>
      </c>
      <c r="V189" s="45" t="n">
        <f aca="false">G189*c_lift</f>
        <v>300000</v>
      </c>
      <c r="W189" s="45" t="n">
        <f aca="false">Q189*c_shut</f>
        <v>300000</v>
      </c>
      <c r="X189" s="45" t="n">
        <f aca="false">R189*c_pos</f>
        <v>472000</v>
      </c>
      <c r="Y189" s="45" t="n">
        <f aca="false">T189*c_m2+U189*c_m3</f>
        <v>1896840.4</v>
      </c>
      <c r="Z189" s="45" t="n">
        <f aca="false">SUM(V189:Y189)</f>
        <v>2968840.4</v>
      </c>
      <c r="AA189" s="34" t="n">
        <f aca="false">B189*u_d/(H189*u_w)</f>
        <v>0.419354838709677</v>
      </c>
      <c r="AB189" s="46" t="n">
        <f aca="false">IF(G189=0,0,F189/G189)</f>
        <v>0.285813492063492</v>
      </c>
      <c r="AC189" s="46" t="n">
        <f aca="false">IF(G189&gt;1,F189/(G189-1),"n/a")</f>
        <v>0.571626984126984</v>
      </c>
      <c r="AD189" s="47" t="n">
        <f aca="false">moves_day*m_pallet*9.81*INDEX(Tc_mh,C189)/3600000</f>
        <v>5.6244</v>
      </c>
      <c r="AE189" s="3" t="n">
        <f aca="false">IF(AND(K189&lt;=H_max,H189&lt;=300,OR(lane_policy="Free (optimize N_C)",B189=sku_pal),OR(env_use="No",AND(I189&lt;=L_bldg,J189&lt;=W_bldg),AND(I189&lt;=W_bldg,J189&lt;=L_bldg))),1,0)</f>
        <v>0</v>
      </c>
      <c r="AF189" s="48" t="n">
        <f aca="false">IF(obj_mode="Total cost",Z189,IF(obj_mode="Shuttle cycle",O189,T189))</f>
        <v>2968840.4</v>
      </c>
      <c r="AG189" s="3" t="n">
        <f aca="false">IF(AE189=1,AF189*(1+A189*0.0000000001),1E+099)</f>
        <v>1E+099</v>
      </c>
      <c r="AH189" s="3" t="str">
        <f aca="false">IF(AE189=1,"",IF(K189&gt;H_max,"height",IF(AND(lane_policy&lt;&gt;"Free (optimize N_C)",B189&lt;&gt;sku_pal),"lane policy","footprint")))</f>
        <v>footprint</v>
      </c>
    </row>
    <row r="190" customFormat="false" ht="15" hidden="false" customHeight="true" outlineLevel="0" collapsed="false">
      <c r="A190" s="3" t="n">
        <v>183</v>
      </c>
      <c r="B190" s="3" t="n">
        <f aca="false">$K$3</f>
        <v>20</v>
      </c>
      <c r="C190" s="3" t="n">
        <v>3</v>
      </c>
      <c r="D190" s="46" t="n">
        <f aca="false">INDEX(Tc_pl,C190)</f>
        <v>0.529411764705882</v>
      </c>
      <c r="E190" s="47" t="n">
        <f aca="false">INDEX(Tc_S,C190)</f>
        <v>41.6349206349206</v>
      </c>
      <c r="F190" s="34" t="n">
        <f aca="false">lam_total*D190*E190/3600</f>
        <v>0.612278244631186</v>
      </c>
      <c r="G190" s="3" t="n">
        <f aca="false">IF(F190&lt;=0.000000000001,0,MAX(ROUNDUP(F190/rho_max-0.000000001,0),IF(redund="Yes",ROUNDUP(F190/rho_fail-0.000000001,0)+1,0)))</f>
        <v>2</v>
      </c>
      <c r="H190" s="3" t="n">
        <f aca="false">MAX(1,ROUNDUP((P_req/(B190*C190)+G190*lpl)/2-0.000000001,0))</f>
        <v>43</v>
      </c>
      <c r="I190" s="47" t="n">
        <f aca="false">H190*u_w</f>
        <v>43</v>
      </c>
      <c r="J190" s="47" t="n">
        <f aca="false">2*B190*u_d+aisle_w</f>
        <v>53.3</v>
      </c>
      <c r="K190" s="47" t="n">
        <f aca="false">C190*u_h</f>
        <v>6.45</v>
      </c>
      <c r="L190" s="47" t="n">
        <f aca="false">IF(G190=0,I190,I190/(2*G190))</f>
        <v>10.75</v>
      </c>
      <c r="M190" s="34" t="n">
        <f aca="false">((IF((lane_off+(L190))&lt;=(v_sh^2/a_sh),(4/3)*(lane_off+(L190))^1.5/SQRT(a_sh),(4/3)*(v_sh^2/a_sh)^1.5/SQRT(a_sh)+((lane_off+(L190))^2-(v_sh^2/a_sh)^2)/(2*v_sh)+(v_sh/a_sh)*((lane_off+(L190))-(v_sh^2/a_sh))))-(IF((lane_off)&lt;=(v_sh^2/a_sh),(4/3)*(lane_off)^1.5/SQRT(a_sh),(4/3)*(v_sh^2/a_sh)^1.5/SQRT(a_sh)+((lane_off)^2-(v_sh^2/a_sh)^2)/(2*v_sh)+(v_sh/a_sh)*((lane_off)-(v_sh^2/a_sh)))))/(L190)</f>
        <v>7.53244524293416</v>
      </c>
      <c r="N190" s="34" t="n">
        <f aca="false">IF(((B190-1)*u_d/2*(1+f_hc)+lane_off)&lt;=0,0,IF(((B190-1)*u_d/2*(1+f_hc)+lane_off)&gt;=v_sh^2/a_sh,((B190-1)*u_d/2*(1+f_hc)+lane_off)/v_sh+v_sh/a_sh,2*SQRT(((B190-1)*u_d/2*(1+f_hc)+lane_off)/a_sh)))</f>
        <v>14.3142857142857</v>
      </c>
      <c r="O190" s="47" t="n">
        <f aca="false">2*t_sh+2*t_turn+2*M190+2*N190</f>
        <v>101.69346191444</v>
      </c>
      <c r="P190" s="47" t="n">
        <f aca="false">SUMPRODUCT((Tc_idx&lt;=C190)*(ROUNDUP(lam_total*INDEX(Tc_P,C190,0)*O190/(3600*rho_max)-0.000000001,0)+(ROUNDUP(lam_total*INDEX(Tc_P,C190,0)*O190/(3600*rho_max)-0.000000001,0)&lt;min_sh)*(min_sh-ROUNDUP(lam_total*INDEX(Tc_P,C190,0)*O190/(3600*rho_max)-0.000000001,0))))</f>
        <v>5</v>
      </c>
      <c r="Q190" s="3" t="n">
        <f aca="false">ROUNDUP(P190-0.000000001,0)+spares</f>
        <v>7</v>
      </c>
      <c r="R190" s="45" t="n">
        <f aca="false">B190*C190*(2*H190-G190*lpl)</f>
        <v>4800</v>
      </c>
      <c r="S190" s="45" t="n">
        <f aca="false">R190*fill</f>
        <v>4080</v>
      </c>
      <c r="T190" s="45" t="n">
        <f aca="false">I190*J190</f>
        <v>2291.9</v>
      </c>
      <c r="U190" s="45" t="n">
        <f aca="false">T190*(K190+headroom)</f>
        <v>18220.605</v>
      </c>
      <c r="V190" s="45" t="n">
        <f aca="false">G190*c_lift</f>
        <v>300000</v>
      </c>
      <c r="W190" s="45" t="n">
        <f aca="false">Q190*c_shut</f>
        <v>350000</v>
      </c>
      <c r="X190" s="45" t="n">
        <f aca="false">R190*c_pos</f>
        <v>480000</v>
      </c>
      <c r="Y190" s="45" t="n">
        <f aca="false">T190*c_m2+U190*c_m3</f>
        <v>1463378.15</v>
      </c>
      <c r="Z190" s="45" t="n">
        <f aca="false">SUM(V190:Y190)</f>
        <v>2593378.15</v>
      </c>
      <c r="AA190" s="34" t="n">
        <f aca="false">B190*u_d/(H190*u_w)</f>
        <v>0.604651162790698</v>
      </c>
      <c r="AB190" s="46" t="n">
        <f aca="false">IF(G190=0,0,F190/G190)</f>
        <v>0.306139122315593</v>
      </c>
      <c r="AC190" s="46" t="n">
        <f aca="false">IF(G190&gt;1,F190/(G190-1),"n/a")</f>
        <v>0.612278244631186</v>
      </c>
      <c r="AD190" s="47" t="n">
        <f aca="false">moves_day*m_pallet*9.81*INDEX(Tc_mh,C190)/3600000</f>
        <v>6.61694117647059</v>
      </c>
      <c r="AE190" s="3" t="n">
        <f aca="false">IF(AND(K190&lt;=H_max,H190&lt;=300,OR(lane_policy="Free (optimize N_C)",B190=sku_pal),OR(env_use="No",AND(I190&lt;=L_bldg,J190&lt;=W_bldg),AND(I190&lt;=W_bldg,J190&lt;=L_bldg))),1,0)</f>
        <v>0</v>
      </c>
      <c r="AF190" s="48" t="n">
        <f aca="false">IF(obj_mode="Total cost",Z190,IF(obj_mode="Shuttle cycle",O190,T190))</f>
        <v>2593378.15</v>
      </c>
      <c r="AG190" s="3" t="n">
        <f aca="false">IF(AE190=1,AF190*(1+A190*0.0000000001),1E+099)</f>
        <v>1E+099</v>
      </c>
      <c r="AH190" s="3" t="str">
        <f aca="false">IF(AE190=1,"",IF(K190&gt;H_max,"height",IF(AND(lane_policy&lt;&gt;"Free (optimize N_C)",B190&lt;&gt;sku_pal),"lane policy","footprint")))</f>
        <v>footprint</v>
      </c>
    </row>
    <row r="191" customFormat="false" ht="15" hidden="false" customHeight="true" outlineLevel="0" collapsed="false">
      <c r="A191" s="3" t="n">
        <v>184</v>
      </c>
      <c r="B191" s="3" t="n">
        <f aca="false">$K$3</f>
        <v>20</v>
      </c>
      <c r="C191" s="3" t="n">
        <v>4</v>
      </c>
      <c r="D191" s="46" t="n">
        <f aca="false">INDEX(Tc_pl,C191)</f>
        <v>0.555555555555556</v>
      </c>
      <c r="E191" s="47" t="n">
        <f aca="false">INDEX(Tc_S,C191)</f>
        <v>42.4471428571429</v>
      </c>
      <c r="F191" s="34" t="n">
        <f aca="false">lam_total*D191*E191/3600</f>
        <v>0.655048500881834</v>
      </c>
      <c r="G191" s="3" t="n">
        <f aca="false">IF(F191&lt;=0.000000000001,0,MAX(ROUNDUP(F191/rho_max-0.000000001,0),IF(redund="Yes",ROUNDUP(F191/rho_fail-0.000000001,0)+1,0)))</f>
        <v>2</v>
      </c>
      <c r="H191" s="3" t="n">
        <f aca="false">MAX(1,ROUNDUP((P_req/(B191*C191)+G191*lpl)/2-0.000000001,0))</f>
        <v>33</v>
      </c>
      <c r="I191" s="47" t="n">
        <f aca="false">H191*u_w</f>
        <v>33</v>
      </c>
      <c r="J191" s="47" t="n">
        <f aca="false">2*B191*u_d+aisle_w</f>
        <v>53.3</v>
      </c>
      <c r="K191" s="47" t="n">
        <f aca="false">C191*u_h</f>
        <v>8.6</v>
      </c>
      <c r="L191" s="47" t="n">
        <f aca="false">IF(G191=0,I191,I191/(2*G191))</f>
        <v>8.25</v>
      </c>
      <c r="M191" s="34" t="n">
        <f aca="false">((IF((lane_off+(L191))&lt;=(v_sh^2/a_sh),(4/3)*(lane_off+(L191))^1.5/SQRT(a_sh),(4/3)*(v_sh^2/a_sh)^1.5/SQRT(a_sh)+((lane_off+(L191))^2-(v_sh^2/a_sh)^2)/(2*v_sh)+(v_sh/a_sh)*((lane_off+(L191))-(v_sh^2/a_sh))))-(IF((lane_off)&lt;=(v_sh^2/a_sh),(4/3)*(lane_off)^1.5/SQRT(a_sh),(4/3)*(v_sh^2/a_sh)^1.5/SQRT(a_sh)+((lane_off)^2-(v_sh^2/a_sh)^2)/(2*v_sh)+(v_sh/a_sh)*((lane_off)-(v_sh^2/a_sh)))))/(L191)</f>
        <v>6.62885722131248</v>
      </c>
      <c r="N191" s="34" t="n">
        <f aca="false">IF(((B191-1)*u_d/2*(1+f_hc)+lane_off)&lt;=0,0,IF(((B191-1)*u_d/2*(1+f_hc)+lane_off)&gt;=v_sh^2/a_sh,((B191-1)*u_d/2*(1+f_hc)+lane_off)/v_sh+v_sh/a_sh,2*SQRT(((B191-1)*u_d/2*(1+f_hc)+lane_off)/a_sh)))</f>
        <v>14.3142857142857</v>
      </c>
      <c r="O191" s="47" t="n">
        <f aca="false">2*t_sh+2*t_turn+2*M191+2*N191</f>
        <v>99.8862858711964</v>
      </c>
      <c r="P191" s="47" t="n">
        <f aca="false">SUMPRODUCT((Tc_idx&lt;=C191)*(ROUNDUP(lam_total*INDEX(Tc_P,C191,0)*O191/(3600*rho_max)-0.000000001,0)+(ROUNDUP(lam_total*INDEX(Tc_P,C191,0)*O191/(3600*rho_max)-0.000000001,0)&lt;min_sh)*(min_sh-ROUNDUP(lam_total*INDEX(Tc_P,C191,0)*O191/(3600*rho_max)-0.000000001,0))))</f>
        <v>6</v>
      </c>
      <c r="Q191" s="3" t="n">
        <f aca="false">ROUNDUP(P191-0.000000001,0)+spares</f>
        <v>8</v>
      </c>
      <c r="R191" s="45" t="n">
        <f aca="false">B191*C191*(2*H191-G191*lpl)</f>
        <v>4800</v>
      </c>
      <c r="S191" s="45" t="n">
        <f aca="false">R191*fill</f>
        <v>4080</v>
      </c>
      <c r="T191" s="45" t="n">
        <f aca="false">I191*J191</f>
        <v>1758.9</v>
      </c>
      <c r="U191" s="45" t="n">
        <f aca="false">T191*(K191+headroom)</f>
        <v>17764.89</v>
      </c>
      <c r="V191" s="45" t="n">
        <f aca="false">G191*c_lift</f>
        <v>300000</v>
      </c>
      <c r="W191" s="45" t="n">
        <f aca="false">Q191*c_shut</f>
        <v>400000</v>
      </c>
      <c r="X191" s="45" t="n">
        <f aca="false">R191*c_pos</f>
        <v>480000</v>
      </c>
      <c r="Y191" s="45" t="n">
        <f aca="false">T191*c_m2+U191*c_m3</f>
        <v>1236506.7</v>
      </c>
      <c r="Z191" s="45" t="n">
        <f aca="false">SUM(V191:Y191)</f>
        <v>2416506.7</v>
      </c>
      <c r="AA191" s="34" t="n">
        <f aca="false">B191*u_d/(H191*u_w)</f>
        <v>0.787878787878788</v>
      </c>
      <c r="AB191" s="46" t="n">
        <f aca="false">IF(G191=0,0,F191/G191)</f>
        <v>0.327524250440917</v>
      </c>
      <c r="AC191" s="46" t="n">
        <f aca="false">IF(G191&gt;1,F191/(G191-1),"n/a")</f>
        <v>0.655048500881834</v>
      </c>
      <c r="AD191" s="47" t="n">
        <f aca="false">moves_day*m_pallet*9.81*INDEX(Tc_mh,C191)/3600000</f>
        <v>8.12413333333333</v>
      </c>
      <c r="AE191" s="3" t="n">
        <f aca="false">IF(AND(K191&lt;=H_max,H191&lt;=300,OR(lane_policy="Free (optimize N_C)",B191=sku_pal),OR(env_use="No",AND(I191&lt;=L_bldg,J191&lt;=W_bldg),AND(I191&lt;=W_bldg,J191&lt;=L_bldg))),1,0)</f>
        <v>0</v>
      </c>
      <c r="AF191" s="48" t="n">
        <f aca="false">IF(obj_mode="Total cost",Z191,IF(obj_mode="Shuttle cycle",O191,T191))</f>
        <v>2416506.7</v>
      </c>
      <c r="AG191" s="3" t="n">
        <f aca="false">IF(AE191=1,AF191*(1+A191*0.0000000001),1E+099)</f>
        <v>1E+099</v>
      </c>
      <c r="AH191" s="3" t="str">
        <f aca="false">IF(AE191=1,"",IF(K191&gt;H_max,"height",IF(AND(lane_policy&lt;&gt;"Free (optimize N_C)",B191&lt;&gt;sku_pal),"lane policy","footprint")))</f>
        <v>footprint</v>
      </c>
    </row>
    <row r="192" customFormat="false" ht="15" hidden="false" customHeight="true" outlineLevel="0" collapsed="false">
      <c r="A192" s="3" t="n">
        <v>185</v>
      </c>
      <c r="B192" s="3" t="n">
        <f aca="false">$K$3</f>
        <v>20</v>
      </c>
      <c r="C192" s="3" t="n">
        <v>5</v>
      </c>
      <c r="D192" s="46" t="n">
        <f aca="false">INDEX(Tc_pl,C192)</f>
        <v>0.578947368421053</v>
      </c>
      <c r="E192" s="47" t="n">
        <f aca="false">INDEX(Tc_S,C192)</f>
        <v>43.5025974025974</v>
      </c>
      <c r="F192" s="34" t="n">
        <f aca="false">lam_total*D192*E192/3600</f>
        <v>0.699603174603175</v>
      </c>
      <c r="G192" s="3" t="n">
        <f aca="false">IF(F192&lt;=0.000000000001,0,MAX(ROUNDUP(F192/rho_max-0.000000001,0),IF(redund="Yes",ROUNDUP(F192/rho_fail-0.000000001,0)+1,0)))</f>
        <v>2</v>
      </c>
      <c r="H192" s="3" t="n">
        <f aca="false">MAX(1,ROUNDUP((P_req/(B192*C192)+G192*lpl)/2-0.000000001,0))</f>
        <v>27</v>
      </c>
      <c r="I192" s="47" t="n">
        <f aca="false">H192*u_w</f>
        <v>27</v>
      </c>
      <c r="J192" s="47" t="n">
        <f aca="false">2*B192*u_d+aisle_w</f>
        <v>53.3</v>
      </c>
      <c r="K192" s="47" t="n">
        <f aca="false">C192*u_h</f>
        <v>10.75</v>
      </c>
      <c r="L192" s="47" t="n">
        <f aca="false">IF(G192=0,I192,I192/(2*G192))</f>
        <v>6.75</v>
      </c>
      <c r="M192" s="34" t="n">
        <f aca="false">((IF((lane_off+(L192))&lt;=(v_sh^2/a_sh),(4/3)*(lane_off+(L192))^1.5/SQRT(a_sh),(4/3)*(v_sh^2/a_sh)^1.5/SQRT(a_sh)+((lane_off+(L192))^2-(v_sh^2/a_sh)^2)/(2*v_sh)+(v_sh/a_sh)*((lane_off+(L192))-(v_sh^2/a_sh))))-(IF((lane_off)&lt;=(v_sh^2/a_sh),(4/3)*(lane_off)^1.5/SQRT(a_sh),(4/3)*(v_sh^2/a_sh)^1.5/SQRT(a_sh)+((lane_off)^2-(v_sh^2/a_sh)^2)/(2*v_sh)+(v_sh/a_sh)*((lane_off)-(v_sh^2/a_sh)))))/(L192)</f>
        <v>6.08288898477874</v>
      </c>
      <c r="N192" s="34" t="n">
        <f aca="false">IF(((B192-1)*u_d/2*(1+f_hc)+lane_off)&lt;=0,0,IF(((B192-1)*u_d/2*(1+f_hc)+lane_off)&gt;=v_sh^2/a_sh,((B192-1)*u_d/2*(1+f_hc)+lane_off)/v_sh+v_sh/a_sh,2*SQRT(((B192-1)*u_d/2*(1+f_hc)+lane_off)/a_sh)))</f>
        <v>14.3142857142857</v>
      </c>
      <c r="O192" s="47" t="n">
        <f aca="false">2*t_sh+2*t_turn+2*M192+2*N192</f>
        <v>98.7943493981289</v>
      </c>
      <c r="P192" s="47" t="n">
        <f aca="false">SUMPRODUCT((Tc_idx&lt;=C192)*(ROUNDUP(lam_total*INDEX(Tc_P,C192,0)*O192/(3600*rho_max)-0.000000001,0)+(ROUNDUP(lam_total*INDEX(Tc_P,C192,0)*O192/(3600*rho_max)-0.000000001,0)&lt;min_sh)*(min_sh-ROUNDUP(lam_total*INDEX(Tc_P,C192,0)*O192/(3600*rho_max)-0.000000001,0))))</f>
        <v>7</v>
      </c>
      <c r="Q192" s="3" t="n">
        <f aca="false">ROUNDUP(P192-0.000000001,0)+spares</f>
        <v>9</v>
      </c>
      <c r="R192" s="45" t="n">
        <f aca="false">B192*C192*(2*H192-G192*lpl)</f>
        <v>4800</v>
      </c>
      <c r="S192" s="45" t="n">
        <f aca="false">R192*fill</f>
        <v>4080</v>
      </c>
      <c r="T192" s="45" t="n">
        <f aca="false">I192*J192</f>
        <v>1439.1</v>
      </c>
      <c r="U192" s="45" t="n">
        <f aca="false">T192*(K192+headroom)</f>
        <v>17628.975</v>
      </c>
      <c r="V192" s="45" t="n">
        <f aca="false">G192*c_lift</f>
        <v>300000</v>
      </c>
      <c r="W192" s="45" t="n">
        <f aca="false">Q192*c_shut</f>
        <v>450000</v>
      </c>
      <c r="X192" s="45" t="n">
        <f aca="false">R192*c_pos</f>
        <v>480000</v>
      </c>
      <c r="Y192" s="45" t="n">
        <f aca="false">T192*c_m2+U192*c_m3</f>
        <v>1104509.25</v>
      </c>
      <c r="Z192" s="45" t="n">
        <f aca="false">SUM(V192:Y192)</f>
        <v>2334509.25</v>
      </c>
      <c r="AA192" s="34" t="n">
        <f aca="false">B192*u_d/(H192*u_w)</f>
        <v>0.962962962962963</v>
      </c>
      <c r="AB192" s="46" t="n">
        <f aca="false">IF(G192=0,0,F192/G192)</f>
        <v>0.349801587301587</v>
      </c>
      <c r="AC192" s="46" t="n">
        <f aca="false">IF(G192&gt;1,F192/(G192-1),"n/a")</f>
        <v>0.699603174603175</v>
      </c>
      <c r="AD192" s="47" t="n">
        <f aca="false">moves_day*m_pallet*9.81*INDEX(Tc_mh,C192)/3600000</f>
        <v>10.0647157894737</v>
      </c>
      <c r="AE192" s="3" t="n">
        <f aca="false">IF(AND(K192&lt;=H_max,H192&lt;=300,OR(lane_policy="Free (optimize N_C)",B192=sku_pal),OR(env_use="No",AND(I192&lt;=L_bldg,J192&lt;=W_bldg),AND(I192&lt;=W_bldg,J192&lt;=L_bldg))),1,0)</f>
        <v>0</v>
      </c>
      <c r="AF192" s="48" t="n">
        <f aca="false">IF(obj_mode="Total cost",Z192,IF(obj_mode="Shuttle cycle",O192,T192))</f>
        <v>2334509.25</v>
      </c>
      <c r="AG192" s="3" t="n">
        <f aca="false">IF(AE192=1,AF192*(1+A192*0.0000000001),1E+099)</f>
        <v>1E+099</v>
      </c>
      <c r="AH192" s="3" t="str">
        <f aca="false">IF(AE192=1,"",IF(K192&gt;H_max,"height",IF(AND(lane_policy&lt;&gt;"Free (optimize N_C)",B192&lt;&gt;sku_pal),"lane policy","footprint")))</f>
        <v>footprint</v>
      </c>
    </row>
    <row r="193" customFormat="false" ht="15" hidden="false" customHeight="true" outlineLevel="0" collapsed="false">
      <c r="A193" s="3" t="n">
        <v>186</v>
      </c>
      <c r="B193" s="3" t="n">
        <f aca="false">$K$3</f>
        <v>20</v>
      </c>
      <c r="C193" s="3" t="n">
        <v>6</v>
      </c>
      <c r="D193" s="46" t="n">
        <f aca="false">INDEX(Tc_pl,C193)</f>
        <v>0.6</v>
      </c>
      <c r="E193" s="47" t="n">
        <f aca="false">INDEX(Tc_S,C193)</f>
        <v>44.7404761904762</v>
      </c>
      <c r="F193" s="34" t="n">
        <f aca="false">lam_total*D193*E193/3600</f>
        <v>0.745674603174603</v>
      </c>
      <c r="G193" s="3" t="n">
        <f aca="false">IF(F193&lt;=0.000000000001,0,MAX(ROUNDUP(F193/rho_max-0.000000001,0),IF(redund="Yes",ROUNDUP(F193/rho_fail-0.000000001,0)+1,0)))</f>
        <v>2</v>
      </c>
      <c r="H193" s="3" t="n">
        <f aca="false">MAX(1,ROUNDUP((P_req/(B193*C193)+G193*lpl)/2-0.000000001,0))</f>
        <v>23</v>
      </c>
      <c r="I193" s="47" t="n">
        <f aca="false">H193*u_w</f>
        <v>23</v>
      </c>
      <c r="J193" s="47" t="n">
        <f aca="false">2*B193*u_d+aisle_w</f>
        <v>53.3</v>
      </c>
      <c r="K193" s="47" t="n">
        <f aca="false">C193*u_h</f>
        <v>12.9</v>
      </c>
      <c r="L193" s="47" t="n">
        <f aca="false">IF(G193=0,I193,I193/(2*G193))</f>
        <v>5.75</v>
      </c>
      <c r="M193" s="34" t="n">
        <f aca="false">((IF((lane_off+(L193))&lt;=(v_sh^2/a_sh),(4/3)*(lane_off+(L193))^1.5/SQRT(a_sh),(4/3)*(v_sh^2/a_sh)^1.5/SQRT(a_sh)+((lane_off+(L193))^2-(v_sh^2/a_sh)^2)/(2*v_sh)+(v_sh/a_sh)*((lane_off+(L193))-(v_sh^2/a_sh))))-(IF((lane_off)&lt;=(v_sh^2/a_sh),(4/3)*(lane_off)^1.5/SQRT(a_sh),(4/3)*(v_sh^2/a_sh)^1.5/SQRT(a_sh)+((lane_off)^2-(v_sh^2/a_sh)^2)/(2*v_sh)+(v_sh/a_sh)*((lane_off)-(v_sh^2/a_sh)))))/(L193)</f>
        <v>5.71593800076511</v>
      </c>
      <c r="N193" s="34" t="n">
        <f aca="false">IF(((B193-1)*u_d/2*(1+f_hc)+lane_off)&lt;=0,0,IF(((B193-1)*u_d/2*(1+f_hc)+lane_off)&gt;=v_sh^2/a_sh,((B193-1)*u_d/2*(1+f_hc)+lane_off)/v_sh+v_sh/a_sh,2*SQRT(((B193-1)*u_d/2*(1+f_hc)+lane_off)/a_sh)))</f>
        <v>14.3142857142857</v>
      </c>
      <c r="O193" s="47" t="n">
        <f aca="false">2*t_sh+2*t_turn+2*M193+2*N193</f>
        <v>98.0604474301017</v>
      </c>
      <c r="P193" s="47" t="n">
        <f aca="false">SUMPRODUCT((Tc_idx&lt;=C193)*(ROUNDUP(lam_total*INDEX(Tc_P,C193,0)*O193/(3600*rho_max)-0.000000001,0)+(ROUNDUP(lam_total*INDEX(Tc_P,C193,0)*O193/(3600*rho_max)-0.000000001,0)&lt;min_sh)*(min_sh-ROUNDUP(lam_total*INDEX(Tc_P,C193,0)*O193/(3600*rho_max)-0.000000001,0))))</f>
        <v>8</v>
      </c>
      <c r="Q193" s="3" t="n">
        <f aca="false">ROUNDUP(P193-0.000000001,0)+spares</f>
        <v>10</v>
      </c>
      <c r="R193" s="45" t="n">
        <f aca="false">B193*C193*(2*H193-G193*lpl)</f>
        <v>4800</v>
      </c>
      <c r="S193" s="45" t="n">
        <f aca="false">R193*fill</f>
        <v>4080</v>
      </c>
      <c r="T193" s="45" t="n">
        <f aca="false">I193*J193</f>
        <v>1225.9</v>
      </c>
      <c r="U193" s="45" t="n">
        <f aca="false">T193*(K193+headroom)</f>
        <v>17652.96</v>
      </c>
      <c r="V193" s="45" t="n">
        <f aca="false">G193*c_lift</f>
        <v>300000</v>
      </c>
      <c r="W193" s="45" t="n">
        <f aca="false">Q193*c_shut</f>
        <v>500000</v>
      </c>
      <c r="X193" s="45" t="n">
        <f aca="false">R193*c_pos</f>
        <v>480000</v>
      </c>
      <c r="Y193" s="45" t="n">
        <f aca="false">T193*c_m2+U193*c_m3</f>
        <v>1019948.8</v>
      </c>
      <c r="Z193" s="45" t="n">
        <f aca="false">SUM(V193:Y193)</f>
        <v>2299948.8</v>
      </c>
      <c r="AA193" s="34" t="n">
        <f aca="false">B193*u_d/(H193*u_w)</f>
        <v>1.1304347826087</v>
      </c>
      <c r="AB193" s="46" t="n">
        <f aca="false">IF(G193=0,0,F193/G193)</f>
        <v>0.372837301587302</v>
      </c>
      <c r="AC193" s="46" t="n">
        <f aca="false">IF(G193&gt;1,F193/(G193-1),"n/a")</f>
        <v>0.745674603174603</v>
      </c>
      <c r="AD193" s="47" t="n">
        <f aca="false">moves_day*m_pallet*9.81*INDEX(Tc_mh,C193)/3600000</f>
        <v>12.37368</v>
      </c>
      <c r="AE193" s="3" t="n">
        <f aca="false">IF(AND(K193&lt;=H_max,H193&lt;=300,OR(lane_policy="Free (optimize N_C)",B193=sku_pal),OR(env_use="No",AND(I193&lt;=L_bldg,J193&lt;=W_bldg),AND(I193&lt;=W_bldg,J193&lt;=L_bldg))),1,0)</f>
        <v>0</v>
      </c>
      <c r="AF193" s="48" t="n">
        <f aca="false">IF(obj_mode="Total cost",Z193,IF(obj_mode="Shuttle cycle",O193,T193))</f>
        <v>2299948.8</v>
      </c>
      <c r="AG193" s="3" t="n">
        <f aca="false">IF(AE193=1,AF193*(1+A193*0.0000000001),1E+099)</f>
        <v>1E+099</v>
      </c>
      <c r="AH193" s="3" t="str">
        <f aca="false">IF(AE193=1,"",IF(K193&gt;H_max,"height",IF(AND(lane_policy&lt;&gt;"Free (optimize N_C)",B193&lt;&gt;sku_pal),"lane policy","footprint")))</f>
        <v>footprint</v>
      </c>
    </row>
    <row r="194" customFormat="false" ht="15" hidden="false" customHeight="true" outlineLevel="0" collapsed="false">
      <c r="A194" s="3" t="n">
        <v>187</v>
      </c>
      <c r="B194" s="3" t="n">
        <f aca="false">$K$3</f>
        <v>20</v>
      </c>
      <c r="C194" s="3" t="n">
        <v>7</v>
      </c>
      <c r="D194" s="46" t="n">
        <f aca="false">INDEX(Tc_pl,C194)</f>
        <v>0.6</v>
      </c>
      <c r="E194" s="47" t="n">
        <f aca="false">INDEX(Tc_S,C194)</f>
        <v>44.9196428571429</v>
      </c>
      <c r="F194" s="34" t="n">
        <f aca="false">lam_total*D194*E194/3600</f>
        <v>0.748660714285714</v>
      </c>
      <c r="G194" s="3" t="n">
        <f aca="false">IF(F194&lt;=0.000000000001,0,MAX(ROUNDUP(F194/rho_max-0.000000001,0),IF(redund="Yes",ROUNDUP(F194/rho_fail-0.000000001,0)+1,0)))</f>
        <v>2</v>
      </c>
      <c r="H194" s="3" t="n">
        <f aca="false">MAX(1,ROUNDUP((P_req/(B194*C194)+G194*lpl)/2-0.000000001,0))</f>
        <v>20</v>
      </c>
      <c r="I194" s="47" t="n">
        <f aca="false">H194*u_w</f>
        <v>20</v>
      </c>
      <c r="J194" s="47" t="n">
        <f aca="false">2*B194*u_d+aisle_w</f>
        <v>53.3</v>
      </c>
      <c r="K194" s="47" t="n">
        <f aca="false">C194*u_h</f>
        <v>15.05</v>
      </c>
      <c r="L194" s="47" t="n">
        <f aca="false">IF(G194=0,I194,I194/(2*G194))</f>
        <v>5</v>
      </c>
      <c r="M194" s="34" t="n">
        <f aca="false">((IF((lane_off+(L194))&lt;=(v_sh^2/a_sh),(4/3)*(lane_off+(L194))^1.5/SQRT(a_sh),(4/3)*(v_sh^2/a_sh)^1.5/SQRT(a_sh)+((lane_off+(L194))^2-(v_sh^2/a_sh)^2)/(2*v_sh)+(v_sh/a_sh)*((lane_off+(L194))-(v_sh^2/a_sh))))-(IF((lane_off)&lt;=(v_sh^2/a_sh),(4/3)*(lane_off)^1.5/SQRT(a_sh),(4/3)*(v_sh^2/a_sh)^1.5/SQRT(a_sh)+((lane_off)^2-(v_sh^2/a_sh)^2)/(2*v_sh)+(v_sh/a_sh)*((lane_off)-(v_sh^2/a_sh)))))/(L194)</f>
        <v>5.4381501294513</v>
      </c>
      <c r="N194" s="34" t="n">
        <f aca="false">IF(((B194-1)*u_d/2*(1+f_hc)+lane_off)&lt;=0,0,IF(((B194-1)*u_d/2*(1+f_hc)+lane_off)&gt;=v_sh^2/a_sh,((B194-1)*u_d/2*(1+f_hc)+lane_off)/v_sh+v_sh/a_sh,2*SQRT(((B194-1)*u_d/2*(1+f_hc)+lane_off)/a_sh)))</f>
        <v>14.3142857142857</v>
      </c>
      <c r="O194" s="47" t="n">
        <f aca="false">2*t_sh+2*t_turn+2*M194+2*N194</f>
        <v>97.504871687474</v>
      </c>
      <c r="P194" s="47" t="n">
        <f aca="false">SUMPRODUCT((Tc_idx&lt;=C194)*(ROUNDUP(lam_total*INDEX(Tc_P,C194,0)*O194/(3600*rho_max)-0.000000001,0)+(ROUNDUP(lam_total*INDEX(Tc_P,C194,0)*O194/(3600*rho_max)-0.000000001,0)&lt;min_sh)*(min_sh-ROUNDUP(lam_total*INDEX(Tc_P,C194,0)*O194/(3600*rho_max)-0.000000001,0))))</f>
        <v>9</v>
      </c>
      <c r="Q194" s="3" t="n">
        <f aca="false">ROUNDUP(P194-0.000000001,0)+spares</f>
        <v>11</v>
      </c>
      <c r="R194" s="45" t="n">
        <f aca="false">B194*C194*(2*H194-G194*lpl)</f>
        <v>4760</v>
      </c>
      <c r="S194" s="45" t="n">
        <f aca="false">R194*fill</f>
        <v>4046</v>
      </c>
      <c r="T194" s="45" t="n">
        <f aca="false">I194*J194</f>
        <v>1066</v>
      </c>
      <c r="U194" s="45" t="n">
        <f aca="false">T194*(K194+headroom)</f>
        <v>17642.3</v>
      </c>
      <c r="V194" s="45" t="n">
        <f aca="false">G194*c_lift</f>
        <v>300000</v>
      </c>
      <c r="W194" s="45" t="n">
        <f aca="false">Q194*c_shut</f>
        <v>550000</v>
      </c>
      <c r="X194" s="45" t="n">
        <f aca="false">R194*c_pos</f>
        <v>476000</v>
      </c>
      <c r="Y194" s="45" t="n">
        <f aca="false">T194*c_m2+U194*c_m3</f>
        <v>955669</v>
      </c>
      <c r="Z194" s="45" t="n">
        <f aca="false">SUM(V194:Y194)</f>
        <v>2281669</v>
      </c>
      <c r="AA194" s="34" t="n">
        <f aca="false">B194*u_d/(H194*u_w)</f>
        <v>1.3</v>
      </c>
      <c r="AB194" s="46" t="n">
        <f aca="false">IF(G194=0,0,F194/G194)</f>
        <v>0.374330357142857</v>
      </c>
      <c r="AC194" s="46" t="n">
        <f aca="false">IF(G194&gt;1,F194/(G194-1),"n/a")</f>
        <v>0.748660714285714</v>
      </c>
      <c r="AD194" s="47" t="n">
        <f aca="false">moves_day*m_pallet*9.81*INDEX(Tc_mh,C194)/3600000</f>
        <v>12.6549</v>
      </c>
      <c r="AE194" s="3" t="n">
        <f aca="false">IF(AND(K194&lt;=H_max,H194&lt;=300,OR(lane_policy="Free (optimize N_C)",B194=sku_pal),OR(env_use="No",AND(I194&lt;=L_bldg,J194&lt;=W_bldg),AND(I194&lt;=W_bldg,J194&lt;=L_bldg))),1,0)</f>
        <v>0</v>
      </c>
      <c r="AF194" s="48" t="n">
        <f aca="false">IF(obj_mode="Total cost",Z194,IF(obj_mode="Shuttle cycle",O194,T194))</f>
        <v>2281669</v>
      </c>
      <c r="AG194" s="3" t="n">
        <f aca="false">IF(AE194=1,AF194*(1+A194*0.0000000001),1E+099)</f>
        <v>1E+099</v>
      </c>
      <c r="AH194" s="3" t="str">
        <f aca="false">IF(AE194=1,"",IF(K194&gt;H_max,"height",IF(AND(lane_policy&lt;&gt;"Free (optimize N_C)",B194&lt;&gt;sku_pal),"lane policy","footprint")))</f>
        <v>footprint</v>
      </c>
    </row>
    <row r="195" customFormat="false" ht="15" hidden="false" customHeight="true" outlineLevel="0" collapsed="false">
      <c r="A195" s="3" t="n">
        <v>188</v>
      </c>
      <c r="B195" s="3" t="n">
        <f aca="false">$K$3</f>
        <v>20</v>
      </c>
      <c r="C195" s="3" t="n">
        <v>8</v>
      </c>
      <c r="D195" s="46" t="n">
        <f aca="false">INDEX(Tc_pl,C195)</f>
        <v>0.6</v>
      </c>
      <c r="E195" s="47" t="n">
        <f aca="false">INDEX(Tc_S,C195)</f>
        <v>45.0988095238095</v>
      </c>
      <c r="F195" s="34" t="n">
        <f aca="false">lam_total*D195*E195/3600</f>
        <v>0.751646825396826</v>
      </c>
      <c r="G195" s="3" t="n">
        <f aca="false">IF(F195&lt;=0.000000000001,0,MAX(ROUNDUP(F195/rho_max-0.000000001,0),IF(redund="Yes",ROUNDUP(F195/rho_fail-0.000000001,0)+1,0)))</f>
        <v>2</v>
      </c>
      <c r="H195" s="3" t="n">
        <f aca="false">MAX(1,ROUNDUP((P_req/(B195*C195)+G195*lpl)/2-0.000000001,0))</f>
        <v>18</v>
      </c>
      <c r="I195" s="47" t="n">
        <f aca="false">H195*u_w</f>
        <v>18</v>
      </c>
      <c r="J195" s="47" t="n">
        <f aca="false">2*B195*u_d+aisle_w</f>
        <v>53.3</v>
      </c>
      <c r="K195" s="47" t="n">
        <f aca="false">C195*u_h</f>
        <v>17.2</v>
      </c>
      <c r="L195" s="47" t="n">
        <f aca="false">IF(G195=0,I195,I195/(2*G195))</f>
        <v>4.5</v>
      </c>
      <c r="M195" s="34" t="n">
        <f aca="false">((IF((lane_off+(L195))&lt;=(v_sh^2/a_sh),(4/3)*(lane_off+(L195))^1.5/SQRT(a_sh),(4/3)*(v_sh^2/a_sh)^1.5/SQRT(a_sh)+((lane_off+(L195))^2-(v_sh^2/a_sh)^2)/(2*v_sh)+(v_sh/a_sh)*((lane_off+(L195))-(v_sh^2/a_sh))))-(IF((lane_off)&lt;=(v_sh^2/a_sh),(4/3)*(lane_off)^1.5/SQRT(a_sh),(4/3)*(v_sh^2/a_sh)^1.5/SQRT(a_sh)+((lane_off)^2-(v_sh^2/a_sh)^2)/(2*v_sh)+(v_sh/a_sh)*((lane_off)-(v_sh^2/a_sh)))))/(L195)</f>
        <v>5.25111919145383</v>
      </c>
      <c r="N195" s="34" t="n">
        <f aca="false">IF(((B195-1)*u_d/2*(1+f_hc)+lane_off)&lt;=0,0,IF(((B195-1)*u_d/2*(1+f_hc)+lane_off)&gt;=v_sh^2/a_sh,((B195-1)*u_d/2*(1+f_hc)+lane_off)/v_sh+v_sh/a_sh,2*SQRT(((B195-1)*u_d/2*(1+f_hc)+lane_off)/a_sh)))</f>
        <v>14.3142857142857</v>
      </c>
      <c r="O195" s="47" t="n">
        <f aca="false">2*t_sh+2*t_turn+2*M195+2*N195</f>
        <v>97.1308098114791</v>
      </c>
      <c r="P195" s="47" t="n">
        <f aca="false">SUMPRODUCT((Tc_idx&lt;=C195)*(ROUNDUP(lam_total*INDEX(Tc_P,C195,0)*O195/(3600*rho_max)-0.000000001,0)+(ROUNDUP(lam_total*INDEX(Tc_P,C195,0)*O195/(3600*rho_max)-0.000000001,0)&lt;min_sh)*(min_sh-ROUNDUP(lam_total*INDEX(Tc_P,C195,0)*O195/(3600*rho_max)-0.000000001,0))))</f>
        <v>10</v>
      </c>
      <c r="Q195" s="3" t="n">
        <f aca="false">ROUNDUP(P195-0.000000001,0)+spares</f>
        <v>12</v>
      </c>
      <c r="R195" s="45" t="n">
        <f aca="false">B195*C195*(2*H195-G195*lpl)</f>
        <v>4800</v>
      </c>
      <c r="S195" s="45" t="n">
        <f aca="false">R195*fill</f>
        <v>4080</v>
      </c>
      <c r="T195" s="45" t="n">
        <f aca="false">I195*J195</f>
        <v>959.4</v>
      </c>
      <c r="U195" s="45" t="n">
        <f aca="false">T195*(K195+headroom)</f>
        <v>17940.78</v>
      </c>
      <c r="V195" s="45" t="n">
        <f aca="false">G195*c_lift</f>
        <v>300000</v>
      </c>
      <c r="W195" s="45" t="n">
        <f aca="false">Q195*c_shut</f>
        <v>600000</v>
      </c>
      <c r="X195" s="45" t="n">
        <f aca="false">R195*c_pos</f>
        <v>480000</v>
      </c>
      <c r="Y195" s="45" t="n">
        <f aca="false">T195*c_m2+U195*c_m3</f>
        <v>921983.4</v>
      </c>
      <c r="Z195" s="45" t="n">
        <f aca="false">SUM(V195:Y195)</f>
        <v>2301983.4</v>
      </c>
      <c r="AA195" s="34" t="n">
        <f aca="false">B195*u_d/(H195*u_w)</f>
        <v>1.44444444444444</v>
      </c>
      <c r="AB195" s="46" t="n">
        <f aca="false">IF(G195=0,0,F195/G195)</f>
        <v>0.375823412698413</v>
      </c>
      <c r="AC195" s="46" t="n">
        <f aca="false">IF(G195&gt;1,F195/(G195-1),"n/a")</f>
        <v>0.751646825396826</v>
      </c>
      <c r="AD195" s="47" t="n">
        <f aca="false">moves_day*m_pallet*9.81*INDEX(Tc_mh,C195)/3600000</f>
        <v>12.93612</v>
      </c>
      <c r="AE195" s="3" t="n">
        <f aca="false">IF(AND(K195&lt;=H_max,H195&lt;=300,OR(lane_policy="Free (optimize N_C)",B195=sku_pal),OR(env_use="No",AND(I195&lt;=L_bldg,J195&lt;=W_bldg),AND(I195&lt;=W_bldg,J195&lt;=L_bldg))),1,0)</f>
        <v>0</v>
      </c>
      <c r="AF195" s="48" t="n">
        <f aca="false">IF(obj_mode="Total cost",Z195,IF(obj_mode="Shuttle cycle",O195,T195))</f>
        <v>2301983.4</v>
      </c>
      <c r="AG195" s="3" t="n">
        <f aca="false">IF(AE195=1,AF195*(1+A195*0.0000000001),1E+099)</f>
        <v>1E+099</v>
      </c>
      <c r="AH195" s="3" t="str">
        <f aca="false">IF(AE195=1,"",IF(K195&gt;H_max,"height",IF(AND(lane_policy&lt;&gt;"Free (optimize N_C)",B195&lt;&gt;sku_pal),"lane policy","footprint")))</f>
        <v>footprint</v>
      </c>
    </row>
    <row r="196" customFormat="false" ht="15" hidden="false" customHeight="true" outlineLevel="0" collapsed="false">
      <c r="A196" s="3" t="n">
        <v>189</v>
      </c>
      <c r="B196" s="3" t="n">
        <f aca="false">$K$3</f>
        <v>20</v>
      </c>
      <c r="C196" s="3" t="n">
        <v>9</v>
      </c>
      <c r="D196" s="46" t="n">
        <f aca="false">INDEX(Tc_pl,C196)</f>
        <v>0.6</v>
      </c>
      <c r="E196" s="47" t="n">
        <f aca="false">INDEX(Tc_S,C196)</f>
        <v>45.2779761904762</v>
      </c>
      <c r="F196" s="34" t="n">
        <f aca="false">lam_total*D196*E196/3600</f>
        <v>0.754632936507936</v>
      </c>
      <c r="G196" s="3" t="n">
        <f aca="false">IF(F196&lt;=0.000000000001,0,MAX(ROUNDUP(F196/rho_max-0.000000001,0),IF(redund="Yes",ROUNDUP(F196/rho_fail-0.000000001,0)+1,0)))</f>
        <v>2</v>
      </c>
      <c r="H196" s="3" t="n">
        <f aca="false">MAX(1,ROUNDUP((P_req/(B196*C196)+G196*lpl)/2-0.000000001,0))</f>
        <v>17</v>
      </c>
      <c r="I196" s="47" t="n">
        <f aca="false">H196*u_w</f>
        <v>17</v>
      </c>
      <c r="J196" s="47" t="n">
        <f aca="false">2*B196*u_d+aisle_w</f>
        <v>53.3</v>
      </c>
      <c r="K196" s="47" t="n">
        <f aca="false">C196*u_h</f>
        <v>19.35</v>
      </c>
      <c r="L196" s="47" t="n">
        <f aca="false">IF(G196=0,I196,I196/(2*G196))</f>
        <v>4.25</v>
      </c>
      <c r="M196" s="34" t="n">
        <f aca="false">((IF((lane_off+(L196))&lt;=(v_sh^2/a_sh),(4/3)*(lane_off+(L196))^1.5/SQRT(a_sh),(4/3)*(v_sh^2/a_sh)^1.5/SQRT(a_sh)+((lane_off+(L196))^2-(v_sh^2/a_sh)^2)/(2*v_sh)+(v_sh/a_sh)*((lane_off+(L196))-(v_sh^2/a_sh))))-(IF((lane_off)&lt;=(v_sh^2/a_sh),(4/3)*(lane_off)^1.5/SQRT(a_sh),(4/3)*(v_sh^2/a_sh)^1.5/SQRT(a_sh)+((lane_off)^2-(v_sh^2/a_sh)^2)/(2*v_sh)+(v_sh/a_sh)*((lane_off)-(v_sh^2/a_sh)))))/(L196)</f>
        <v>5.15685729515279</v>
      </c>
      <c r="N196" s="34" t="n">
        <f aca="false">IF(((B196-1)*u_d/2*(1+f_hc)+lane_off)&lt;=0,0,IF(((B196-1)*u_d/2*(1+f_hc)+lane_off)&gt;=v_sh^2/a_sh,((B196-1)*u_d/2*(1+f_hc)+lane_off)/v_sh+v_sh/a_sh,2*SQRT(((B196-1)*u_d/2*(1+f_hc)+lane_off)/a_sh)))</f>
        <v>14.3142857142857</v>
      </c>
      <c r="O196" s="47" t="n">
        <f aca="false">2*t_sh+2*t_turn+2*M196+2*N196</f>
        <v>96.942286018877</v>
      </c>
      <c r="P196" s="47" t="n">
        <f aca="false">SUMPRODUCT((Tc_idx&lt;=C196)*(ROUNDUP(lam_total*INDEX(Tc_P,C196,0)*O196/(3600*rho_max)-0.000000001,0)+(ROUNDUP(lam_total*INDEX(Tc_P,C196,0)*O196/(3600*rho_max)-0.000000001,0)&lt;min_sh)*(min_sh-ROUNDUP(lam_total*INDEX(Tc_P,C196,0)*O196/(3600*rho_max)-0.000000001,0))))</f>
        <v>11</v>
      </c>
      <c r="Q196" s="3" t="n">
        <f aca="false">ROUNDUP(P196-0.000000001,0)+spares</f>
        <v>13</v>
      </c>
      <c r="R196" s="45" t="n">
        <f aca="false">B196*C196*(2*H196-G196*lpl)</f>
        <v>5040</v>
      </c>
      <c r="S196" s="45" t="n">
        <f aca="false">R196*fill</f>
        <v>4284</v>
      </c>
      <c r="T196" s="45" t="n">
        <f aca="false">I196*J196</f>
        <v>906.1</v>
      </c>
      <c r="U196" s="45" t="n">
        <f aca="false">T196*(K196+headroom)</f>
        <v>18892.185</v>
      </c>
      <c r="V196" s="45" t="n">
        <f aca="false">G196*c_lift</f>
        <v>300000</v>
      </c>
      <c r="W196" s="45" t="n">
        <f aca="false">Q196*c_shut</f>
        <v>650000</v>
      </c>
      <c r="X196" s="45" t="n">
        <f aca="false">R196*c_pos</f>
        <v>504000</v>
      </c>
      <c r="Y196" s="45" t="n">
        <f aca="false">T196*c_m2+U196*c_m3</f>
        <v>929205.55</v>
      </c>
      <c r="Z196" s="45" t="n">
        <f aca="false">SUM(V196:Y196)</f>
        <v>2383205.55</v>
      </c>
      <c r="AA196" s="34" t="n">
        <f aca="false">B196*u_d/(H196*u_w)</f>
        <v>1.52941176470588</v>
      </c>
      <c r="AB196" s="46" t="n">
        <f aca="false">IF(G196=0,0,F196/G196)</f>
        <v>0.377316468253968</v>
      </c>
      <c r="AC196" s="46" t="n">
        <f aca="false">IF(G196&gt;1,F196/(G196-1),"n/a")</f>
        <v>0.754632936507936</v>
      </c>
      <c r="AD196" s="47" t="n">
        <f aca="false">moves_day*m_pallet*9.81*INDEX(Tc_mh,C196)/3600000</f>
        <v>13.21734</v>
      </c>
      <c r="AE196" s="3" t="n">
        <f aca="false">IF(AND(K196&lt;=H_max,H196&lt;=300,OR(lane_policy="Free (optimize N_C)",B196=sku_pal),OR(env_use="No",AND(I196&lt;=L_bldg,J196&lt;=W_bldg),AND(I196&lt;=W_bldg,J196&lt;=L_bldg))),1,0)</f>
        <v>0</v>
      </c>
      <c r="AF196" s="48" t="n">
        <f aca="false">IF(obj_mode="Total cost",Z196,IF(obj_mode="Shuttle cycle",O196,T196))</f>
        <v>2383205.55</v>
      </c>
      <c r="AG196" s="3" t="n">
        <f aca="false">IF(AE196=1,AF196*(1+A196*0.0000000001),1E+099)</f>
        <v>1E+099</v>
      </c>
      <c r="AH196" s="3" t="str">
        <f aca="false">IF(AE196=1,"",IF(K196&gt;H_max,"height",IF(AND(lane_policy&lt;&gt;"Free (optimize N_C)",B196&lt;&gt;sku_pal),"lane policy","footprint")))</f>
        <v>footprint</v>
      </c>
    </row>
    <row r="197" customFormat="false" ht="15" hidden="false" customHeight="true" outlineLevel="0" collapsed="false">
      <c r="A197" s="3" t="n">
        <v>190</v>
      </c>
      <c r="B197" s="3" t="n">
        <f aca="false">$K$3</f>
        <v>20</v>
      </c>
      <c r="C197" s="3" t="n">
        <v>10</v>
      </c>
      <c r="D197" s="46" t="n">
        <f aca="false">INDEX(Tc_pl,C197)</f>
        <v>0.6</v>
      </c>
      <c r="E197" s="47" t="n">
        <f aca="false">INDEX(Tc_S,C197)</f>
        <v>45.4571428571429</v>
      </c>
      <c r="F197" s="34" t="n">
        <f aca="false">lam_total*D197*E197/3600</f>
        <v>0.757619047619048</v>
      </c>
      <c r="G197" s="3" t="n">
        <f aca="false">IF(F197&lt;=0.000000000001,0,MAX(ROUNDUP(F197/rho_max-0.000000001,0),IF(redund="Yes",ROUNDUP(F197/rho_fail-0.000000001,0)+1,0)))</f>
        <v>2</v>
      </c>
      <c r="H197" s="3" t="n">
        <f aca="false">MAX(1,ROUNDUP((P_req/(B197*C197)+G197*lpl)/2-0.000000001,0))</f>
        <v>15</v>
      </c>
      <c r="I197" s="47" t="n">
        <f aca="false">H197*u_w</f>
        <v>15</v>
      </c>
      <c r="J197" s="47" t="n">
        <f aca="false">2*B197*u_d+aisle_w</f>
        <v>53.3</v>
      </c>
      <c r="K197" s="47" t="n">
        <f aca="false">C197*u_h</f>
        <v>21.5</v>
      </c>
      <c r="L197" s="47" t="n">
        <f aca="false">IF(G197=0,I197,I197/(2*G197))</f>
        <v>3.75</v>
      </c>
      <c r="M197" s="34" t="n">
        <f aca="false">((IF((lane_off+(L197))&lt;=(v_sh^2/a_sh),(4/3)*(lane_off+(L197))^1.5/SQRT(a_sh),(4/3)*(v_sh^2/a_sh)^1.5/SQRT(a_sh)+((lane_off+(L197))^2-(v_sh^2/a_sh)^2)/(2*v_sh)+(v_sh/a_sh)*((lane_off+(L197))-(v_sh^2/a_sh))))-(IF((lane_off)&lt;=(v_sh^2/a_sh),(4/3)*(lane_off)^1.5/SQRT(a_sh),(4/3)*(v_sh^2/a_sh)^1.5/SQRT(a_sh)+((lane_off)^2-(v_sh^2/a_sh)^2)/(2*v_sh)+(v_sh/a_sh)*((lane_off)-(v_sh^2/a_sh)))))/(L197)</f>
        <v>4.96634302974459</v>
      </c>
      <c r="N197" s="34" t="n">
        <f aca="false">IF(((B197-1)*u_d/2*(1+f_hc)+lane_off)&lt;=0,0,IF(((B197-1)*u_d/2*(1+f_hc)+lane_off)&gt;=v_sh^2/a_sh,((B197-1)*u_d/2*(1+f_hc)+lane_off)/v_sh+v_sh/a_sh,2*SQRT(((B197-1)*u_d/2*(1+f_hc)+lane_off)/a_sh)))</f>
        <v>14.3142857142857</v>
      </c>
      <c r="O197" s="47" t="n">
        <f aca="false">2*t_sh+2*t_turn+2*M197+2*N197</f>
        <v>96.5612574880606</v>
      </c>
      <c r="P197" s="47" t="n">
        <f aca="false">SUMPRODUCT((Tc_idx&lt;=C197)*(ROUNDUP(lam_total*INDEX(Tc_P,C197,0)*O197/(3600*rho_max)-0.000000001,0)+(ROUNDUP(lam_total*INDEX(Tc_P,C197,0)*O197/(3600*rho_max)-0.000000001,0)&lt;min_sh)*(min_sh-ROUNDUP(lam_total*INDEX(Tc_P,C197,0)*O197/(3600*rho_max)-0.000000001,0))))</f>
        <v>12</v>
      </c>
      <c r="Q197" s="3" t="n">
        <f aca="false">ROUNDUP(P197-0.000000001,0)+spares</f>
        <v>14</v>
      </c>
      <c r="R197" s="45" t="n">
        <f aca="false">B197*C197*(2*H197-G197*lpl)</f>
        <v>4800</v>
      </c>
      <c r="S197" s="45" t="n">
        <f aca="false">R197*fill</f>
        <v>4080</v>
      </c>
      <c r="T197" s="45" t="n">
        <f aca="false">I197*J197</f>
        <v>799.5</v>
      </c>
      <c r="U197" s="45" t="n">
        <f aca="false">T197*(K197+headroom)</f>
        <v>18388.5</v>
      </c>
      <c r="V197" s="45" t="n">
        <f aca="false">G197*c_lift</f>
        <v>300000</v>
      </c>
      <c r="W197" s="45" t="n">
        <f aca="false">Q197*c_shut</f>
        <v>700000</v>
      </c>
      <c r="X197" s="45" t="n">
        <f aca="false">R197*c_pos</f>
        <v>480000</v>
      </c>
      <c r="Y197" s="45" t="n">
        <f aca="false">T197*c_m2+U197*c_m3</f>
        <v>871455</v>
      </c>
      <c r="Z197" s="45" t="n">
        <f aca="false">SUM(V197:Y197)</f>
        <v>2351455</v>
      </c>
      <c r="AA197" s="34" t="n">
        <f aca="false">B197*u_d/(H197*u_w)</f>
        <v>1.73333333333333</v>
      </c>
      <c r="AB197" s="46" t="n">
        <f aca="false">IF(G197=0,0,F197/G197)</f>
        <v>0.378809523809524</v>
      </c>
      <c r="AC197" s="46" t="n">
        <f aca="false">IF(G197&gt;1,F197/(G197-1),"n/a")</f>
        <v>0.757619047619048</v>
      </c>
      <c r="AD197" s="47" t="n">
        <f aca="false">moves_day*m_pallet*9.81*INDEX(Tc_mh,C197)/3600000</f>
        <v>13.49856</v>
      </c>
      <c r="AE197" s="3" t="n">
        <f aca="false">IF(AND(K197&lt;=H_max,H197&lt;=300,OR(lane_policy="Free (optimize N_C)",B197=sku_pal),OR(env_use="No",AND(I197&lt;=L_bldg,J197&lt;=W_bldg),AND(I197&lt;=W_bldg,J197&lt;=L_bldg))),1,0)</f>
        <v>0</v>
      </c>
      <c r="AF197" s="48" t="n">
        <f aca="false">IF(obj_mode="Total cost",Z197,IF(obj_mode="Shuttle cycle",O197,T197))</f>
        <v>2351455</v>
      </c>
      <c r="AG197" s="3" t="n">
        <f aca="false">IF(AE197=1,AF197*(1+A197*0.0000000001),1E+099)</f>
        <v>1E+099</v>
      </c>
      <c r="AH197" s="3" t="str">
        <f aca="false">IF(AE197=1,"",IF(K197&gt;H_max,"height",IF(AND(lane_policy&lt;&gt;"Free (optimize N_C)",B197&lt;&gt;sku_pal),"lane policy","footprint")))</f>
        <v>height</v>
      </c>
    </row>
    <row r="198" customFormat="false" ht="15" hidden="false" customHeight="true" outlineLevel="0" collapsed="false">
      <c r="A198" s="3" t="n">
        <v>191</v>
      </c>
      <c r="B198" s="3" t="n">
        <f aca="false">$K$3</f>
        <v>20</v>
      </c>
      <c r="C198" s="3" t="n">
        <v>11</v>
      </c>
      <c r="D198" s="46" t="n">
        <f aca="false">INDEX(Tc_pl,C198)</f>
        <v>0.6</v>
      </c>
      <c r="E198" s="47" t="n">
        <f aca="false">INDEX(Tc_S,C198)</f>
        <v>45.6363095238095</v>
      </c>
      <c r="F198" s="34" t="n">
        <f aca="false">lam_total*D198*E198/3600</f>
        <v>0.760605158730159</v>
      </c>
      <c r="G198" s="3" t="n">
        <f aca="false">IF(F198&lt;=0.000000000001,0,MAX(ROUNDUP(F198/rho_max-0.000000001,0),IF(redund="Yes",ROUNDUP(F198/rho_fail-0.000000001,0)+1,0)))</f>
        <v>2</v>
      </c>
      <c r="H198" s="3" t="n">
        <f aca="false">MAX(1,ROUNDUP((P_req/(B198*C198)+G198*lpl)/2-0.000000001,0))</f>
        <v>14</v>
      </c>
      <c r="I198" s="47" t="n">
        <f aca="false">H198*u_w</f>
        <v>14</v>
      </c>
      <c r="J198" s="47" t="n">
        <f aca="false">2*B198*u_d+aisle_w</f>
        <v>53.3</v>
      </c>
      <c r="K198" s="47" t="n">
        <f aca="false">C198*u_h</f>
        <v>23.65</v>
      </c>
      <c r="L198" s="47" t="n">
        <f aca="false">IF(G198=0,I198,I198/(2*G198))</f>
        <v>3.5</v>
      </c>
      <c r="M198" s="34" t="n">
        <f aca="false">((IF((lane_off+(L198))&lt;=(v_sh^2/a_sh),(4/3)*(lane_off+(L198))^1.5/SQRT(a_sh),(4/3)*(v_sh^2/a_sh)^1.5/SQRT(a_sh)+((lane_off+(L198))^2-(v_sh^2/a_sh)^2)/(2*v_sh)+(v_sh/a_sh)*((lane_off+(L198))-(v_sh^2/a_sh))))-(IF((lane_off)&lt;=(v_sh^2/a_sh),(4/3)*(lane_off)^1.5/SQRT(a_sh),(4/3)*(v_sh^2/a_sh)^1.5/SQRT(a_sh)+((lane_off)^2-(v_sh^2/a_sh)^2)/(2*v_sh)+(v_sh/a_sh)*((lane_off)-(v_sh^2/a_sh)))))/(L198)</f>
        <v>4.86980630737941</v>
      </c>
      <c r="N198" s="34" t="n">
        <f aca="false">IF(((B198-1)*u_d/2*(1+f_hc)+lane_off)&lt;=0,0,IF(((B198-1)*u_d/2*(1+f_hc)+lane_off)&gt;=v_sh^2/a_sh,((B198-1)*u_d/2*(1+f_hc)+lane_off)/v_sh+v_sh/a_sh,2*SQRT(((B198-1)*u_d/2*(1+f_hc)+lane_off)/a_sh)))</f>
        <v>14.3142857142857</v>
      </c>
      <c r="O198" s="47" t="n">
        <f aca="false">2*t_sh+2*t_turn+2*M198+2*N198</f>
        <v>96.3681840433303</v>
      </c>
      <c r="P198" s="47" t="n">
        <f aca="false">SUMPRODUCT((Tc_idx&lt;=C198)*(ROUNDUP(lam_total*INDEX(Tc_P,C198,0)*O198/(3600*rho_max)-0.000000001,0)+(ROUNDUP(lam_total*INDEX(Tc_P,C198,0)*O198/(3600*rho_max)-0.000000001,0)&lt;min_sh)*(min_sh-ROUNDUP(lam_total*INDEX(Tc_P,C198,0)*O198/(3600*rho_max)-0.000000001,0))))</f>
        <v>13</v>
      </c>
      <c r="Q198" s="3" t="n">
        <f aca="false">ROUNDUP(P198-0.000000001,0)+spares</f>
        <v>15</v>
      </c>
      <c r="R198" s="45" t="n">
        <f aca="false">B198*C198*(2*H198-G198*lpl)</f>
        <v>4840</v>
      </c>
      <c r="S198" s="45" t="n">
        <f aca="false">R198*fill</f>
        <v>4114</v>
      </c>
      <c r="T198" s="45" t="n">
        <f aca="false">I198*J198</f>
        <v>746.2</v>
      </c>
      <c r="U198" s="45" t="n">
        <f aca="false">T198*(K198+headroom)</f>
        <v>18766.93</v>
      </c>
      <c r="V198" s="45" t="n">
        <f aca="false">G198*c_lift</f>
        <v>300000</v>
      </c>
      <c r="W198" s="45" t="n">
        <f aca="false">Q198*c_shut</f>
        <v>750000</v>
      </c>
      <c r="X198" s="45" t="n">
        <f aca="false">R198*c_pos</f>
        <v>484000</v>
      </c>
      <c r="Y198" s="45" t="n">
        <f aca="false">T198*c_m2+U198*c_m3</f>
        <v>861487.9</v>
      </c>
      <c r="Z198" s="45" t="n">
        <f aca="false">SUM(V198:Y198)</f>
        <v>2395487.9</v>
      </c>
      <c r="AA198" s="34" t="n">
        <f aca="false">B198*u_d/(H198*u_w)</f>
        <v>1.85714285714286</v>
      </c>
      <c r="AB198" s="46" t="n">
        <f aca="false">IF(G198=0,0,F198/G198)</f>
        <v>0.380302579365079</v>
      </c>
      <c r="AC198" s="46" t="n">
        <f aca="false">IF(G198&gt;1,F198/(G198-1),"n/a")</f>
        <v>0.760605158730159</v>
      </c>
      <c r="AD198" s="47" t="n">
        <f aca="false">moves_day*m_pallet*9.81*INDEX(Tc_mh,C198)/3600000</f>
        <v>13.77978</v>
      </c>
      <c r="AE198" s="3" t="n">
        <f aca="false">IF(AND(K198&lt;=H_max,H198&lt;=300,OR(lane_policy="Free (optimize N_C)",B198=sku_pal),OR(env_use="No",AND(I198&lt;=L_bldg,J198&lt;=W_bldg),AND(I198&lt;=W_bldg,J198&lt;=L_bldg))),1,0)</f>
        <v>0</v>
      </c>
      <c r="AF198" s="48" t="n">
        <f aca="false">IF(obj_mode="Total cost",Z198,IF(obj_mode="Shuttle cycle",O198,T198))</f>
        <v>2395487.9</v>
      </c>
      <c r="AG198" s="3" t="n">
        <f aca="false">IF(AE198=1,AF198*(1+A198*0.0000000001),1E+099)</f>
        <v>1E+099</v>
      </c>
      <c r="AH198" s="3" t="str">
        <f aca="false">IF(AE198=1,"",IF(K198&gt;H_max,"height",IF(AND(lane_policy&lt;&gt;"Free (optimize N_C)",B198&lt;&gt;sku_pal),"lane policy","footprint")))</f>
        <v>height</v>
      </c>
    </row>
    <row r="199" customFormat="false" ht="15" hidden="false" customHeight="true" outlineLevel="0" collapsed="false">
      <c r="A199" s="3" t="n">
        <v>192</v>
      </c>
      <c r="B199" s="3" t="n">
        <f aca="false">$K$3</f>
        <v>20</v>
      </c>
      <c r="C199" s="3" t="n">
        <v>12</v>
      </c>
      <c r="D199" s="46" t="n">
        <f aca="false">INDEX(Tc_pl,C199)</f>
        <v>0.6</v>
      </c>
      <c r="E199" s="47" t="n">
        <f aca="false">INDEX(Tc_S,C199)</f>
        <v>45.8154761904762</v>
      </c>
      <c r="F199" s="34" t="n">
        <f aca="false">lam_total*D199*E199/3600</f>
        <v>0.76359126984127</v>
      </c>
      <c r="G199" s="3" t="n">
        <f aca="false">IF(F199&lt;=0.000000000001,0,MAX(ROUNDUP(F199/rho_max-0.000000001,0),IF(redund="Yes",ROUNDUP(F199/rho_fail-0.000000001,0)+1,0)))</f>
        <v>2</v>
      </c>
      <c r="H199" s="3" t="n">
        <f aca="false">MAX(1,ROUNDUP((P_req/(B199*C199)+G199*lpl)/2-0.000000001,0))</f>
        <v>13</v>
      </c>
      <c r="I199" s="47" t="n">
        <f aca="false">H199*u_w</f>
        <v>13</v>
      </c>
      <c r="J199" s="47" t="n">
        <f aca="false">2*B199*u_d+aisle_w</f>
        <v>53.3</v>
      </c>
      <c r="K199" s="47" t="n">
        <f aca="false">C199*u_h</f>
        <v>25.8</v>
      </c>
      <c r="L199" s="47" t="n">
        <f aca="false">IF(G199=0,I199,I199/(2*G199))</f>
        <v>3.25</v>
      </c>
      <c r="M199" s="34" t="n">
        <f aca="false">((IF((lane_off+(L199))&lt;=(v_sh^2/a_sh),(4/3)*(lane_off+(L199))^1.5/SQRT(a_sh),(4/3)*(v_sh^2/a_sh)^1.5/SQRT(a_sh)+((lane_off+(L199))^2-(v_sh^2/a_sh)^2)/(2*v_sh)+(v_sh/a_sh)*((lane_off+(L199))-(v_sh^2/a_sh))))-(IF((lane_off)&lt;=(v_sh^2/a_sh),(4/3)*(lane_off)^1.5/SQRT(a_sh),(4/3)*(v_sh^2/a_sh)^1.5/SQRT(a_sh)+((lane_off)^2-(v_sh^2/a_sh)^2)/(2*v_sh)+(v_sh/a_sh)*((lane_off)-(v_sh^2/a_sh)))))/(L199)</f>
        <v>4.77215404530969</v>
      </c>
      <c r="N199" s="34" t="n">
        <f aca="false">IF(((B199-1)*u_d/2*(1+f_hc)+lane_off)&lt;=0,0,IF(((B199-1)*u_d/2*(1+f_hc)+lane_off)&gt;=v_sh^2/a_sh,((B199-1)*u_d/2*(1+f_hc)+lane_off)/v_sh+v_sh/a_sh,2*SQRT(((B199-1)*u_d/2*(1+f_hc)+lane_off)/a_sh)))</f>
        <v>14.3142857142857</v>
      </c>
      <c r="O199" s="47" t="n">
        <f aca="false">2*t_sh+2*t_turn+2*M199+2*N199</f>
        <v>96.1728795191908</v>
      </c>
      <c r="P199" s="47" t="n">
        <f aca="false">SUMPRODUCT((Tc_idx&lt;=C199)*(ROUNDUP(lam_total*INDEX(Tc_P,C199,0)*O199/(3600*rho_max)-0.000000001,0)+(ROUNDUP(lam_total*INDEX(Tc_P,C199,0)*O199/(3600*rho_max)-0.000000001,0)&lt;min_sh)*(min_sh-ROUNDUP(lam_total*INDEX(Tc_P,C199,0)*O199/(3600*rho_max)-0.000000001,0))))</f>
        <v>14</v>
      </c>
      <c r="Q199" s="3" t="n">
        <f aca="false">ROUNDUP(P199-0.000000001,0)+spares</f>
        <v>16</v>
      </c>
      <c r="R199" s="45" t="n">
        <f aca="false">B199*C199*(2*H199-G199*lpl)</f>
        <v>4800</v>
      </c>
      <c r="S199" s="45" t="n">
        <f aca="false">R199*fill</f>
        <v>4080</v>
      </c>
      <c r="T199" s="45" t="n">
        <f aca="false">I199*J199</f>
        <v>692.9</v>
      </c>
      <c r="U199" s="45" t="n">
        <f aca="false">T199*(K199+headroom)</f>
        <v>18916.17</v>
      </c>
      <c r="V199" s="45" t="n">
        <f aca="false">G199*c_lift</f>
        <v>300000</v>
      </c>
      <c r="W199" s="45" t="n">
        <f aca="false">Q199*c_shut</f>
        <v>800000</v>
      </c>
      <c r="X199" s="45" t="n">
        <f aca="false">R199*c_pos</f>
        <v>480000</v>
      </c>
      <c r="Y199" s="45" t="n">
        <f aca="false">T199*c_m2+U199*c_m3</f>
        <v>844645.1</v>
      </c>
      <c r="Z199" s="45" t="n">
        <f aca="false">SUM(V199:Y199)</f>
        <v>2424645.1</v>
      </c>
      <c r="AA199" s="34" t="n">
        <f aca="false">B199*u_d/(H199*u_w)</f>
        <v>2</v>
      </c>
      <c r="AB199" s="46" t="n">
        <f aca="false">IF(G199=0,0,F199/G199)</f>
        <v>0.381795634920635</v>
      </c>
      <c r="AC199" s="46" t="n">
        <f aca="false">IF(G199&gt;1,F199/(G199-1),"n/a")</f>
        <v>0.76359126984127</v>
      </c>
      <c r="AD199" s="47" t="n">
        <f aca="false">moves_day*m_pallet*9.81*INDEX(Tc_mh,C199)/3600000</f>
        <v>14.061</v>
      </c>
      <c r="AE199" s="3" t="n">
        <f aca="false">IF(AND(K199&lt;=H_max,H199&lt;=300,OR(lane_policy="Free (optimize N_C)",B199=sku_pal),OR(env_use="No",AND(I199&lt;=L_bldg,J199&lt;=W_bldg),AND(I199&lt;=W_bldg,J199&lt;=L_bldg))),1,0)</f>
        <v>0</v>
      </c>
      <c r="AF199" s="48" t="n">
        <f aca="false">IF(obj_mode="Total cost",Z199,IF(obj_mode="Shuttle cycle",O199,T199))</f>
        <v>2424645.1</v>
      </c>
      <c r="AG199" s="3" t="n">
        <f aca="false">IF(AE199=1,AF199*(1+A199*0.0000000001),1E+099)</f>
        <v>1E+099</v>
      </c>
      <c r="AH199" s="3" t="str">
        <f aca="false">IF(AE199=1,"",IF(K199&gt;H_max,"height",IF(AND(lane_policy&lt;&gt;"Free (optimize N_C)",B199&lt;&gt;sku_pal),"lane policy","footprint")))</f>
        <v>height</v>
      </c>
    </row>
    <row r="200" customFormat="false" ht="15" hidden="false" customHeight="true" outlineLevel="0" collapsed="false">
      <c r="A200" s="3" t="n">
        <v>193</v>
      </c>
      <c r="B200" s="3" t="n">
        <f aca="false">$K$3</f>
        <v>20</v>
      </c>
      <c r="C200" s="3" t="n">
        <v>13</v>
      </c>
      <c r="D200" s="46" t="n">
        <f aca="false">INDEX(Tc_pl,C200)</f>
        <v>0.6</v>
      </c>
      <c r="E200" s="47" t="n">
        <f aca="false">INDEX(Tc_S,C200)</f>
        <v>45.9946428571429</v>
      </c>
      <c r="F200" s="34" t="n">
        <f aca="false">lam_total*D200*E200/3600</f>
        <v>0.766577380952381</v>
      </c>
      <c r="G200" s="3" t="n">
        <f aca="false">IF(F200&lt;=0.000000000001,0,MAX(ROUNDUP(F200/rho_max-0.000000001,0),IF(redund="Yes",ROUNDUP(F200/rho_fail-0.000000001,0)+1,0)))</f>
        <v>2</v>
      </c>
      <c r="H200" s="3" t="n">
        <f aca="false">MAX(1,ROUNDUP((P_req/(B200*C200)+G200*lpl)/2-0.000000001,0))</f>
        <v>13</v>
      </c>
      <c r="I200" s="47" t="n">
        <f aca="false">H200*u_w</f>
        <v>13</v>
      </c>
      <c r="J200" s="47" t="n">
        <f aca="false">2*B200*u_d+aisle_w</f>
        <v>53.3</v>
      </c>
      <c r="K200" s="47" t="n">
        <f aca="false">C200*u_h</f>
        <v>27.95</v>
      </c>
      <c r="L200" s="47" t="n">
        <f aca="false">IF(G200=0,I200,I200/(2*G200))</f>
        <v>3.25</v>
      </c>
      <c r="M200" s="34" t="n">
        <f aca="false">((IF((lane_off+(L200))&lt;=(v_sh^2/a_sh),(4/3)*(lane_off+(L200))^1.5/SQRT(a_sh),(4/3)*(v_sh^2/a_sh)^1.5/SQRT(a_sh)+((lane_off+(L200))^2-(v_sh^2/a_sh)^2)/(2*v_sh)+(v_sh/a_sh)*((lane_off+(L200))-(v_sh^2/a_sh))))-(IF((lane_off)&lt;=(v_sh^2/a_sh),(4/3)*(lane_off)^1.5/SQRT(a_sh),(4/3)*(v_sh^2/a_sh)^1.5/SQRT(a_sh)+((lane_off)^2-(v_sh^2/a_sh)^2)/(2*v_sh)+(v_sh/a_sh)*((lane_off)-(v_sh^2/a_sh)))))/(L200)</f>
        <v>4.77215404530969</v>
      </c>
      <c r="N200" s="34" t="n">
        <f aca="false">IF(((B200-1)*u_d/2*(1+f_hc)+lane_off)&lt;=0,0,IF(((B200-1)*u_d/2*(1+f_hc)+lane_off)&gt;=v_sh^2/a_sh,((B200-1)*u_d/2*(1+f_hc)+lane_off)/v_sh+v_sh/a_sh,2*SQRT(((B200-1)*u_d/2*(1+f_hc)+lane_off)/a_sh)))</f>
        <v>14.3142857142857</v>
      </c>
      <c r="O200" s="47" t="n">
        <f aca="false">2*t_sh+2*t_turn+2*M200+2*N200</f>
        <v>96.1728795191908</v>
      </c>
      <c r="P200" s="47" t="n">
        <f aca="false">SUMPRODUCT((Tc_idx&lt;=C200)*(ROUNDUP(lam_total*INDEX(Tc_P,C200,0)*O200/(3600*rho_max)-0.000000001,0)+(ROUNDUP(lam_total*INDEX(Tc_P,C200,0)*O200/(3600*rho_max)-0.000000001,0)&lt;min_sh)*(min_sh-ROUNDUP(lam_total*INDEX(Tc_P,C200,0)*O200/(3600*rho_max)-0.000000001,0))))</f>
        <v>15</v>
      </c>
      <c r="Q200" s="3" t="n">
        <f aca="false">ROUNDUP(P200-0.000000001,0)+spares</f>
        <v>17</v>
      </c>
      <c r="R200" s="45" t="n">
        <f aca="false">B200*C200*(2*H200-G200*lpl)</f>
        <v>5200</v>
      </c>
      <c r="S200" s="45" t="n">
        <f aca="false">R200*fill</f>
        <v>4420</v>
      </c>
      <c r="T200" s="45" t="n">
        <f aca="false">I200*J200</f>
        <v>692.9</v>
      </c>
      <c r="U200" s="45" t="n">
        <f aca="false">T200*(K200+headroom)</f>
        <v>20405.905</v>
      </c>
      <c r="V200" s="45" t="n">
        <f aca="false">G200*c_lift</f>
        <v>300000</v>
      </c>
      <c r="W200" s="45" t="n">
        <f aca="false">Q200*c_shut</f>
        <v>850000</v>
      </c>
      <c r="X200" s="45" t="n">
        <f aca="false">R200*c_pos</f>
        <v>520000</v>
      </c>
      <c r="Y200" s="45" t="n">
        <f aca="false">T200*c_m2+U200*c_m3</f>
        <v>889337.15</v>
      </c>
      <c r="Z200" s="45" t="n">
        <f aca="false">SUM(V200:Y200)</f>
        <v>2559337.15</v>
      </c>
      <c r="AA200" s="34" t="n">
        <f aca="false">B200*u_d/(H200*u_w)</f>
        <v>2</v>
      </c>
      <c r="AB200" s="46" t="n">
        <f aca="false">IF(G200=0,0,F200/G200)</f>
        <v>0.383288690476191</v>
      </c>
      <c r="AC200" s="46" t="n">
        <f aca="false">IF(G200&gt;1,F200/(G200-1),"n/a")</f>
        <v>0.766577380952381</v>
      </c>
      <c r="AD200" s="47" t="n">
        <f aca="false">moves_day*m_pallet*9.81*INDEX(Tc_mh,C200)/3600000</f>
        <v>14.34222</v>
      </c>
      <c r="AE200" s="3" t="n">
        <f aca="false">IF(AND(K200&lt;=H_max,H200&lt;=300,OR(lane_policy="Free (optimize N_C)",B200=sku_pal),OR(env_use="No",AND(I200&lt;=L_bldg,J200&lt;=W_bldg),AND(I200&lt;=W_bldg,J200&lt;=L_bldg))),1,0)</f>
        <v>0</v>
      </c>
      <c r="AF200" s="48" t="n">
        <f aca="false">IF(obj_mode="Total cost",Z200,IF(obj_mode="Shuttle cycle",O200,T200))</f>
        <v>2559337.15</v>
      </c>
      <c r="AG200" s="3" t="n">
        <f aca="false">IF(AE200=1,AF200*(1+A200*0.0000000001),1E+099)</f>
        <v>1E+099</v>
      </c>
      <c r="AH200" s="3" t="str">
        <f aca="false">IF(AE200=1,"",IF(K200&gt;H_max,"height",IF(AND(lane_policy&lt;&gt;"Free (optimize N_C)",B200&lt;&gt;sku_pal),"lane policy","footprint")))</f>
        <v>height</v>
      </c>
    </row>
    <row r="201" customFormat="false" ht="15" hidden="false" customHeight="true" outlineLevel="0" collapsed="false">
      <c r="A201" s="3" t="n">
        <v>194</v>
      </c>
      <c r="B201" s="3" t="n">
        <f aca="false">$K$3</f>
        <v>20</v>
      </c>
      <c r="C201" s="3" t="n">
        <v>14</v>
      </c>
      <c r="D201" s="46" t="n">
        <f aca="false">INDEX(Tc_pl,C201)</f>
        <v>0.6</v>
      </c>
      <c r="E201" s="47" t="n">
        <f aca="false">INDEX(Tc_S,C201)</f>
        <v>46.1738095238095</v>
      </c>
      <c r="F201" s="34" t="n">
        <f aca="false">lam_total*D201*E201/3600</f>
        <v>0.769563492063492</v>
      </c>
      <c r="G201" s="3" t="n">
        <f aca="false">IF(F201&lt;=0.000000000001,0,MAX(ROUNDUP(F201/rho_max-0.000000001,0),IF(redund="Yes",ROUNDUP(F201/rho_fail-0.000000001,0)+1,0)))</f>
        <v>2</v>
      </c>
      <c r="H201" s="3" t="n">
        <f aca="false">MAX(1,ROUNDUP((P_req/(B201*C201)+G201*lpl)/2-0.000000001,0))</f>
        <v>12</v>
      </c>
      <c r="I201" s="47" t="n">
        <f aca="false">H201*u_w</f>
        <v>12</v>
      </c>
      <c r="J201" s="47" t="n">
        <f aca="false">2*B201*u_d+aisle_w</f>
        <v>53.3</v>
      </c>
      <c r="K201" s="47" t="n">
        <f aca="false">C201*u_h</f>
        <v>30.1</v>
      </c>
      <c r="L201" s="47" t="n">
        <f aca="false">IF(G201=0,I201,I201/(2*G201))</f>
        <v>3</v>
      </c>
      <c r="M201" s="34" t="n">
        <f aca="false">((IF((lane_off+(L201))&lt;=(v_sh^2/a_sh),(4/3)*(lane_off+(L201))^1.5/SQRT(a_sh),(4/3)*(v_sh^2/a_sh)^1.5/SQRT(a_sh)+((lane_off+(L201))^2-(v_sh^2/a_sh)^2)/(2*v_sh)+(v_sh/a_sh)*((lane_off+(L201))-(v_sh^2/a_sh))))-(IF((lane_off)&lt;=(v_sh^2/a_sh),(4/3)*(lane_off)^1.5/SQRT(a_sh),(4/3)*(v_sh^2/a_sh)^1.5/SQRT(a_sh)+((lane_off)^2-(v_sh^2/a_sh)^2)/(2*v_sh)+(v_sh/a_sh)*((lane_off)-(v_sh^2/a_sh)))))/(L201)</f>
        <v>4.67310735860931</v>
      </c>
      <c r="N201" s="34" t="n">
        <f aca="false">IF(((B201-1)*u_d/2*(1+f_hc)+lane_off)&lt;=0,0,IF(((B201-1)*u_d/2*(1+f_hc)+lane_off)&gt;=v_sh^2/a_sh,((B201-1)*u_d/2*(1+f_hc)+lane_off)/v_sh+v_sh/a_sh,2*SQRT(((B201-1)*u_d/2*(1+f_hc)+lane_off)/a_sh)))</f>
        <v>14.3142857142857</v>
      </c>
      <c r="O201" s="47" t="n">
        <f aca="false">2*t_sh+2*t_turn+2*M201+2*N201</f>
        <v>95.97478614579</v>
      </c>
      <c r="P201" s="47" t="n">
        <f aca="false">SUMPRODUCT((Tc_idx&lt;=C201)*(ROUNDUP(lam_total*INDEX(Tc_P,C201,0)*O201/(3600*rho_max)-0.000000001,0)+(ROUNDUP(lam_total*INDEX(Tc_P,C201,0)*O201/(3600*rho_max)-0.000000001,0)&lt;min_sh)*(min_sh-ROUNDUP(lam_total*INDEX(Tc_P,C201,0)*O201/(3600*rho_max)-0.000000001,0))))</f>
        <v>16</v>
      </c>
      <c r="Q201" s="3" t="n">
        <f aca="false">ROUNDUP(P201-0.000000001,0)+spares</f>
        <v>18</v>
      </c>
      <c r="R201" s="45" t="n">
        <f aca="false">B201*C201*(2*H201-G201*lpl)</f>
        <v>5040</v>
      </c>
      <c r="S201" s="45" t="n">
        <f aca="false">R201*fill</f>
        <v>4284</v>
      </c>
      <c r="T201" s="45" t="n">
        <f aca="false">I201*J201</f>
        <v>639.6</v>
      </c>
      <c r="U201" s="45" t="n">
        <f aca="false">T201*(K201+headroom)</f>
        <v>20211.36</v>
      </c>
      <c r="V201" s="45" t="n">
        <f aca="false">G201*c_lift</f>
        <v>300000</v>
      </c>
      <c r="W201" s="45" t="n">
        <f aca="false">Q201*c_shut</f>
        <v>900000</v>
      </c>
      <c r="X201" s="45" t="n">
        <f aca="false">R201*c_pos</f>
        <v>504000</v>
      </c>
      <c r="Y201" s="45" t="n">
        <f aca="false">T201*c_m2+U201*c_m3</f>
        <v>862180.8</v>
      </c>
      <c r="Z201" s="45" t="n">
        <f aca="false">SUM(V201:Y201)</f>
        <v>2566180.8</v>
      </c>
      <c r="AA201" s="34" t="n">
        <f aca="false">B201*u_d/(H201*u_w)</f>
        <v>2.16666666666667</v>
      </c>
      <c r="AB201" s="46" t="n">
        <f aca="false">IF(G201=0,0,F201/G201)</f>
        <v>0.384781746031746</v>
      </c>
      <c r="AC201" s="46" t="n">
        <f aca="false">IF(G201&gt;1,F201/(G201-1),"n/a")</f>
        <v>0.769563492063492</v>
      </c>
      <c r="AD201" s="47" t="n">
        <f aca="false">moves_day*m_pallet*9.81*INDEX(Tc_mh,C201)/3600000</f>
        <v>14.62344</v>
      </c>
      <c r="AE201" s="3" t="n">
        <f aca="false">IF(AND(K201&lt;=H_max,H201&lt;=300,OR(lane_policy="Free (optimize N_C)",B201=sku_pal),OR(env_use="No",AND(I201&lt;=L_bldg,J201&lt;=W_bldg),AND(I201&lt;=W_bldg,J201&lt;=L_bldg))),1,0)</f>
        <v>0</v>
      </c>
      <c r="AF201" s="48" t="n">
        <f aca="false">IF(obj_mode="Total cost",Z201,IF(obj_mode="Shuttle cycle",O201,T201))</f>
        <v>2566180.8</v>
      </c>
      <c r="AG201" s="3" t="n">
        <f aca="false">IF(AE201=1,AF201*(1+A201*0.0000000001),1E+099)</f>
        <v>1E+099</v>
      </c>
      <c r="AH201" s="3" t="str">
        <f aca="false">IF(AE201=1,"",IF(K201&gt;H_max,"height",IF(AND(lane_policy&lt;&gt;"Free (optimize N_C)",B201&lt;&gt;sku_pal),"lane policy","footprint")))</f>
        <v>height</v>
      </c>
    </row>
    <row r="202" customFormat="false" ht="15" hidden="false" customHeight="true" outlineLevel="0" collapsed="false">
      <c r="A202" s="3" t="n">
        <v>195</v>
      </c>
      <c r="B202" s="3" t="n">
        <f aca="false">$K$3</f>
        <v>20</v>
      </c>
      <c r="C202" s="3" t="n">
        <v>15</v>
      </c>
      <c r="D202" s="46" t="n">
        <f aca="false">INDEX(Tc_pl,C202)</f>
        <v>0.6</v>
      </c>
      <c r="E202" s="47" t="n">
        <f aca="false">INDEX(Tc_S,C202)</f>
        <v>46.3529761904762</v>
      </c>
      <c r="F202" s="34" t="n">
        <f aca="false">lam_total*D202*E202/3600</f>
        <v>0.772549603174603</v>
      </c>
      <c r="G202" s="3" t="n">
        <f aca="false">IF(F202&lt;=0.000000000001,0,MAX(ROUNDUP(F202/rho_max-0.000000001,0),IF(redund="Yes",ROUNDUP(F202/rho_fail-0.000000001,0)+1,0)))</f>
        <v>2</v>
      </c>
      <c r="H202" s="3" t="n">
        <f aca="false">MAX(1,ROUNDUP((P_req/(B202*C202)+G202*lpl)/2-0.000000001,0))</f>
        <v>11</v>
      </c>
      <c r="I202" s="47" t="n">
        <f aca="false">H202*u_w</f>
        <v>11</v>
      </c>
      <c r="J202" s="47" t="n">
        <f aca="false">2*B202*u_d+aisle_w</f>
        <v>53.3</v>
      </c>
      <c r="K202" s="47" t="n">
        <f aca="false">C202*u_h</f>
        <v>32.25</v>
      </c>
      <c r="L202" s="47" t="n">
        <f aca="false">IF(G202=0,I202,I202/(2*G202))</f>
        <v>2.75</v>
      </c>
      <c r="M202" s="34" t="n">
        <f aca="false">((IF((lane_off+(L202))&lt;=(v_sh^2/a_sh),(4/3)*(lane_off+(L202))^1.5/SQRT(a_sh),(4/3)*(v_sh^2/a_sh)^1.5/SQRT(a_sh)+((lane_off+(L202))^2-(v_sh^2/a_sh)^2)/(2*v_sh)+(v_sh/a_sh)*((lane_off+(L202))-(v_sh^2/a_sh))))-(IF((lane_off)&lt;=(v_sh^2/a_sh),(4/3)*(lane_off)^1.5/SQRT(a_sh),(4/3)*(v_sh^2/a_sh)^1.5/SQRT(a_sh)+((lane_off)^2-(v_sh^2/a_sh)^2)/(2*v_sh)+(v_sh/a_sh)*((lane_off)-(v_sh^2/a_sh)))))/(L202)</f>
        <v>4.57228594965171</v>
      </c>
      <c r="N202" s="34" t="n">
        <f aca="false">IF(((B202-1)*u_d/2*(1+f_hc)+lane_off)&lt;=0,0,IF(((B202-1)*u_d/2*(1+f_hc)+lane_off)&gt;=v_sh^2/a_sh,((B202-1)*u_d/2*(1+f_hc)+lane_off)/v_sh+v_sh/a_sh,2*SQRT(((B202-1)*u_d/2*(1+f_hc)+lane_off)/a_sh)))</f>
        <v>14.3142857142857</v>
      </c>
      <c r="O202" s="47" t="n">
        <f aca="false">2*t_sh+2*t_turn+2*M202+2*N202</f>
        <v>95.7731433278749</v>
      </c>
      <c r="P202" s="47" t="n">
        <f aca="false">SUMPRODUCT((Tc_idx&lt;=C202)*(ROUNDUP(lam_total*INDEX(Tc_P,C202,0)*O202/(3600*rho_max)-0.000000001,0)+(ROUNDUP(lam_total*INDEX(Tc_P,C202,0)*O202/(3600*rho_max)-0.000000001,0)&lt;min_sh)*(min_sh-ROUNDUP(lam_total*INDEX(Tc_P,C202,0)*O202/(3600*rho_max)-0.000000001,0))))</f>
        <v>17</v>
      </c>
      <c r="Q202" s="3" t="n">
        <f aca="false">ROUNDUP(P202-0.000000001,0)+spares</f>
        <v>19</v>
      </c>
      <c r="R202" s="45" t="n">
        <f aca="false">B202*C202*(2*H202-G202*lpl)</f>
        <v>4800</v>
      </c>
      <c r="S202" s="45" t="n">
        <f aca="false">R202*fill</f>
        <v>4080</v>
      </c>
      <c r="T202" s="45" t="n">
        <f aca="false">I202*J202</f>
        <v>586.3</v>
      </c>
      <c r="U202" s="45" t="n">
        <f aca="false">T202*(K202+headroom)</f>
        <v>19787.625</v>
      </c>
      <c r="V202" s="45" t="n">
        <f aca="false">G202*c_lift</f>
        <v>300000</v>
      </c>
      <c r="W202" s="45" t="n">
        <f aca="false">Q202*c_shut</f>
        <v>950000</v>
      </c>
      <c r="X202" s="45" t="n">
        <f aca="false">R202*c_pos</f>
        <v>480000</v>
      </c>
      <c r="Y202" s="45" t="n">
        <f aca="false">T202*c_m2+U202*c_m3</f>
        <v>828148.75</v>
      </c>
      <c r="Z202" s="45" t="n">
        <f aca="false">SUM(V202:Y202)</f>
        <v>2558148.75</v>
      </c>
      <c r="AA202" s="34" t="n">
        <f aca="false">B202*u_d/(H202*u_w)</f>
        <v>2.36363636363636</v>
      </c>
      <c r="AB202" s="46" t="n">
        <f aca="false">IF(G202=0,0,F202/G202)</f>
        <v>0.386274801587302</v>
      </c>
      <c r="AC202" s="46" t="n">
        <f aca="false">IF(G202&gt;1,F202/(G202-1),"n/a")</f>
        <v>0.772549603174603</v>
      </c>
      <c r="AD202" s="47" t="n">
        <f aca="false">moves_day*m_pallet*9.81*INDEX(Tc_mh,C202)/3600000</f>
        <v>14.90466</v>
      </c>
      <c r="AE202" s="3" t="n">
        <f aca="false">IF(AND(K202&lt;=H_max,H202&lt;=300,OR(lane_policy="Free (optimize N_C)",B202=sku_pal),OR(env_use="No",AND(I202&lt;=L_bldg,J202&lt;=W_bldg),AND(I202&lt;=W_bldg,J202&lt;=L_bldg))),1,0)</f>
        <v>0</v>
      </c>
      <c r="AF202" s="48" t="n">
        <f aca="false">IF(obj_mode="Total cost",Z202,IF(obj_mode="Shuttle cycle",O202,T202))</f>
        <v>2558148.75</v>
      </c>
      <c r="AG202" s="3" t="n">
        <f aca="false">IF(AE202=1,AF202*(1+A202*0.0000000001),1E+099)</f>
        <v>1E+099</v>
      </c>
      <c r="AH202" s="3" t="str">
        <f aca="false">IF(AE202=1,"",IF(K202&gt;H_max,"height",IF(AND(lane_policy&lt;&gt;"Free (optimize N_C)",B202&lt;&gt;sku_pal),"lane policy","footprint")))</f>
        <v>height</v>
      </c>
    </row>
    <row r="203" customFormat="false" ht="15" hidden="false" customHeight="true" outlineLevel="0" collapsed="false">
      <c r="A203" s="3" t="n">
        <v>196</v>
      </c>
      <c r="B203" s="3" t="n">
        <f aca="false">$K$3</f>
        <v>20</v>
      </c>
      <c r="C203" s="3" t="n">
        <v>16</v>
      </c>
      <c r="D203" s="46" t="n">
        <f aca="false">INDEX(Tc_pl,C203)</f>
        <v>0.6</v>
      </c>
      <c r="E203" s="47" t="n">
        <f aca="false">INDEX(Tc_S,C203)</f>
        <v>46.5321428571429</v>
      </c>
      <c r="F203" s="34" t="n">
        <f aca="false">lam_total*D203*E203/3600</f>
        <v>0.775535714285714</v>
      </c>
      <c r="G203" s="3" t="n">
        <f aca="false">IF(F203&lt;=0.000000000001,0,MAX(ROUNDUP(F203/rho_max-0.000000001,0),IF(redund="Yes",ROUNDUP(F203/rho_fail-0.000000001,0)+1,0)))</f>
        <v>2</v>
      </c>
      <c r="H203" s="3" t="n">
        <f aca="false">MAX(1,ROUNDUP((P_req/(B203*C203)+G203*lpl)/2-0.000000001,0))</f>
        <v>11</v>
      </c>
      <c r="I203" s="47" t="n">
        <f aca="false">H203*u_w</f>
        <v>11</v>
      </c>
      <c r="J203" s="47" t="n">
        <f aca="false">2*B203*u_d+aisle_w</f>
        <v>53.3</v>
      </c>
      <c r="K203" s="47" t="n">
        <f aca="false">C203*u_h</f>
        <v>34.4</v>
      </c>
      <c r="L203" s="47" t="n">
        <f aca="false">IF(G203=0,I203,I203/(2*G203))</f>
        <v>2.75</v>
      </c>
      <c r="M203" s="34" t="n">
        <f aca="false">((IF((lane_off+(L203))&lt;=(v_sh^2/a_sh),(4/3)*(lane_off+(L203))^1.5/SQRT(a_sh),(4/3)*(v_sh^2/a_sh)^1.5/SQRT(a_sh)+((lane_off+(L203))^2-(v_sh^2/a_sh)^2)/(2*v_sh)+(v_sh/a_sh)*((lane_off+(L203))-(v_sh^2/a_sh))))-(IF((lane_off)&lt;=(v_sh^2/a_sh),(4/3)*(lane_off)^1.5/SQRT(a_sh),(4/3)*(v_sh^2/a_sh)^1.5/SQRT(a_sh)+((lane_off)^2-(v_sh^2/a_sh)^2)/(2*v_sh)+(v_sh/a_sh)*((lane_off)-(v_sh^2/a_sh)))))/(L203)</f>
        <v>4.57228594965171</v>
      </c>
      <c r="N203" s="34" t="n">
        <f aca="false">IF(((B203-1)*u_d/2*(1+f_hc)+lane_off)&lt;=0,0,IF(((B203-1)*u_d/2*(1+f_hc)+lane_off)&gt;=v_sh^2/a_sh,((B203-1)*u_d/2*(1+f_hc)+lane_off)/v_sh+v_sh/a_sh,2*SQRT(((B203-1)*u_d/2*(1+f_hc)+lane_off)/a_sh)))</f>
        <v>14.3142857142857</v>
      </c>
      <c r="O203" s="47" t="n">
        <f aca="false">2*t_sh+2*t_turn+2*M203+2*N203</f>
        <v>95.7731433278749</v>
      </c>
      <c r="P203" s="47" t="n">
        <f aca="false">SUMPRODUCT((Tc_idx&lt;=C203)*(ROUNDUP(lam_total*INDEX(Tc_P,C203,0)*O203/(3600*rho_max)-0.000000001,0)+(ROUNDUP(lam_total*INDEX(Tc_P,C203,0)*O203/(3600*rho_max)-0.000000001,0)&lt;min_sh)*(min_sh-ROUNDUP(lam_total*INDEX(Tc_P,C203,0)*O203/(3600*rho_max)-0.000000001,0))))</f>
        <v>18</v>
      </c>
      <c r="Q203" s="3" t="n">
        <f aca="false">ROUNDUP(P203-0.000000001,0)+spares</f>
        <v>20</v>
      </c>
      <c r="R203" s="45" t="n">
        <f aca="false">B203*C203*(2*H203-G203*lpl)</f>
        <v>5120</v>
      </c>
      <c r="S203" s="45" t="n">
        <f aca="false">R203*fill</f>
        <v>4352</v>
      </c>
      <c r="T203" s="45" t="n">
        <f aca="false">I203*J203</f>
        <v>586.3</v>
      </c>
      <c r="U203" s="45" t="n">
        <f aca="false">T203*(K203+headroom)</f>
        <v>21048.17</v>
      </c>
      <c r="V203" s="45" t="n">
        <f aca="false">G203*c_lift</f>
        <v>300000</v>
      </c>
      <c r="W203" s="45" t="n">
        <f aca="false">Q203*c_shut</f>
        <v>1000000</v>
      </c>
      <c r="X203" s="45" t="n">
        <f aca="false">R203*c_pos</f>
        <v>512000</v>
      </c>
      <c r="Y203" s="45" t="n">
        <f aca="false">T203*c_m2+U203*c_m3</f>
        <v>865965.1</v>
      </c>
      <c r="Z203" s="45" t="n">
        <f aca="false">SUM(V203:Y203)</f>
        <v>2677965.1</v>
      </c>
      <c r="AA203" s="34" t="n">
        <f aca="false">B203*u_d/(H203*u_w)</f>
        <v>2.36363636363636</v>
      </c>
      <c r="AB203" s="46" t="n">
        <f aca="false">IF(G203=0,0,F203/G203)</f>
        <v>0.387767857142857</v>
      </c>
      <c r="AC203" s="46" t="n">
        <f aca="false">IF(G203&gt;1,F203/(G203-1),"n/a")</f>
        <v>0.775535714285714</v>
      </c>
      <c r="AD203" s="47" t="n">
        <f aca="false">moves_day*m_pallet*9.81*INDEX(Tc_mh,C203)/3600000</f>
        <v>15.18588</v>
      </c>
      <c r="AE203" s="3" t="n">
        <f aca="false">IF(AND(K203&lt;=H_max,H203&lt;=300,OR(lane_policy="Free (optimize N_C)",B203=sku_pal),OR(env_use="No",AND(I203&lt;=L_bldg,J203&lt;=W_bldg),AND(I203&lt;=W_bldg,J203&lt;=L_bldg))),1,0)</f>
        <v>0</v>
      </c>
      <c r="AF203" s="48" t="n">
        <f aca="false">IF(obj_mode="Total cost",Z203,IF(obj_mode="Shuttle cycle",O203,T203))</f>
        <v>2677965.1</v>
      </c>
      <c r="AG203" s="3" t="n">
        <f aca="false">IF(AE203=1,AF203*(1+A203*0.0000000001),1E+099)</f>
        <v>1E+099</v>
      </c>
      <c r="AH203" s="3" t="str">
        <f aca="false">IF(AE203=1,"",IF(K203&gt;H_max,"height",IF(AND(lane_policy&lt;&gt;"Free (optimize N_C)",B203&lt;&gt;sku_pal),"lane policy","footprint")))</f>
        <v>height</v>
      </c>
    </row>
    <row r="204" customFormat="false" ht="15" hidden="false" customHeight="true" outlineLevel="0" collapsed="false">
      <c r="A204" s="3" t="n">
        <v>197</v>
      </c>
      <c r="B204" s="3" t="n">
        <f aca="false">$K$3</f>
        <v>20</v>
      </c>
      <c r="C204" s="3" t="n">
        <v>17</v>
      </c>
      <c r="D204" s="46" t="n">
        <f aca="false">INDEX(Tc_pl,C204)</f>
        <v>0.6</v>
      </c>
      <c r="E204" s="47" t="n">
        <f aca="false">INDEX(Tc_S,C204)</f>
        <v>46.7113095238095</v>
      </c>
      <c r="F204" s="34" t="n">
        <f aca="false">lam_total*D204*E204/3600</f>
        <v>0.778521825396825</v>
      </c>
      <c r="G204" s="3" t="n">
        <f aca="false">IF(F204&lt;=0.000000000001,0,MAX(ROUNDUP(F204/rho_max-0.000000001,0),IF(redund="Yes",ROUNDUP(F204/rho_fail-0.000000001,0)+1,0)))</f>
        <v>2</v>
      </c>
      <c r="H204" s="3" t="n">
        <f aca="false">MAX(1,ROUNDUP((P_req/(B204*C204)+G204*lpl)/2-0.000000001,0))</f>
        <v>10</v>
      </c>
      <c r="I204" s="47" t="n">
        <f aca="false">H204*u_w</f>
        <v>10</v>
      </c>
      <c r="J204" s="47" t="n">
        <f aca="false">2*B204*u_d+aisle_w</f>
        <v>53.3</v>
      </c>
      <c r="K204" s="47" t="n">
        <f aca="false">C204*u_h</f>
        <v>36.55</v>
      </c>
      <c r="L204" s="47" t="n">
        <f aca="false">IF(G204=0,I204,I204/(2*G204))</f>
        <v>2.5</v>
      </c>
      <c r="M204" s="34" t="n">
        <f aca="false">((IF((lane_off+(L204))&lt;=(v_sh^2/a_sh),(4/3)*(lane_off+(L204))^1.5/SQRT(a_sh),(4/3)*(v_sh^2/a_sh)^1.5/SQRT(a_sh)+((lane_off+(L204))^2-(v_sh^2/a_sh)^2)/(2*v_sh)+(v_sh/a_sh)*((lane_off+(L204))-(v_sh^2/a_sh))))-(IF((lane_off)&lt;=(v_sh^2/a_sh),(4/3)*(lane_off)^1.5/SQRT(a_sh),(4/3)*(v_sh^2/a_sh)^1.5/SQRT(a_sh)+((lane_off)^2-(v_sh^2/a_sh)^2)/(2*v_sh)+(v_sh/a_sh)*((lane_off)-(v_sh^2/a_sh)))))/(L204)</f>
        <v>4.46916801974984</v>
      </c>
      <c r="N204" s="34" t="n">
        <f aca="false">IF(((B204-1)*u_d/2*(1+f_hc)+lane_off)&lt;=0,0,IF(((B204-1)*u_d/2*(1+f_hc)+lane_off)&gt;=v_sh^2/a_sh,((B204-1)*u_d/2*(1+f_hc)+lane_off)/v_sh+v_sh/a_sh,2*SQRT(((B204-1)*u_d/2*(1+f_hc)+lane_off)/a_sh)))</f>
        <v>14.3142857142857</v>
      </c>
      <c r="O204" s="47" t="n">
        <f aca="false">2*t_sh+2*t_turn+2*M204+2*N204</f>
        <v>95.5669074680711</v>
      </c>
      <c r="P204" s="47" t="n">
        <f aca="false">SUMPRODUCT((Tc_idx&lt;=C204)*(ROUNDUP(lam_total*INDEX(Tc_P,C204,0)*O204/(3600*rho_max)-0.000000001,0)+(ROUNDUP(lam_total*INDEX(Tc_P,C204,0)*O204/(3600*rho_max)-0.000000001,0)&lt;min_sh)*(min_sh-ROUNDUP(lam_total*INDEX(Tc_P,C204,0)*O204/(3600*rho_max)-0.000000001,0))))</f>
        <v>19</v>
      </c>
      <c r="Q204" s="3" t="n">
        <f aca="false">ROUNDUP(P204-0.000000001,0)+spares</f>
        <v>21</v>
      </c>
      <c r="R204" s="45" t="n">
        <f aca="false">B204*C204*(2*H204-G204*lpl)</f>
        <v>4760</v>
      </c>
      <c r="S204" s="45" t="n">
        <f aca="false">R204*fill</f>
        <v>4046</v>
      </c>
      <c r="T204" s="45" t="n">
        <f aca="false">I204*J204</f>
        <v>533</v>
      </c>
      <c r="U204" s="45" t="n">
        <f aca="false">T204*(K204+headroom)</f>
        <v>20280.65</v>
      </c>
      <c r="V204" s="45" t="n">
        <f aca="false">G204*c_lift</f>
        <v>300000</v>
      </c>
      <c r="W204" s="45" t="n">
        <f aca="false">Q204*c_shut</f>
        <v>1050000</v>
      </c>
      <c r="X204" s="45" t="n">
        <f aca="false">R204*c_pos</f>
        <v>476000</v>
      </c>
      <c r="Y204" s="45" t="n">
        <f aca="false">T204*c_m2+U204*c_m3</f>
        <v>821619.5</v>
      </c>
      <c r="Z204" s="45" t="n">
        <f aca="false">SUM(V204:Y204)</f>
        <v>2647619.5</v>
      </c>
      <c r="AA204" s="34" t="n">
        <f aca="false">B204*u_d/(H204*u_w)</f>
        <v>2.6</v>
      </c>
      <c r="AB204" s="46" t="n">
        <f aca="false">IF(G204=0,0,F204/G204)</f>
        <v>0.389260912698413</v>
      </c>
      <c r="AC204" s="46" t="n">
        <f aca="false">IF(G204&gt;1,F204/(G204-1),"n/a")</f>
        <v>0.778521825396825</v>
      </c>
      <c r="AD204" s="47" t="n">
        <f aca="false">moves_day*m_pallet*9.81*INDEX(Tc_mh,C204)/3600000</f>
        <v>15.4671</v>
      </c>
      <c r="AE204" s="3" t="n">
        <f aca="false">IF(AND(K204&lt;=H_max,H204&lt;=300,OR(lane_policy="Free (optimize N_C)",B204=sku_pal),OR(env_use="No",AND(I204&lt;=L_bldg,J204&lt;=W_bldg),AND(I204&lt;=W_bldg,J204&lt;=L_bldg))),1,0)</f>
        <v>0</v>
      </c>
      <c r="AF204" s="48" t="n">
        <f aca="false">IF(obj_mode="Total cost",Z204,IF(obj_mode="Shuttle cycle",O204,T204))</f>
        <v>2647619.5</v>
      </c>
      <c r="AG204" s="3" t="n">
        <f aca="false">IF(AE204=1,AF204*(1+A204*0.0000000001),1E+099)</f>
        <v>1E+099</v>
      </c>
      <c r="AH204" s="3" t="str">
        <f aca="false">IF(AE204=1,"",IF(K204&gt;H_max,"height",IF(AND(lane_policy&lt;&gt;"Free (optimize N_C)",B204&lt;&gt;sku_pal),"lane policy","footprint")))</f>
        <v>height</v>
      </c>
    </row>
    <row r="205" customFormat="false" ht="15" hidden="false" customHeight="true" outlineLevel="0" collapsed="false">
      <c r="A205" s="3" t="n">
        <v>198</v>
      </c>
      <c r="B205" s="3" t="n">
        <f aca="false">$K$3</f>
        <v>20</v>
      </c>
      <c r="C205" s="3" t="n">
        <v>18</v>
      </c>
      <c r="D205" s="46" t="n">
        <f aca="false">INDEX(Tc_pl,C205)</f>
        <v>0.6</v>
      </c>
      <c r="E205" s="47" t="n">
        <f aca="false">INDEX(Tc_S,C205)</f>
        <v>46.8904761904762</v>
      </c>
      <c r="F205" s="34" t="n">
        <f aca="false">lam_total*D205*E205/3600</f>
        <v>0.781507936507937</v>
      </c>
      <c r="G205" s="3" t="n">
        <f aca="false">IF(F205&lt;=0.000000000001,0,MAX(ROUNDUP(F205/rho_max-0.000000001,0),IF(redund="Yes",ROUNDUP(F205/rho_fail-0.000000001,0)+1,0)))</f>
        <v>2</v>
      </c>
      <c r="H205" s="3" t="n">
        <f aca="false">MAX(1,ROUNDUP((P_req/(B205*C205)+G205*lpl)/2-0.000000001,0))</f>
        <v>10</v>
      </c>
      <c r="I205" s="47" t="n">
        <f aca="false">H205*u_w</f>
        <v>10</v>
      </c>
      <c r="J205" s="47" t="n">
        <f aca="false">2*B205*u_d+aisle_w</f>
        <v>53.3</v>
      </c>
      <c r="K205" s="47" t="n">
        <f aca="false">C205*u_h</f>
        <v>38.7</v>
      </c>
      <c r="L205" s="47" t="n">
        <f aca="false">IF(G205=0,I205,I205/(2*G205))</f>
        <v>2.5</v>
      </c>
      <c r="M205" s="34" t="n">
        <f aca="false">((IF((lane_off+(L205))&lt;=(v_sh^2/a_sh),(4/3)*(lane_off+(L205))^1.5/SQRT(a_sh),(4/3)*(v_sh^2/a_sh)^1.5/SQRT(a_sh)+((lane_off+(L205))^2-(v_sh^2/a_sh)^2)/(2*v_sh)+(v_sh/a_sh)*((lane_off+(L205))-(v_sh^2/a_sh))))-(IF((lane_off)&lt;=(v_sh^2/a_sh),(4/3)*(lane_off)^1.5/SQRT(a_sh),(4/3)*(v_sh^2/a_sh)^1.5/SQRT(a_sh)+((lane_off)^2-(v_sh^2/a_sh)^2)/(2*v_sh)+(v_sh/a_sh)*((lane_off)-(v_sh^2/a_sh)))))/(L205)</f>
        <v>4.46916801974984</v>
      </c>
      <c r="N205" s="34" t="n">
        <f aca="false">IF(((B205-1)*u_d/2*(1+f_hc)+lane_off)&lt;=0,0,IF(((B205-1)*u_d/2*(1+f_hc)+lane_off)&gt;=v_sh^2/a_sh,((B205-1)*u_d/2*(1+f_hc)+lane_off)/v_sh+v_sh/a_sh,2*SQRT(((B205-1)*u_d/2*(1+f_hc)+lane_off)/a_sh)))</f>
        <v>14.3142857142857</v>
      </c>
      <c r="O205" s="47" t="n">
        <f aca="false">2*t_sh+2*t_turn+2*M205+2*N205</f>
        <v>95.5669074680711</v>
      </c>
      <c r="P205" s="47" t="n">
        <f aca="false">SUMPRODUCT((Tc_idx&lt;=C205)*(ROUNDUP(lam_total*INDEX(Tc_P,C205,0)*O205/(3600*rho_max)-0.000000001,0)+(ROUNDUP(lam_total*INDEX(Tc_P,C205,0)*O205/(3600*rho_max)-0.000000001,0)&lt;min_sh)*(min_sh-ROUNDUP(lam_total*INDEX(Tc_P,C205,0)*O205/(3600*rho_max)-0.000000001,0))))</f>
        <v>20</v>
      </c>
      <c r="Q205" s="3" t="n">
        <f aca="false">ROUNDUP(P205-0.000000001,0)+spares</f>
        <v>22</v>
      </c>
      <c r="R205" s="45" t="n">
        <f aca="false">B205*C205*(2*H205-G205*lpl)</f>
        <v>5040</v>
      </c>
      <c r="S205" s="45" t="n">
        <f aca="false">R205*fill</f>
        <v>4284</v>
      </c>
      <c r="T205" s="45" t="n">
        <f aca="false">I205*J205</f>
        <v>533</v>
      </c>
      <c r="U205" s="45" t="n">
        <f aca="false">T205*(K205+headroom)</f>
        <v>21426.6</v>
      </c>
      <c r="V205" s="45" t="n">
        <f aca="false">G205*c_lift</f>
        <v>300000</v>
      </c>
      <c r="W205" s="45" t="n">
        <f aca="false">Q205*c_shut</f>
        <v>1100000</v>
      </c>
      <c r="X205" s="45" t="n">
        <f aca="false">R205*c_pos</f>
        <v>504000</v>
      </c>
      <c r="Y205" s="45" t="n">
        <f aca="false">T205*c_m2+U205*c_m3</f>
        <v>855998</v>
      </c>
      <c r="Z205" s="45" t="n">
        <f aca="false">SUM(V205:Y205)</f>
        <v>2759998</v>
      </c>
      <c r="AA205" s="34" t="n">
        <f aca="false">B205*u_d/(H205*u_w)</f>
        <v>2.6</v>
      </c>
      <c r="AB205" s="46" t="n">
        <f aca="false">IF(G205=0,0,F205/G205)</f>
        <v>0.390753968253968</v>
      </c>
      <c r="AC205" s="46" t="n">
        <f aca="false">IF(G205&gt;1,F205/(G205-1),"n/a")</f>
        <v>0.781507936507937</v>
      </c>
      <c r="AD205" s="47" t="n">
        <f aca="false">moves_day*m_pallet*9.81*INDEX(Tc_mh,C205)/3600000</f>
        <v>15.74832</v>
      </c>
      <c r="AE205" s="3" t="n">
        <f aca="false">IF(AND(K205&lt;=H_max,H205&lt;=300,OR(lane_policy="Free (optimize N_C)",B205=sku_pal),OR(env_use="No",AND(I205&lt;=L_bldg,J205&lt;=W_bldg),AND(I205&lt;=W_bldg,J205&lt;=L_bldg))),1,0)</f>
        <v>0</v>
      </c>
      <c r="AF205" s="48" t="n">
        <f aca="false">IF(obj_mode="Total cost",Z205,IF(obj_mode="Shuttle cycle",O205,T205))</f>
        <v>2759998</v>
      </c>
      <c r="AG205" s="3" t="n">
        <f aca="false">IF(AE205=1,AF205*(1+A205*0.0000000001),1E+099)</f>
        <v>1E+099</v>
      </c>
      <c r="AH205" s="3" t="str">
        <f aca="false">IF(AE205=1,"",IF(K205&gt;H_max,"height",IF(AND(lane_policy&lt;&gt;"Free (optimize N_C)",B205&lt;&gt;sku_pal),"lane policy","footprint")))</f>
        <v>height</v>
      </c>
    </row>
    <row r="206" customFormat="false" ht="15" hidden="false" customHeight="true" outlineLevel="0" collapsed="false">
      <c r="A206" s="3" t="n">
        <v>199</v>
      </c>
      <c r="B206" s="3" t="n">
        <f aca="false">$K$3</f>
        <v>20</v>
      </c>
      <c r="C206" s="3" t="n">
        <v>19</v>
      </c>
      <c r="D206" s="46" t="n">
        <f aca="false">INDEX(Tc_pl,C206)</f>
        <v>0.6</v>
      </c>
      <c r="E206" s="47" t="n">
        <f aca="false">INDEX(Tc_S,C206)</f>
        <v>47.0696428571429</v>
      </c>
      <c r="F206" s="34" t="n">
        <f aca="false">lam_total*D206*E206/3600</f>
        <v>0.784494047619048</v>
      </c>
      <c r="G206" s="3" t="n">
        <f aca="false">IF(F206&lt;=0.000000000001,0,MAX(ROUNDUP(F206/rho_max-0.000000001,0),IF(redund="Yes",ROUNDUP(F206/rho_fail-0.000000001,0)+1,0)))</f>
        <v>2</v>
      </c>
      <c r="H206" s="3" t="n">
        <f aca="false">MAX(1,ROUNDUP((P_req/(B206*C206)+G206*lpl)/2-0.000000001,0))</f>
        <v>10</v>
      </c>
      <c r="I206" s="47" t="n">
        <f aca="false">H206*u_w</f>
        <v>10</v>
      </c>
      <c r="J206" s="47" t="n">
        <f aca="false">2*B206*u_d+aisle_w</f>
        <v>53.3</v>
      </c>
      <c r="K206" s="47" t="n">
        <f aca="false">C206*u_h</f>
        <v>40.85</v>
      </c>
      <c r="L206" s="47" t="n">
        <f aca="false">IF(G206=0,I206,I206/(2*G206))</f>
        <v>2.5</v>
      </c>
      <c r="M206" s="34" t="n">
        <f aca="false">((IF((lane_off+(L206))&lt;=(v_sh^2/a_sh),(4/3)*(lane_off+(L206))^1.5/SQRT(a_sh),(4/3)*(v_sh^2/a_sh)^1.5/SQRT(a_sh)+((lane_off+(L206))^2-(v_sh^2/a_sh)^2)/(2*v_sh)+(v_sh/a_sh)*((lane_off+(L206))-(v_sh^2/a_sh))))-(IF((lane_off)&lt;=(v_sh^2/a_sh),(4/3)*(lane_off)^1.5/SQRT(a_sh),(4/3)*(v_sh^2/a_sh)^1.5/SQRT(a_sh)+((lane_off)^2-(v_sh^2/a_sh)^2)/(2*v_sh)+(v_sh/a_sh)*((lane_off)-(v_sh^2/a_sh)))))/(L206)</f>
        <v>4.46916801974984</v>
      </c>
      <c r="N206" s="34" t="n">
        <f aca="false">IF(((B206-1)*u_d/2*(1+f_hc)+lane_off)&lt;=0,0,IF(((B206-1)*u_d/2*(1+f_hc)+lane_off)&gt;=v_sh^2/a_sh,((B206-1)*u_d/2*(1+f_hc)+lane_off)/v_sh+v_sh/a_sh,2*SQRT(((B206-1)*u_d/2*(1+f_hc)+lane_off)/a_sh)))</f>
        <v>14.3142857142857</v>
      </c>
      <c r="O206" s="47" t="n">
        <f aca="false">2*t_sh+2*t_turn+2*M206+2*N206</f>
        <v>95.5669074680711</v>
      </c>
      <c r="P206" s="47" t="n">
        <f aca="false">SUMPRODUCT((Tc_idx&lt;=C206)*(ROUNDUP(lam_total*INDEX(Tc_P,C206,0)*O206/(3600*rho_max)-0.000000001,0)+(ROUNDUP(lam_total*INDEX(Tc_P,C206,0)*O206/(3600*rho_max)-0.000000001,0)&lt;min_sh)*(min_sh-ROUNDUP(lam_total*INDEX(Tc_P,C206,0)*O206/(3600*rho_max)-0.000000001,0))))</f>
        <v>21</v>
      </c>
      <c r="Q206" s="3" t="n">
        <f aca="false">ROUNDUP(P206-0.000000001,0)+spares</f>
        <v>23</v>
      </c>
      <c r="R206" s="45" t="n">
        <f aca="false">B206*C206*(2*H206-G206*lpl)</f>
        <v>5320</v>
      </c>
      <c r="S206" s="45" t="n">
        <f aca="false">R206*fill</f>
        <v>4522</v>
      </c>
      <c r="T206" s="45" t="n">
        <f aca="false">I206*J206</f>
        <v>533</v>
      </c>
      <c r="U206" s="45" t="n">
        <f aca="false">T206*(K206+headroom)</f>
        <v>22572.55</v>
      </c>
      <c r="V206" s="45" t="n">
        <f aca="false">G206*c_lift</f>
        <v>300000</v>
      </c>
      <c r="W206" s="45" t="n">
        <f aca="false">Q206*c_shut</f>
        <v>1150000</v>
      </c>
      <c r="X206" s="45" t="n">
        <f aca="false">R206*c_pos</f>
        <v>532000</v>
      </c>
      <c r="Y206" s="45" t="n">
        <f aca="false">T206*c_m2+U206*c_m3</f>
        <v>890376.5</v>
      </c>
      <c r="Z206" s="45" t="n">
        <f aca="false">SUM(V206:Y206)</f>
        <v>2872376.5</v>
      </c>
      <c r="AA206" s="34" t="n">
        <f aca="false">B206*u_d/(H206*u_w)</f>
        <v>2.6</v>
      </c>
      <c r="AB206" s="46" t="n">
        <f aca="false">IF(G206=0,0,F206/G206)</f>
        <v>0.392247023809524</v>
      </c>
      <c r="AC206" s="46" t="n">
        <f aca="false">IF(G206&gt;1,F206/(G206-1),"n/a")</f>
        <v>0.784494047619048</v>
      </c>
      <c r="AD206" s="47" t="n">
        <f aca="false">moves_day*m_pallet*9.81*INDEX(Tc_mh,C206)/3600000</f>
        <v>16.02954</v>
      </c>
      <c r="AE206" s="3" t="n">
        <f aca="false">IF(AND(K206&lt;=H_max,H206&lt;=300,OR(lane_policy="Free (optimize N_C)",B206=sku_pal),OR(env_use="No",AND(I206&lt;=L_bldg,J206&lt;=W_bldg),AND(I206&lt;=W_bldg,J206&lt;=L_bldg))),1,0)</f>
        <v>0</v>
      </c>
      <c r="AF206" s="48" t="n">
        <f aca="false">IF(obj_mode="Total cost",Z206,IF(obj_mode="Shuttle cycle",O206,T206))</f>
        <v>2872376.5</v>
      </c>
      <c r="AG206" s="3" t="n">
        <f aca="false">IF(AE206=1,AF206*(1+A206*0.0000000001),1E+099)</f>
        <v>1E+099</v>
      </c>
      <c r="AH206" s="3" t="str">
        <f aca="false">IF(AE206=1,"",IF(K206&gt;H_max,"height",IF(AND(lane_policy&lt;&gt;"Free (optimize N_C)",B206&lt;&gt;sku_pal),"lane policy","footprint")))</f>
        <v>height</v>
      </c>
    </row>
    <row r="207" customFormat="false" ht="15" hidden="false" customHeight="true" outlineLevel="0" collapsed="false">
      <c r="A207" s="3" t="n">
        <v>200</v>
      </c>
      <c r="B207" s="3" t="n">
        <f aca="false">$K$3</f>
        <v>20</v>
      </c>
      <c r="C207" s="3" t="n">
        <v>20</v>
      </c>
      <c r="D207" s="46" t="n">
        <f aca="false">INDEX(Tc_pl,C207)</f>
        <v>0.6</v>
      </c>
      <c r="E207" s="47" t="n">
        <f aca="false">INDEX(Tc_S,C207)</f>
        <v>47.2488095238095</v>
      </c>
      <c r="F207" s="34" t="n">
        <f aca="false">lam_total*D207*E207/3600</f>
        <v>0.787480158730159</v>
      </c>
      <c r="G207" s="3" t="n">
        <f aca="false">IF(F207&lt;=0.000000000001,0,MAX(ROUNDUP(F207/rho_max-0.000000001,0),IF(redund="Yes",ROUNDUP(F207/rho_fail-0.000000001,0)+1,0)))</f>
        <v>2</v>
      </c>
      <c r="H207" s="3" t="n">
        <f aca="false">MAX(1,ROUNDUP((P_req/(B207*C207)+G207*lpl)/2-0.000000001,0))</f>
        <v>9</v>
      </c>
      <c r="I207" s="47" t="n">
        <f aca="false">H207*u_w</f>
        <v>9</v>
      </c>
      <c r="J207" s="47" t="n">
        <f aca="false">2*B207*u_d+aisle_w</f>
        <v>53.3</v>
      </c>
      <c r="K207" s="47" t="n">
        <f aca="false">C207*u_h</f>
        <v>43</v>
      </c>
      <c r="L207" s="47" t="n">
        <f aca="false">IF(G207=0,I207,I207/(2*G207))</f>
        <v>2.25</v>
      </c>
      <c r="M207" s="34" t="n">
        <f aca="false">((IF((lane_off+(L207))&lt;=(v_sh^2/a_sh),(4/3)*(lane_off+(L207))^1.5/SQRT(a_sh),(4/3)*(v_sh^2/a_sh)^1.5/SQRT(a_sh)+((lane_off+(L207))^2-(v_sh^2/a_sh)^2)/(2*v_sh)+(v_sh/a_sh)*((lane_off+(L207))-(v_sh^2/a_sh))))-(IF((lane_off)&lt;=(v_sh^2/a_sh),(4/3)*(lane_off)^1.5/SQRT(a_sh),(4/3)*(v_sh^2/a_sh)^1.5/SQRT(a_sh)+((lane_off)^2-(v_sh^2/a_sh)^2)/(2*v_sh)+(v_sh/a_sh)*((lane_off)-(v_sh^2/a_sh)))))/(L207)</f>
        <v>4.3633072163076</v>
      </c>
      <c r="N207" s="34" t="n">
        <f aca="false">IF(((B207-1)*u_d/2*(1+f_hc)+lane_off)&lt;=0,0,IF(((B207-1)*u_d/2*(1+f_hc)+lane_off)&gt;=v_sh^2/a_sh,((B207-1)*u_d/2*(1+f_hc)+lane_off)/v_sh+v_sh/a_sh,2*SQRT(((B207-1)*u_d/2*(1+f_hc)+lane_off)/a_sh)))</f>
        <v>14.3142857142857</v>
      </c>
      <c r="O207" s="47" t="n">
        <f aca="false">2*t_sh+2*t_turn+2*M207+2*N207</f>
        <v>95.3551858611866</v>
      </c>
      <c r="P207" s="47" t="n">
        <f aca="false">SUMPRODUCT((Tc_idx&lt;=C207)*(ROUNDUP(lam_total*INDEX(Tc_P,C207,0)*O207/(3600*rho_max)-0.000000001,0)+(ROUNDUP(lam_total*INDEX(Tc_P,C207,0)*O207/(3600*rho_max)-0.000000001,0)&lt;min_sh)*(min_sh-ROUNDUP(lam_total*INDEX(Tc_P,C207,0)*O207/(3600*rho_max)-0.000000001,0))))</f>
        <v>22</v>
      </c>
      <c r="Q207" s="3" t="n">
        <f aca="false">ROUNDUP(P207-0.000000001,0)+spares</f>
        <v>24</v>
      </c>
      <c r="R207" s="45" t="n">
        <f aca="false">B207*C207*(2*H207-G207*lpl)</f>
        <v>4800</v>
      </c>
      <c r="S207" s="45" t="n">
        <f aca="false">R207*fill</f>
        <v>4080</v>
      </c>
      <c r="T207" s="45" t="n">
        <f aca="false">I207*J207</f>
        <v>479.7</v>
      </c>
      <c r="U207" s="45" t="n">
        <f aca="false">T207*(K207+headroom)</f>
        <v>21346.65</v>
      </c>
      <c r="V207" s="45" t="n">
        <f aca="false">G207*c_lift</f>
        <v>300000</v>
      </c>
      <c r="W207" s="45" t="n">
        <f aca="false">Q207*c_shut</f>
        <v>1200000</v>
      </c>
      <c r="X207" s="45" t="n">
        <f aca="false">R207*c_pos</f>
        <v>480000</v>
      </c>
      <c r="Y207" s="45" t="n">
        <f aca="false">T207*c_m2+U207*c_m3</f>
        <v>832279.5</v>
      </c>
      <c r="Z207" s="45" t="n">
        <f aca="false">SUM(V207:Y207)</f>
        <v>2812279.5</v>
      </c>
      <c r="AA207" s="34" t="n">
        <f aca="false">B207*u_d/(H207*u_w)</f>
        <v>2.88888888888889</v>
      </c>
      <c r="AB207" s="46" t="n">
        <f aca="false">IF(G207=0,0,F207/G207)</f>
        <v>0.393740079365079</v>
      </c>
      <c r="AC207" s="46" t="n">
        <f aca="false">IF(G207&gt;1,F207/(G207-1),"n/a")</f>
        <v>0.787480158730159</v>
      </c>
      <c r="AD207" s="47" t="n">
        <f aca="false">moves_day*m_pallet*9.81*INDEX(Tc_mh,C207)/3600000</f>
        <v>16.31076</v>
      </c>
      <c r="AE207" s="3" t="n">
        <f aca="false">IF(AND(K207&lt;=H_max,H207&lt;=300,OR(lane_policy="Free (optimize N_C)",B207=sku_pal),OR(env_use="No",AND(I207&lt;=L_bldg,J207&lt;=W_bldg),AND(I207&lt;=W_bldg,J207&lt;=L_bldg))),1,0)</f>
        <v>0</v>
      </c>
      <c r="AF207" s="48" t="n">
        <f aca="false">IF(obj_mode="Total cost",Z207,IF(obj_mode="Shuttle cycle",O207,T207))</f>
        <v>2812279.5</v>
      </c>
      <c r="AG207" s="3" t="n">
        <f aca="false">IF(AE207=1,AF207*(1+A207*0.0000000001),1E+099)</f>
        <v>1E+099</v>
      </c>
      <c r="AH207" s="3" t="str">
        <f aca="false">IF(AE207=1,"",IF(K207&gt;H_max,"height",IF(AND(lane_policy&lt;&gt;"Free (optimize N_C)",B207&lt;&gt;sku_pal),"lane policy","footprint")))</f>
        <v>height</v>
      </c>
    </row>
    <row r="208" customFormat="false" ht="15" hidden="false" customHeight="true" outlineLevel="0" collapsed="false">
      <c r="A208" s="3" t="n">
        <v>201</v>
      </c>
      <c r="B208" s="3" t="n">
        <f aca="false">$L$3</f>
        <v>24</v>
      </c>
      <c r="C208" s="3" t="n">
        <v>1</v>
      </c>
      <c r="D208" s="46" t="n">
        <f aca="false">INDEX(Tc_pl,C208)</f>
        <v>0</v>
      </c>
      <c r="E208" s="47" t="n">
        <f aca="false">INDEX(Tc_S,C208)</f>
        <v>0</v>
      </c>
      <c r="F208" s="34" t="n">
        <f aca="false">lam_total*D208*E208/3600</f>
        <v>0</v>
      </c>
      <c r="G208" s="3" t="n">
        <f aca="false">IF(F208&lt;=0.000000000001,0,MAX(ROUNDUP(F208/rho_max-0.000000001,0),IF(redund="Yes",ROUNDUP(F208/rho_fail-0.000000001,0)+1,0)))</f>
        <v>0</v>
      </c>
      <c r="H208" s="3" t="n">
        <f aca="false">MAX(1,ROUNDUP((P_req/(B208*C208)+G208*lpl)/2-0.000000001,0))</f>
        <v>99</v>
      </c>
      <c r="I208" s="47" t="n">
        <f aca="false">H208*u_w</f>
        <v>99</v>
      </c>
      <c r="J208" s="47" t="n">
        <f aca="false">2*B208*u_d+aisle_w</f>
        <v>63.7</v>
      </c>
      <c r="K208" s="47" t="n">
        <f aca="false">C208*u_h</f>
        <v>2.15</v>
      </c>
      <c r="L208" s="47" t="n">
        <f aca="false">IF(G208=0,I208,I208/(2*G208))</f>
        <v>99</v>
      </c>
      <c r="M208" s="34" t="n">
        <f aca="false">((IF((lane_off+(L208))&lt;=(v_sh^2/a_sh),(4/3)*(lane_off+(L208))^1.5/SQRT(a_sh),(4/3)*(v_sh^2/a_sh)^1.5/SQRT(a_sh)+((lane_off+(L208))^2-(v_sh^2/a_sh)^2)/(2*v_sh)+(v_sh/a_sh)*((lane_off+(L208))-(v_sh^2/a_sh))))-(IF((lane_off)&lt;=(v_sh^2/a_sh),(4/3)*(lane_off)^1.5/SQRT(a_sh),(4/3)*(v_sh^2/a_sh)^1.5/SQRT(a_sh)+((lane_off)^2-(v_sh^2/a_sh)^2)/(2*v_sh)+(v_sh/a_sh)*((lane_off)-(v_sh^2/a_sh)))))/(L208)</f>
        <v>39.081869054157</v>
      </c>
      <c r="N208" s="34" t="n">
        <f aca="false">IF(((B208-1)*u_d/2*(1+f_hc)+lane_off)&lt;=0,0,IF(((B208-1)*u_d/2*(1+f_hc)+lane_off)&gt;=v_sh^2/a_sh,((B208-1)*u_d/2*(1+f_hc)+lane_off)/v_sh+v_sh/a_sh,2*SQRT(((B208-1)*u_d/2*(1+f_hc)+lane_off)/a_sh)))</f>
        <v>16.5428571428571</v>
      </c>
      <c r="O208" s="47" t="n">
        <f aca="false">2*t_sh+2*t_turn+2*M208+2*N208</f>
        <v>169.249452394028</v>
      </c>
      <c r="P208" s="47" t="n">
        <f aca="false">SUMPRODUCT((Tc_idx&lt;=C208)*(ROUNDUP(lam_total*INDEX(Tc_P,C208,0)*O208/(3600*rho_max)-0.000000001,0)+(ROUNDUP(lam_total*INDEX(Tc_P,C208,0)*O208/(3600*rho_max)-0.000000001,0)&lt;min_sh)*(min_sh-ROUNDUP(lam_total*INDEX(Tc_P,C208,0)*O208/(3600*rho_max)-0.000000001,0))))</f>
        <v>7</v>
      </c>
      <c r="Q208" s="3" t="n">
        <f aca="false">ROUNDUP(P208-0.000000001,0)+spares</f>
        <v>9</v>
      </c>
      <c r="R208" s="45" t="n">
        <f aca="false">B208*C208*(2*H208-G208*lpl)</f>
        <v>4752</v>
      </c>
      <c r="S208" s="45" t="n">
        <f aca="false">R208*fill</f>
        <v>4039.2</v>
      </c>
      <c r="T208" s="45" t="n">
        <f aca="false">I208*J208</f>
        <v>6306.3</v>
      </c>
      <c r="U208" s="45" t="n">
        <f aca="false">T208*(K208+headroom)</f>
        <v>23017.995</v>
      </c>
      <c r="V208" s="45" t="n">
        <f aca="false">G208*c_lift</f>
        <v>0</v>
      </c>
      <c r="W208" s="45" t="n">
        <f aca="false">Q208*c_shut</f>
        <v>450000</v>
      </c>
      <c r="X208" s="45" t="n">
        <f aca="false">R208*c_pos</f>
        <v>475200</v>
      </c>
      <c r="Y208" s="45" t="n">
        <f aca="false">T208*c_m2+U208*c_m3</f>
        <v>3213059.85</v>
      </c>
      <c r="Z208" s="45" t="n">
        <f aca="false">SUM(V208:Y208)</f>
        <v>4138259.85</v>
      </c>
      <c r="AA208" s="34" t="n">
        <f aca="false">B208*u_d/(H208*u_w)</f>
        <v>0.315151515151515</v>
      </c>
      <c r="AB208" s="46" t="n">
        <f aca="false">IF(G208=0,0,F208/G208)</f>
        <v>0</v>
      </c>
      <c r="AC208" s="46" t="str">
        <f aca="false">IF(G208&gt;1,F208/(G208-1),"n/a")</f>
        <v>n/a</v>
      </c>
      <c r="AD208" s="47" t="n">
        <f aca="false">moves_day*m_pallet*9.81*INDEX(Tc_mh,C208)/3600000</f>
        <v>0</v>
      </c>
      <c r="AE208" s="3" t="n">
        <f aca="false">IF(AND(K208&lt;=H_max,H208&lt;=300,OR(lane_policy="Free (optimize N_C)",B208=sku_pal),OR(env_use="No",AND(I208&lt;=L_bldg,J208&lt;=W_bldg),AND(I208&lt;=W_bldg,J208&lt;=L_bldg))),1,0)</f>
        <v>0</v>
      </c>
      <c r="AF208" s="48" t="n">
        <f aca="false">IF(obj_mode="Total cost",Z208,IF(obj_mode="Shuttle cycle",O208,T208))</f>
        <v>4138259.85</v>
      </c>
      <c r="AG208" s="3" t="n">
        <f aca="false">IF(AE208=1,AF208*(1+A208*0.0000000001),1E+099)</f>
        <v>1E+099</v>
      </c>
      <c r="AH208" s="3" t="str">
        <f aca="false">IF(AE208=1,"",IF(K208&gt;H_max,"height",IF(AND(lane_policy&lt;&gt;"Free (optimize N_C)",B208&lt;&gt;sku_pal),"lane policy","footprint")))</f>
        <v>footprint</v>
      </c>
    </row>
    <row r="209" customFormat="false" ht="15" hidden="false" customHeight="true" outlineLevel="0" collapsed="false">
      <c r="A209" s="3" t="n">
        <v>202</v>
      </c>
      <c r="B209" s="3" t="n">
        <f aca="false">$L$3</f>
        <v>24</v>
      </c>
      <c r="C209" s="3" t="n">
        <v>2</v>
      </c>
      <c r="D209" s="46" t="n">
        <f aca="false">INDEX(Tc_pl,C209)</f>
        <v>0.5</v>
      </c>
      <c r="E209" s="47" t="n">
        <f aca="false">INDEX(Tc_S,C209)</f>
        <v>41.1571428571429</v>
      </c>
      <c r="F209" s="34" t="n">
        <f aca="false">lam_total*D209*E209/3600</f>
        <v>0.571626984126984</v>
      </c>
      <c r="G209" s="3" t="n">
        <f aca="false">IF(F209&lt;=0.000000000001,0,MAX(ROUNDUP(F209/rho_max-0.000000001,0),IF(redund="Yes",ROUNDUP(F209/rho_fail-0.000000001,0)+1,0)))</f>
        <v>2</v>
      </c>
      <c r="H209" s="3" t="n">
        <f aca="false">MAX(1,ROUNDUP((P_req/(B209*C209)+G209*lpl)/2-0.000000001,0))</f>
        <v>53</v>
      </c>
      <c r="I209" s="47" t="n">
        <f aca="false">H209*u_w</f>
        <v>53</v>
      </c>
      <c r="J209" s="47" t="n">
        <f aca="false">2*B209*u_d+aisle_w</f>
        <v>63.7</v>
      </c>
      <c r="K209" s="47" t="n">
        <f aca="false">C209*u_h</f>
        <v>4.3</v>
      </c>
      <c r="L209" s="47" t="n">
        <f aca="false">IF(G209=0,I209,I209/(2*G209))</f>
        <v>13.25</v>
      </c>
      <c r="M209" s="34" t="n">
        <f aca="false">((IF((lane_off+(L209))&lt;=(v_sh^2/a_sh),(4/3)*(lane_off+(L209))^1.5/SQRT(a_sh),(4/3)*(v_sh^2/a_sh)^1.5/SQRT(a_sh)+((lane_off+(L209))^2-(v_sh^2/a_sh)^2)/(2*v_sh)+(v_sh/a_sh)*((lane_off+(L209))-(v_sh^2/a_sh))))-(IF((lane_off)&lt;=(v_sh^2/a_sh),(4/3)*(lane_off)^1.5/SQRT(a_sh),(4/3)*(v_sh^2/a_sh)^1.5/SQRT(a_sh)+((lane_off)^2-(v_sh^2/a_sh)^2)/(2*v_sh)+(v_sh/a_sh)*((lane_off)-(v_sh^2/a_sh)))))/(L209)</f>
        <v>8.43198387634281</v>
      </c>
      <c r="N209" s="34" t="n">
        <f aca="false">IF(((B209-1)*u_d/2*(1+f_hc)+lane_off)&lt;=0,0,IF(((B209-1)*u_d/2*(1+f_hc)+lane_off)&gt;=v_sh^2/a_sh,((B209-1)*u_d/2*(1+f_hc)+lane_off)/v_sh+v_sh/a_sh,2*SQRT(((B209-1)*u_d/2*(1+f_hc)+lane_off)/a_sh)))</f>
        <v>16.5428571428571</v>
      </c>
      <c r="O209" s="47" t="n">
        <f aca="false">2*t_sh+2*t_turn+2*M209+2*N209</f>
        <v>107.9496820384</v>
      </c>
      <c r="P209" s="47" t="n">
        <f aca="false">SUMPRODUCT((Tc_idx&lt;=C209)*(ROUNDUP(lam_total*INDEX(Tc_P,C209,0)*O209/(3600*rho_max)-0.000000001,0)+(ROUNDUP(lam_total*INDEX(Tc_P,C209,0)*O209/(3600*rho_max)-0.000000001,0)&lt;min_sh)*(min_sh-ROUNDUP(lam_total*INDEX(Tc_P,C209,0)*O209/(3600*rho_max)-0.000000001,0))))</f>
        <v>4</v>
      </c>
      <c r="Q209" s="3" t="n">
        <f aca="false">ROUNDUP(P209-0.000000001,0)+spares</f>
        <v>6</v>
      </c>
      <c r="R209" s="45" t="n">
        <f aca="false">B209*C209*(2*H209-G209*lpl)</f>
        <v>4800</v>
      </c>
      <c r="S209" s="45" t="n">
        <f aca="false">R209*fill</f>
        <v>4080</v>
      </c>
      <c r="T209" s="45" t="n">
        <f aca="false">I209*J209</f>
        <v>3376.1</v>
      </c>
      <c r="U209" s="45" t="n">
        <f aca="false">T209*(K209+headroom)</f>
        <v>19581.38</v>
      </c>
      <c r="V209" s="45" t="n">
        <f aca="false">G209*c_lift</f>
        <v>300000</v>
      </c>
      <c r="W209" s="45" t="n">
        <f aca="false">Q209*c_shut</f>
        <v>300000</v>
      </c>
      <c r="X209" s="45" t="n">
        <f aca="false">R209*c_pos</f>
        <v>480000</v>
      </c>
      <c r="Y209" s="45" t="n">
        <f aca="false">T209*c_m2+U209*c_m3</f>
        <v>1937881.4</v>
      </c>
      <c r="Z209" s="45" t="n">
        <f aca="false">SUM(V209:Y209)</f>
        <v>3017881.4</v>
      </c>
      <c r="AA209" s="34" t="n">
        <f aca="false">B209*u_d/(H209*u_w)</f>
        <v>0.588679245283019</v>
      </c>
      <c r="AB209" s="46" t="n">
        <f aca="false">IF(G209=0,0,F209/G209)</f>
        <v>0.285813492063492</v>
      </c>
      <c r="AC209" s="46" t="n">
        <f aca="false">IF(G209&gt;1,F209/(G209-1),"n/a")</f>
        <v>0.571626984126984</v>
      </c>
      <c r="AD209" s="47" t="n">
        <f aca="false">moves_day*m_pallet*9.81*INDEX(Tc_mh,C209)/3600000</f>
        <v>5.6244</v>
      </c>
      <c r="AE209" s="3" t="n">
        <f aca="false">IF(AND(K209&lt;=H_max,H209&lt;=300,OR(lane_policy="Free (optimize N_C)",B209=sku_pal),OR(env_use="No",AND(I209&lt;=L_bldg,J209&lt;=W_bldg),AND(I209&lt;=W_bldg,J209&lt;=L_bldg))),1,0)</f>
        <v>0</v>
      </c>
      <c r="AF209" s="48" t="n">
        <f aca="false">IF(obj_mode="Total cost",Z209,IF(obj_mode="Shuttle cycle",O209,T209))</f>
        <v>3017881.4</v>
      </c>
      <c r="AG209" s="3" t="n">
        <f aca="false">IF(AE209=1,AF209*(1+A209*0.0000000001),1E+099)</f>
        <v>1E+099</v>
      </c>
      <c r="AH209" s="3" t="str">
        <f aca="false">IF(AE209=1,"",IF(K209&gt;H_max,"height",IF(AND(lane_policy&lt;&gt;"Free (optimize N_C)",B209&lt;&gt;sku_pal),"lane policy","footprint")))</f>
        <v>footprint</v>
      </c>
    </row>
    <row r="210" customFormat="false" ht="15" hidden="false" customHeight="true" outlineLevel="0" collapsed="false">
      <c r="A210" s="3" t="n">
        <v>203</v>
      </c>
      <c r="B210" s="3" t="n">
        <f aca="false">$L$3</f>
        <v>24</v>
      </c>
      <c r="C210" s="3" t="n">
        <v>3</v>
      </c>
      <c r="D210" s="46" t="n">
        <f aca="false">INDEX(Tc_pl,C210)</f>
        <v>0.529411764705882</v>
      </c>
      <c r="E210" s="47" t="n">
        <f aca="false">INDEX(Tc_S,C210)</f>
        <v>41.6349206349206</v>
      </c>
      <c r="F210" s="34" t="n">
        <f aca="false">lam_total*D210*E210/3600</f>
        <v>0.612278244631186</v>
      </c>
      <c r="G210" s="3" t="n">
        <f aca="false">IF(F210&lt;=0.000000000001,0,MAX(ROUNDUP(F210/rho_max-0.000000001,0),IF(redund="Yes",ROUNDUP(F210/rho_fail-0.000000001,0)+1,0)))</f>
        <v>2</v>
      </c>
      <c r="H210" s="3" t="n">
        <f aca="false">MAX(1,ROUNDUP((P_req/(B210*C210)+G210*lpl)/2-0.000000001,0))</f>
        <v>36</v>
      </c>
      <c r="I210" s="47" t="n">
        <f aca="false">H210*u_w</f>
        <v>36</v>
      </c>
      <c r="J210" s="47" t="n">
        <f aca="false">2*B210*u_d+aisle_w</f>
        <v>63.7</v>
      </c>
      <c r="K210" s="47" t="n">
        <f aca="false">C210*u_h</f>
        <v>6.45</v>
      </c>
      <c r="L210" s="47" t="n">
        <f aca="false">IF(G210=0,I210,I210/(2*G210))</f>
        <v>9</v>
      </c>
      <c r="M210" s="34" t="n">
        <f aca="false">((IF((lane_off+(L210))&lt;=(v_sh^2/a_sh),(4/3)*(lane_off+(L210))^1.5/SQRT(a_sh),(4/3)*(v_sh^2/a_sh)^1.5/SQRT(a_sh)+((lane_off+(L210))^2-(v_sh^2/a_sh)^2)/(2*v_sh)+(v_sh/a_sh)*((lane_off+(L210))-(v_sh^2/a_sh))))-(IF((lane_off)&lt;=(v_sh^2/a_sh),(4/3)*(lane_off)^1.5/SQRT(a_sh),(4/3)*(v_sh^2/a_sh)^1.5/SQRT(a_sh)+((lane_off)^2-(v_sh^2/a_sh)^2)/(2*v_sh)+(v_sh/a_sh)*((lane_off)-(v_sh^2/a_sh)))))/(L210)</f>
        <v>6.90055959572691</v>
      </c>
      <c r="N210" s="34" t="n">
        <f aca="false">IF(((B210-1)*u_d/2*(1+f_hc)+lane_off)&lt;=0,0,IF(((B210-1)*u_d/2*(1+f_hc)+lane_off)&gt;=v_sh^2/a_sh,((B210-1)*u_d/2*(1+f_hc)+lane_off)/v_sh+v_sh/a_sh,2*SQRT(((B210-1)*u_d/2*(1+f_hc)+lane_off)/a_sh)))</f>
        <v>16.5428571428571</v>
      </c>
      <c r="O210" s="47" t="n">
        <f aca="false">2*t_sh+2*t_turn+2*M210+2*N210</f>
        <v>104.886833477168</v>
      </c>
      <c r="P210" s="47" t="n">
        <f aca="false">SUMPRODUCT((Tc_idx&lt;=C210)*(ROUNDUP(lam_total*INDEX(Tc_P,C210,0)*O210/(3600*rho_max)-0.000000001,0)+(ROUNDUP(lam_total*INDEX(Tc_P,C210,0)*O210/(3600*rho_max)-0.000000001,0)&lt;min_sh)*(min_sh-ROUNDUP(lam_total*INDEX(Tc_P,C210,0)*O210/(3600*rho_max)-0.000000001,0))))</f>
        <v>5</v>
      </c>
      <c r="Q210" s="3" t="n">
        <f aca="false">ROUNDUP(P210-0.000000001,0)+spares</f>
        <v>7</v>
      </c>
      <c r="R210" s="45" t="n">
        <f aca="false">B210*C210*(2*H210-G210*lpl)</f>
        <v>4752</v>
      </c>
      <c r="S210" s="45" t="n">
        <f aca="false">R210*fill</f>
        <v>4039.2</v>
      </c>
      <c r="T210" s="45" t="n">
        <f aca="false">I210*J210</f>
        <v>2293.2</v>
      </c>
      <c r="U210" s="45" t="n">
        <f aca="false">T210*(K210+headroom)</f>
        <v>18230.94</v>
      </c>
      <c r="V210" s="45" t="n">
        <f aca="false">G210*c_lift</f>
        <v>300000</v>
      </c>
      <c r="W210" s="45" t="n">
        <f aca="false">Q210*c_shut</f>
        <v>350000</v>
      </c>
      <c r="X210" s="45" t="n">
        <f aca="false">R210*c_pos</f>
        <v>475200</v>
      </c>
      <c r="Y210" s="45" t="n">
        <f aca="false">T210*c_m2+U210*c_m3</f>
        <v>1464208.2</v>
      </c>
      <c r="Z210" s="45" t="n">
        <f aca="false">SUM(V210:Y210)</f>
        <v>2589408.2</v>
      </c>
      <c r="AA210" s="34" t="n">
        <f aca="false">B210*u_d/(H210*u_w)</f>
        <v>0.866666666666667</v>
      </c>
      <c r="AB210" s="46" t="n">
        <f aca="false">IF(G210=0,0,F210/G210)</f>
        <v>0.306139122315593</v>
      </c>
      <c r="AC210" s="46" t="n">
        <f aca="false">IF(G210&gt;1,F210/(G210-1),"n/a")</f>
        <v>0.612278244631186</v>
      </c>
      <c r="AD210" s="47" t="n">
        <f aca="false">moves_day*m_pallet*9.81*INDEX(Tc_mh,C210)/3600000</f>
        <v>6.61694117647059</v>
      </c>
      <c r="AE210" s="3" t="n">
        <f aca="false">IF(AND(K210&lt;=H_max,H210&lt;=300,OR(lane_policy="Free (optimize N_C)",B210=sku_pal),OR(env_use="No",AND(I210&lt;=L_bldg,J210&lt;=W_bldg),AND(I210&lt;=W_bldg,J210&lt;=L_bldg))),1,0)</f>
        <v>0</v>
      </c>
      <c r="AF210" s="48" t="n">
        <f aca="false">IF(obj_mode="Total cost",Z210,IF(obj_mode="Shuttle cycle",O210,T210))</f>
        <v>2589408.2</v>
      </c>
      <c r="AG210" s="3" t="n">
        <f aca="false">IF(AE210=1,AF210*(1+A210*0.0000000001),1E+099)</f>
        <v>1E+099</v>
      </c>
      <c r="AH210" s="3" t="str">
        <f aca="false">IF(AE210=1,"",IF(K210&gt;H_max,"height",IF(AND(lane_policy&lt;&gt;"Free (optimize N_C)",B210&lt;&gt;sku_pal),"lane policy","footprint")))</f>
        <v>footprint</v>
      </c>
    </row>
    <row r="211" customFormat="false" ht="15" hidden="false" customHeight="true" outlineLevel="0" collapsed="false">
      <c r="A211" s="3" t="n">
        <v>204</v>
      </c>
      <c r="B211" s="3" t="n">
        <f aca="false">$L$3</f>
        <v>24</v>
      </c>
      <c r="C211" s="3" t="n">
        <v>4</v>
      </c>
      <c r="D211" s="46" t="n">
        <f aca="false">INDEX(Tc_pl,C211)</f>
        <v>0.555555555555556</v>
      </c>
      <c r="E211" s="47" t="n">
        <f aca="false">INDEX(Tc_S,C211)</f>
        <v>42.4471428571429</v>
      </c>
      <c r="F211" s="34" t="n">
        <f aca="false">lam_total*D211*E211/3600</f>
        <v>0.655048500881834</v>
      </c>
      <c r="G211" s="3" t="n">
        <f aca="false">IF(F211&lt;=0.000000000001,0,MAX(ROUNDUP(F211/rho_max-0.000000001,0),IF(redund="Yes",ROUNDUP(F211/rho_fail-0.000000001,0)+1,0)))</f>
        <v>2</v>
      </c>
      <c r="H211" s="3" t="n">
        <f aca="false">MAX(1,ROUNDUP((P_req/(B211*C211)+G211*lpl)/2-0.000000001,0))</f>
        <v>28</v>
      </c>
      <c r="I211" s="47" t="n">
        <f aca="false">H211*u_w</f>
        <v>28</v>
      </c>
      <c r="J211" s="47" t="n">
        <f aca="false">2*B211*u_d+aisle_w</f>
        <v>63.7</v>
      </c>
      <c r="K211" s="47" t="n">
        <f aca="false">C211*u_h</f>
        <v>8.6</v>
      </c>
      <c r="L211" s="47" t="n">
        <f aca="false">IF(G211=0,I211,I211/(2*G211))</f>
        <v>7</v>
      </c>
      <c r="M211" s="34" t="n">
        <f aca="false">((IF((lane_off+(L211))&lt;=(v_sh^2/a_sh),(4/3)*(lane_off+(L211))^1.5/SQRT(a_sh),(4/3)*(v_sh^2/a_sh)^1.5/SQRT(a_sh)+((lane_off+(L211))^2-(v_sh^2/a_sh)^2)/(2*v_sh)+(v_sh/a_sh)*((lane_off+(L211))-(v_sh^2/a_sh))))-(IF((lane_off)&lt;=(v_sh^2/a_sh),(4/3)*(lane_off)^1.5/SQRT(a_sh),(4/3)*(v_sh^2/a_sh)^1.5/SQRT(a_sh)+((lane_off)^2-(v_sh^2/a_sh)^2)/(2*v_sh)+(v_sh/a_sh)*((lane_off)-(v_sh^2/a_sh)))))/(L211)</f>
        <v>6.17418886797542</v>
      </c>
      <c r="N211" s="34" t="n">
        <f aca="false">IF(((B211-1)*u_d/2*(1+f_hc)+lane_off)&lt;=0,0,IF(((B211-1)*u_d/2*(1+f_hc)+lane_off)&gt;=v_sh^2/a_sh,((B211-1)*u_d/2*(1+f_hc)+lane_off)/v_sh+v_sh/a_sh,2*SQRT(((B211-1)*u_d/2*(1+f_hc)+lane_off)/a_sh)))</f>
        <v>16.5428571428571</v>
      </c>
      <c r="O211" s="47" t="n">
        <f aca="false">2*t_sh+2*t_turn+2*M211+2*N211</f>
        <v>103.434092021665</v>
      </c>
      <c r="P211" s="47" t="n">
        <f aca="false">SUMPRODUCT((Tc_idx&lt;=C211)*(ROUNDUP(lam_total*INDEX(Tc_P,C211,0)*O211/(3600*rho_max)-0.000000001,0)+(ROUNDUP(lam_total*INDEX(Tc_P,C211,0)*O211/(3600*rho_max)-0.000000001,0)&lt;min_sh)*(min_sh-ROUNDUP(lam_total*INDEX(Tc_P,C211,0)*O211/(3600*rho_max)-0.000000001,0))))</f>
        <v>6</v>
      </c>
      <c r="Q211" s="3" t="n">
        <f aca="false">ROUNDUP(P211-0.000000001,0)+spares</f>
        <v>8</v>
      </c>
      <c r="R211" s="45" t="n">
        <f aca="false">B211*C211*(2*H211-G211*lpl)</f>
        <v>4800</v>
      </c>
      <c r="S211" s="45" t="n">
        <f aca="false">R211*fill</f>
        <v>4080</v>
      </c>
      <c r="T211" s="45" t="n">
        <f aca="false">I211*J211</f>
        <v>1783.6</v>
      </c>
      <c r="U211" s="45" t="n">
        <f aca="false">T211*(K211+headroom)</f>
        <v>18014.36</v>
      </c>
      <c r="V211" s="45" t="n">
        <f aca="false">G211*c_lift</f>
        <v>300000</v>
      </c>
      <c r="W211" s="45" t="n">
        <f aca="false">Q211*c_shut</f>
        <v>400000</v>
      </c>
      <c r="X211" s="45" t="n">
        <f aca="false">R211*c_pos</f>
        <v>480000</v>
      </c>
      <c r="Y211" s="45" t="n">
        <f aca="false">T211*c_m2+U211*c_m3</f>
        <v>1253870.8</v>
      </c>
      <c r="Z211" s="45" t="n">
        <f aca="false">SUM(V211:Y211)</f>
        <v>2433870.8</v>
      </c>
      <c r="AA211" s="34" t="n">
        <f aca="false">B211*u_d/(H211*u_w)</f>
        <v>1.11428571428571</v>
      </c>
      <c r="AB211" s="46" t="n">
        <f aca="false">IF(G211=0,0,F211/G211)</f>
        <v>0.327524250440917</v>
      </c>
      <c r="AC211" s="46" t="n">
        <f aca="false">IF(G211&gt;1,F211/(G211-1),"n/a")</f>
        <v>0.655048500881834</v>
      </c>
      <c r="AD211" s="47" t="n">
        <f aca="false">moves_day*m_pallet*9.81*INDEX(Tc_mh,C211)/3600000</f>
        <v>8.12413333333333</v>
      </c>
      <c r="AE211" s="3" t="n">
        <f aca="false">IF(AND(K211&lt;=H_max,H211&lt;=300,OR(lane_policy="Free (optimize N_C)",B211=sku_pal),OR(env_use="No",AND(I211&lt;=L_bldg,J211&lt;=W_bldg),AND(I211&lt;=W_bldg,J211&lt;=L_bldg))),1,0)</f>
        <v>0</v>
      </c>
      <c r="AF211" s="48" t="n">
        <f aca="false">IF(obj_mode="Total cost",Z211,IF(obj_mode="Shuttle cycle",O211,T211))</f>
        <v>2433870.8</v>
      </c>
      <c r="AG211" s="3" t="n">
        <f aca="false">IF(AE211=1,AF211*(1+A211*0.0000000001),1E+099)</f>
        <v>1E+099</v>
      </c>
      <c r="AH211" s="3" t="str">
        <f aca="false">IF(AE211=1,"",IF(K211&gt;H_max,"height",IF(AND(lane_policy&lt;&gt;"Free (optimize N_C)",B211&lt;&gt;sku_pal),"lane policy","footprint")))</f>
        <v>footprint</v>
      </c>
    </row>
    <row r="212" customFormat="false" ht="15" hidden="false" customHeight="true" outlineLevel="0" collapsed="false">
      <c r="A212" s="3" t="n">
        <v>205</v>
      </c>
      <c r="B212" s="3" t="n">
        <f aca="false">$L$3</f>
        <v>24</v>
      </c>
      <c r="C212" s="3" t="n">
        <v>5</v>
      </c>
      <c r="D212" s="46" t="n">
        <f aca="false">INDEX(Tc_pl,C212)</f>
        <v>0.578947368421053</v>
      </c>
      <c r="E212" s="47" t="n">
        <f aca="false">INDEX(Tc_S,C212)</f>
        <v>43.5025974025974</v>
      </c>
      <c r="F212" s="34" t="n">
        <f aca="false">lam_total*D212*E212/3600</f>
        <v>0.699603174603175</v>
      </c>
      <c r="G212" s="3" t="n">
        <f aca="false">IF(F212&lt;=0.000000000001,0,MAX(ROUNDUP(F212/rho_max-0.000000001,0),IF(redund="Yes",ROUNDUP(F212/rho_fail-0.000000001,0)+1,0)))</f>
        <v>2</v>
      </c>
      <c r="H212" s="3" t="n">
        <f aca="false">MAX(1,ROUNDUP((P_req/(B212*C212)+G212*lpl)/2-0.000000001,0))</f>
        <v>23</v>
      </c>
      <c r="I212" s="47" t="n">
        <f aca="false">H212*u_w</f>
        <v>23</v>
      </c>
      <c r="J212" s="47" t="n">
        <f aca="false">2*B212*u_d+aisle_w</f>
        <v>63.7</v>
      </c>
      <c r="K212" s="47" t="n">
        <f aca="false">C212*u_h</f>
        <v>10.75</v>
      </c>
      <c r="L212" s="47" t="n">
        <f aca="false">IF(G212=0,I212,I212/(2*G212))</f>
        <v>5.75</v>
      </c>
      <c r="M212" s="34" t="n">
        <f aca="false">((IF((lane_off+(L212))&lt;=(v_sh^2/a_sh),(4/3)*(lane_off+(L212))^1.5/SQRT(a_sh),(4/3)*(v_sh^2/a_sh)^1.5/SQRT(a_sh)+((lane_off+(L212))^2-(v_sh^2/a_sh)^2)/(2*v_sh)+(v_sh/a_sh)*((lane_off+(L212))-(v_sh^2/a_sh))))-(IF((lane_off)&lt;=(v_sh^2/a_sh),(4/3)*(lane_off)^1.5/SQRT(a_sh),(4/3)*(v_sh^2/a_sh)^1.5/SQRT(a_sh)+((lane_off)^2-(v_sh^2/a_sh)^2)/(2*v_sh)+(v_sh/a_sh)*((lane_off)-(v_sh^2/a_sh)))))/(L212)</f>
        <v>5.71593800076511</v>
      </c>
      <c r="N212" s="34" t="n">
        <f aca="false">IF(((B212-1)*u_d/2*(1+f_hc)+lane_off)&lt;=0,0,IF(((B212-1)*u_d/2*(1+f_hc)+lane_off)&gt;=v_sh^2/a_sh,((B212-1)*u_d/2*(1+f_hc)+lane_off)/v_sh+v_sh/a_sh,2*SQRT(((B212-1)*u_d/2*(1+f_hc)+lane_off)/a_sh)))</f>
        <v>16.5428571428571</v>
      </c>
      <c r="O212" s="47" t="n">
        <f aca="false">2*t_sh+2*t_turn+2*M212+2*N212</f>
        <v>102.517590287245</v>
      </c>
      <c r="P212" s="47" t="n">
        <f aca="false">SUMPRODUCT((Tc_idx&lt;=C212)*(ROUNDUP(lam_total*INDEX(Tc_P,C212,0)*O212/(3600*rho_max)-0.000000001,0)+(ROUNDUP(lam_total*INDEX(Tc_P,C212,0)*O212/(3600*rho_max)-0.000000001,0)&lt;min_sh)*(min_sh-ROUNDUP(lam_total*INDEX(Tc_P,C212,0)*O212/(3600*rho_max)-0.000000001,0))))</f>
        <v>7</v>
      </c>
      <c r="Q212" s="3" t="n">
        <f aca="false">ROUNDUP(P212-0.000000001,0)+spares</f>
        <v>9</v>
      </c>
      <c r="R212" s="45" t="n">
        <f aca="false">B212*C212*(2*H212-G212*lpl)</f>
        <v>4800</v>
      </c>
      <c r="S212" s="45" t="n">
        <f aca="false">R212*fill</f>
        <v>4080</v>
      </c>
      <c r="T212" s="45" t="n">
        <f aca="false">I212*J212</f>
        <v>1465.1</v>
      </c>
      <c r="U212" s="45" t="n">
        <f aca="false">T212*(K212+headroom)</f>
        <v>17947.475</v>
      </c>
      <c r="V212" s="45" t="n">
        <f aca="false">G212*c_lift</f>
        <v>300000</v>
      </c>
      <c r="W212" s="45" t="n">
        <f aca="false">Q212*c_shut</f>
        <v>450000</v>
      </c>
      <c r="X212" s="45" t="n">
        <f aca="false">R212*c_pos</f>
        <v>480000</v>
      </c>
      <c r="Y212" s="45" t="n">
        <f aca="false">T212*c_m2+U212*c_m3</f>
        <v>1124464.25</v>
      </c>
      <c r="Z212" s="45" t="n">
        <f aca="false">SUM(V212:Y212)</f>
        <v>2354464.25</v>
      </c>
      <c r="AA212" s="34" t="n">
        <f aca="false">B212*u_d/(H212*u_w)</f>
        <v>1.35652173913044</v>
      </c>
      <c r="AB212" s="46" t="n">
        <f aca="false">IF(G212=0,0,F212/G212)</f>
        <v>0.349801587301587</v>
      </c>
      <c r="AC212" s="46" t="n">
        <f aca="false">IF(G212&gt;1,F212/(G212-1),"n/a")</f>
        <v>0.699603174603175</v>
      </c>
      <c r="AD212" s="47" t="n">
        <f aca="false">moves_day*m_pallet*9.81*INDEX(Tc_mh,C212)/3600000</f>
        <v>10.0647157894737</v>
      </c>
      <c r="AE212" s="3" t="n">
        <f aca="false">IF(AND(K212&lt;=H_max,H212&lt;=300,OR(lane_policy="Free (optimize N_C)",B212=sku_pal),OR(env_use="No",AND(I212&lt;=L_bldg,J212&lt;=W_bldg),AND(I212&lt;=W_bldg,J212&lt;=L_bldg))),1,0)</f>
        <v>0</v>
      </c>
      <c r="AF212" s="48" t="n">
        <f aca="false">IF(obj_mode="Total cost",Z212,IF(obj_mode="Shuttle cycle",O212,T212))</f>
        <v>2354464.25</v>
      </c>
      <c r="AG212" s="3" t="n">
        <f aca="false">IF(AE212=1,AF212*(1+A212*0.0000000001),1E+099)</f>
        <v>1E+099</v>
      </c>
      <c r="AH212" s="3" t="str">
        <f aca="false">IF(AE212=1,"",IF(K212&gt;H_max,"height",IF(AND(lane_policy&lt;&gt;"Free (optimize N_C)",B212&lt;&gt;sku_pal),"lane policy","footprint")))</f>
        <v>footprint</v>
      </c>
    </row>
    <row r="213" customFormat="false" ht="15" hidden="false" customHeight="true" outlineLevel="0" collapsed="false">
      <c r="A213" s="3" t="n">
        <v>206</v>
      </c>
      <c r="B213" s="3" t="n">
        <f aca="false">$L$3</f>
        <v>24</v>
      </c>
      <c r="C213" s="3" t="n">
        <v>6</v>
      </c>
      <c r="D213" s="46" t="n">
        <f aca="false">INDEX(Tc_pl,C213)</f>
        <v>0.6</v>
      </c>
      <c r="E213" s="47" t="n">
        <f aca="false">INDEX(Tc_S,C213)</f>
        <v>44.7404761904762</v>
      </c>
      <c r="F213" s="34" t="n">
        <f aca="false">lam_total*D213*E213/3600</f>
        <v>0.745674603174603</v>
      </c>
      <c r="G213" s="3" t="n">
        <f aca="false">IF(F213&lt;=0.000000000001,0,MAX(ROUNDUP(F213/rho_max-0.000000001,0),IF(redund="Yes",ROUNDUP(F213/rho_fail-0.000000001,0)+1,0)))</f>
        <v>2</v>
      </c>
      <c r="H213" s="3" t="n">
        <f aca="false">MAX(1,ROUNDUP((P_req/(B213*C213)+G213*lpl)/2-0.000000001,0))</f>
        <v>20</v>
      </c>
      <c r="I213" s="47" t="n">
        <f aca="false">H213*u_w</f>
        <v>20</v>
      </c>
      <c r="J213" s="47" t="n">
        <f aca="false">2*B213*u_d+aisle_w</f>
        <v>63.7</v>
      </c>
      <c r="K213" s="47" t="n">
        <f aca="false">C213*u_h</f>
        <v>12.9</v>
      </c>
      <c r="L213" s="47" t="n">
        <f aca="false">IF(G213=0,I213,I213/(2*G213))</f>
        <v>5</v>
      </c>
      <c r="M213" s="34" t="n">
        <f aca="false">((IF((lane_off+(L213))&lt;=(v_sh^2/a_sh),(4/3)*(lane_off+(L213))^1.5/SQRT(a_sh),(4/3)*(v_sh^2/a_sh)^1.5/SQRT(a_sh)+((lane_off+(L213))^2-(v_sh^2/a_sh)^2)/(2*v_sh)+(v_sh/a_sh)*((lane_off+(L213))-(v_sh^2/a_sh))))-(IF((lane_off)&lt;=(v_sh^2/a_sh),(4/3)*(lane_off)^1.5/SQRT(a_sh),(4/3)*(v_sh^2/a_sh)^1.5/SQRT(a_sh)+((lane_off)^2-(v_sh^2/a_sh)^2)/(2*v_sh)+(v_sh/a_sh)*((lane_off)-(v_sh^2/a_sh)))))/(L213)</f>
        <v>5.4381501294513</v>
      </c>
      <c r="N213" s="34" t="n">
        <f aca="false">IF(((B213-1)*u_d/2*(1+f_hc)+lane_off)&lt;=0,0,IF(((B213-1)*u_d/2*(1+f_hc)+lane_off)&gt;=v_sh^2/a_sh,((B213-1)*u_d/2*(1+f_hc)+lane_off)/v_sh+v_sh/a_sh,2*SQRT(((B213-1)*u_d/2*(1+f_hc)+lane_off)/a_sh)))</f>
        <v>16.5428571428571</v>
      </c>
      <c r="O213" s="47" t="n">
        <f aca="false">2*t_sh+2*t_turn+2*M213+2*N213</f>
        <v>101.962014544617</v>
      </c>
      <c r="P213" s="47" t="n">
        <f aca="false">SUMPRODUCT((Tc_idx&lt;=C213)*(ROUNDUP(lam_total*INDEX(Tc_P,C213,0)*O213/(3600*rho_max)-0.000000001,0)+(ROUNDUP(lam_total*INDEX(Tc_P,C213,0)*O213/(3600*rho_max)-0.000000001,0)&lt;min_sh)*(min_sh-ROUNDUP(lam_total*INDEX(Tc_P,C213,0)*O213/(3600*rho_max)-0.000000001,0))))</f>
        <v>8</v>
      </c>
      <c r="Q213" s="3" t="n">
        <f aca="false">ROUNDUP(P213-0.000000001,0)+spares</f>
        <v>10</v>
      </c>
      <c r="R213" s="45" t="n">
        <f aca="false">B213*C213*(2*H213-G213*lpl)</f>
        <v>4896</v>
      </c>
      <c r="S213" s="45" t="n">
        <f aca="false">R213*fill</f>
        <v>4161.6</v>
      </c>
      <c r="T213" s="45" t="n">
        <f aca="false">I213*J213</f>
        <v>1274</v>
      </c>
      <c r="U213" s="45" t="n">
        <f aca="false">T213*(K213+headroom)</f>
        <v>18345.6</v>
      </c>
      <c r="V213" s="45" t="n">
        <f aca="false">G213*c_lift</f>
        <v>300000</v>
      </c>
      <c r="W213" s="45" t="n">
        <f aca="false">Q213*c_shut</f>
        <v>500000</v>
      </c>
      <c r="X213" s="45" t="n">
        <f aca="false">R213*c_pos</f>
        <v>489600</v>
      </c>
      <c r="Y213" s="45" t="n">
        <f aca="false">T213*c_m2+U213*c_m3</f>
        <v>1059968</v>
      </c>
      <c r="Z213" s="45" t="n">
        <f aca="false">SUM(V213:Y213)</f>
        <v>2349568</v>
      </c>
      <c r="AA213" s="34" t="n">
        <f aca="false">B213*u_d/(H213*u_w)</f>
        <v>1.56</v>
      </c>
      <c r="AB213" s="46" t="n">
        <f aca="false">IF(G213=0,0,F213/G213)</f>
        <v>0.372837301587302</v>
      </c>
      <c r="AC213" s="46" t="n">
        <f aca="false">IF(G213&gt;1,F213/(G213-1),"n/a")</f>
        <v>0.745674603174603</v>
      </c>
      <c r="AD213" s="47" t="n">
        <f aca="false">moves_day*m_pallet*9.81*INDEX(Tc_mh,C213)/3600000</f>
        <v>12.37368</v>
      </c>
      <c r="AE213" s="3" t="n">
        <f aca="false">IF(AND(K213&lt;=H_max,H213&lt;=300,OR(lane_policy="Free (optimize N_C)",B213=sku_pal),OR(env_use="No",AND(I213&lt;=L_bldg,J213&lt;=W_bldg),AND(I213&lt;=W_bldg,J213&lt;=L_bldg))),1,0)</f>
        <v>0</v>
      </c>
      <c r="AF213" s="48" t="n">
        <f aca="false">IF(obj_mode="Total cost",Z213,IF(obj_mode="Shuttle cycle",O213,T213))</f>
        <v>2349568</v>
      </c>
      <c r="AG213" s="3" t="n">
        <f aca="false">IF(AE213=1,AF213*(1+A213*0.0000000001),1E+099)</f>
        <v>1E+099</v>
      </c>
      <c r="AH213" s="3" t="str">
        <f aca="false">IF(AE213=1,"",IF(K213&gt;H_max,"height",IF(AND(lane_policy&lt;&gt;"Free (optimize N_C)",B213&lt;&gt;sku_pal),"lane policy","footprint")))</f>
        <v>footprint</v>
      </c>
    </row>
    <row r="214" customFormat="false" ht="15" hidden="false" customHeight="true" outlineLevel="0" collapsed="false">
      <c r="A214" s="3" t="n">
        <v>207</v>
      </c>
      <c r="B214" s="3" t="n">
        <f aca="false">$L$3</f>
        <v>24</v>
      </c>
      <c r="C214" s="3" t="n">
        <v>7</v>
      </c>
      <c r="D214" s="46" t="n">
        <f aca="false">INDEX(Tc_pl,C214)</f>
        <v>0.6</v>
      </c>
      <c r="E214" s="47" t="n">
        <f aca="false">INDEX(Tc_S,C214)</f>
        <v>44.9196428571429</v>
      </c>
      <c r="F214" s="34" t="n">
        <f aca="false">lam_total*D214*E214/3600</f>
        <v>0.748660714285714</v>
      </c>
      <c r="G214" s="3" t="n">
        <f aca="false">IF(F214&lt;=0.000000000001,0,MAX(ROUNDUP(F214/rho_max-0.000000001,0),IF(redund="Yes",ROUNDUP(F214/rho_fail-0.000000001,0)+1,0)))</f>
        <v>2</v>
      </c>
      <c r="H214" s="3" t="n">
        <f aca="false">MAX(1,ROUNDUP((P_req/(B214*C214)+G214*lpl)/2-0.000000001,0))</f>
        <v>18</v>
      </c>
      <c r="I214" s="47" t="n">
        <f aca="false">H214*u_w</f>
        <v>18</v>
      </c>
      <c r="J214" s="47" t="n">
        <f aca="false">2*B214*u_d+aisle_w</f>
        <v>63.7</v>
      </c>
      <c r="K214" s="47" t="n">
        <f aca="false">C214*u_h</f>
        <v>15.05</v>
      </c>
      <c r="L214" s="47" t="n">
        <f aca="false">IF(G214=0,I214,I214/(2*G214))</f>
        <v>4.5</v>
      </c>
      <c r="M214" s="34" t="n">
        <f aca="false">((IF((lane_off+(L214))&lt;=(v_sh^2/a_sh),(4/3)*(lane_off+(L214))^1.5/SQRT(a_sh),(4/3)*(v_sh^2/a_sh)^1.5/SQRT(a_sh)+((lane_off+(L214))^2-(v_sh^2/a_sh)^2)/(2*v_sh)+(v_sh/a_sh)*((lane_off+(L214))-(v_sh^2/a_sh))))-(IF((lane_off)&lt;=(v_sh^2/a_sh),(4/3)*(lane_off)^1.5/SQRT(a_sh),(4/3)*(v_sh^2/a_sh)^1.5/SQRT(a_sh)+((lane_off)^2-(v_sh^2/a_sh)^2)/(2*v_sh)+(v_sh/a_sh)*((lane_off)-(v_sh^2/a_sh)))))/(L214)</f>
        <v>5.25111919145383</v>
      </c>
      <c r="N214" s="34" t="n">
        <f aca="false">IF(((B214-1)*u_d/2*(1+f_hc)+lane_off)&lt;=0,0,IF(((B214-1)*u_d/2*(1+f_hc)+lane_off)&gt;=v_sh^2/a_sh,((B214-1)*u_d/2*(1+f_hc)+lane_off)/v_sh+v_sh/a_sh,2*SQRT(((B214-1)*u_d/2*(1+f_hc)+lane_off)/a_sh)))</f>
        <v>16.5428571428571</v>
      </c>
      <c r="O214" s="47" t="n">
        <f aca="false">2*t_sh+2*t_turn+2*M214+2*N214</f>
        <v>101.587952668622</v>
      </c>
      <c r="P214" s="47" t="n">
        <f aca="false">SUMPRODUCT((Tc_idx&lt;=C214)*(ROUNDUP(lam_total*INDEX(Tc_P,C214,0)*O214/(3600*rho_max)-0.000000001,0)+(ROUNDUP(lam_total*INDEX(Tc_P,C214,0)*O214/(3600*rho_max)-0.000000001,0)&lt;min_sh)*(min_sh-ROUNDUP(lam_total*INDEX(Tc_P,C214,0)*O214/(3600*rho_max)-0.000000001,0))))</f>
        <v>9</v>
      </c>
      <c r="Q214" s="3" t="n">
        <f aca="false">ROUNDUP(P214-0.000000001,0)+spares</f>
        <v>11</v>
      </c>
      <c r="R214" s="45" t="n">
        <f aca="false">B214*C214*(2*H214-G214*lpl)</f>
        <v>5040</v>
      </c>
      <c r="S214" s="45" t="n">
        <f aca="false">R214*fill</f>
        <v>4284</v>
      </c>
      <c r="T214" s="45" t="n">
        <f aca="false">I214*J214</f>
        <v>1146.6</v>
      </c>
      <c r="U214" s="45" t="n">
        <f aca="false">T214*(K214+headroom)</f>
        <v>18976.23</v>
      </c>
      <c r="V214" s="45" t="n">
        <f aca="false">G214*c_lift</f>
        <v>300000</v>
      </c>
      <c r="W214" s="45" t="n">
        <f aca="false">Q214*c_shut</f>
        <v>550000</v>
      </c>
      <c r="X214" s="45" t="n">
        <f aca="false">R214*c_pos</f>
        <v>504000</v>
      </c>
      <c r="Y214" s="45" t="n">
        <f aca="false">T214*c_m2+U214*c_m3</f>
        <v>1027926.9</v>
      </c>
      <c r="Z214" s="45" t="n">
        <f aca="false">SUM(V214:Y214)</f>
        <v>2381926.9</v>
      </c>
      <c r="AA214" s="34" t="n">
        <f aca="false">B214*u_d/(H214*u_w)</f>
        <v>1.73333333333333</v>
      </c>
      <c r="AB214" s="46" t="n">
        <f aca="false">IF(G214=0,0,F214/G214)</f>
        <v>0.374330357142857</v>
      </c>
      <c r="AC214" s="46" t="n">
        <f aca="false">IF(G214&gt;1,F214/(G214-1),"n/a")</f>
        <v>0.748660714285714</v>
      </c>
      <c r="AD214" s="47" t="n">
        <f aca="false">moves_day*m_pallet*9.81*INDEX(Tc_mh,C214)/3600000</f>
        <v>12.6549</v>
      </c>
      <c r="AE214" s="3" t="n">
        <f aca="false">IF(AND(K214&lt;=H_max,H214&lt;=300,OR(lane_policy="Free (optimize N_C)",B214=sku_pal),OR(env_use="No",AND(I214&lt;=L_bldg,J214&lt;=W_bldg),AND(I214&lt;=W_bldg,J214&lt;=L_bldg))),1,0)</f>
        <v>0</v>
      </c>
      <c r="AF214" s="48" t="n">
        <f aca="false">IF(obj_mode="Total cost",Z214,IF(obj_mode="Shuttle cycle",O214,T214))</f>
        <v>2381926.9</v>
      </c>
      <c r="AG214" s="3" t="n">
        <f aca="false">IF(AE214=1,AF214*(1+A214*0.0000000001),1E+099)</f>
        <v>1E+099</v>
      </c>
      <c r="AH214" s="3" t="str">
        <f aca="false">IF(AE214=1,"",IF(K214&gt;H_max,"height",IF(AND(lane_policy&lt;&gt;"Free (optimize N_C)",B214&lt;&gt;sku_pal),"lane policy","footprint")))</f>
        <v>footprint</v>
      </c>
    </row>
    <row r="215" customFormat="false" ht="15" hidden="false" customHeight="true" outlineLevel="0" collapsed="false">
      <c r="A215" s="3" t="n">
        <v>208</v>
      </c>
      <c r="B215" s="3" t="n">
        <f aca="false">$L$3</f>
        <v>24</v>
      </c>
      <c r="C215" s="3" t="n">
        <v>8</v>
      </c>
      <c r="D215" s="46" t="n">
        <f aca="false">INDEX(Tc_pl,C215)</f>
        <v>0.6</v>
      </c>
      <c r="E215" s="47" t="n">
        <f aca="false">INDEX(Tc_S,C215)</f>
        <v>45.0988095238095</v>
      </c>
      <c r="F215" s="34" t="n">
        <f aca="false">lam_total*D215*E215/3600</f>
        <v>0.751646825396826</v>
      </c>
      <c r="G215" s="3" t="n">
        <f aca="false">IF(F215&lt;=0.000000000001,0,MAX(ROUNDUP(F215/rho_max-0.000000001,0),IF(redund="Yes",ROUNDUP(F215/rho_fail-0.000000001,0)+1,0)))</f>
        <v>2</v>
      </c>
      <c r="H215" s="3" t="n">
        <f aca="false">MAX(1,ROUNDUP((P_req/(B215*C215)+G215*lpl)/2-0.000000001,0))</f>
        <v>16</v>
      </c>
      <c r="I215" s="47" t="n">
        <f aca="false">H215*u_w</f>
        <v>16</v>
      </c>
      <c r="J215" s="47" t="n">
        <f aca="false">2*B215*u_d+aisle_w</f>
        <v>63.7</v>
      </c>
      <c r="K215" s="47" t="n">
        <f aca="false">C215*u_h</f>
        <v>17.2</v>
      </c>
      <c r="L215" s="47" t="n">
        <f aca="false">IF(G215=0,I215,I215/(2*G215))</f>
        <v>4</v>
      </c>
      <c r="M215" s="34" t="n">
        <f aca="false">((IF((lane_off+(L215))&lt;=(v_sh^2/a_sh),(4/3)*(lane_off+(L215))^1.5/SQRT(a_sh),(4/3)*(v_sh^2/a_sh)^1.5/SQRT(a_sh)+((lane_off+(L215))^2-(v_sh^2/a_sh)^2)/(2*v_sh)+(v_sh/a_sh)*((lane_off+(L215))-(v_sh^2/a_sh))))-(IF((lane_off)&lt;=(v_sh^2/a_sh),(4/3)*(lane_off)^1.5/SQRT(a_sh),(4/3)*(v_sh^2/a_sh)^1.5/SQRT(a_sh)+((lane_off)^2-(v_sh^2/a_sh)^2)/(2*v_sh)+(v_sh/a_sh)*((lane_off)-(v_sh^2/a_sh)))))/(L215)</f>
        <v>5.06197337609984</v>
      </c>
      <c r="N215" s="34" t="n">
        <f aca="false">IF(((B215-1)*u_d/2*(1+f_hc)+lane_off)&lt;=0,0,IF(((B215-1)*u_d/2*(1+f_hc)+lane_off)&gt;=v_sh^2/a_sh,((B215-1)*u_d/2*(1+f_hc)+lane_off)/v_sh+v_sh/a_sh,2*SQRT(((B215-1)*u_d/2*(1+f_hc)+lane_off)/a_sh)))</f>
        <v>16.5428571428571</v>
      </c>
      <c r="O215" s="47" t="n">
        <f aca="false">2*t_sh+2*t_turn+2*M215+2*N215</f>
        <v>101.209661037914</v>
      </c>
      <c r="P215" s="47" t="n">
        <f aca="false">SUMPRODUCT((Tc_idx&lt;=C215)*(ROUNDUP(lam_total*INDEX(Tc_P,C215,0)*O215/(3600*rho_max)-0.000000001,0)+(ROUNDUP(lam_total*INDEX(Tc_P,C215,0)*O215/(3600*rho_max)-0.000000001,0)&lt;min_sh)*(min_sh-ROUNDUP(lam_total*INDEX(Tc_P,C215,0)*O215/(3600*rho_max)-0.000000001,0))))</f>
        <v>10</v>
      </c>
      <c r="Q215" s="3" t="n">
        <f aca="false">ROUNDUP(P215-0.000000001,0)+spares</f>
        <v>12</v>
      </c>
      <c r="R215" s="45" t="n">
        <f aca="false">B215*C215*(2*H215-G215*lpl)</f>
        <v>4992</v>
      </c>
      <c r="S215" s="45" t="n">
        <f aca="false">R215*fill</f>
        <v>4243.2</v>
      </c>
      <c r="T215" s="45" t="n">
        <f aca="false">I215*J215</f>
        <v>1019.2</v>
      </c>
      <c r="U215" s="45" t="n">
        <f aca="false">T215*(K215+headroom)</f>
        <v>19059.04</v>
      </c>
      <c r="V215" s="45" t="n">
        <f aca="false">G215*c_lift</f>
        <v>300000</v>
      </c>
      <c r="W215" s="45" t="n">
        <f aca="false">Q215*c_shut</f>
        <v>600000</v>
      </c>
      <c r="X215" s="45" t="n">
        <f aca="false">R215*c_pos</f>
        <v>499200</v>
      </c>
      <c r="Y215" s="45" t="n">
        <f aca="false">T215*c_m2+U215*c_m3</f>
        <v>979451.2</v>
      </c>
      <c r="Z215" s="45" t="n">
        <f aca="false">SUM(V215:Y215)</f>
        <v>2378651.2</v>
      </c>
      <c r="AA215" s="34" t="n">
        <f aca="false">B215*u_d/(H215*u_w)</f>
        <v>1.95</v>
      </c>
      <c r="AB215" s="46" t="n">
        <f aca="false">IF(G215=0,0,F215/G215)</f>
        <v>0.375823412698413</v>
      </c>
      <c r="AC215" s="46" t="n">
        <f aca="false">IF(G215&gt;1,F215/(G215-1),"n/a")</f>
        <v>0.751646825396826</v>
      </c>
      <c r="AD215" s="47" t="n">
        <f aca="false">moves_day*m_pallet*9.81*INDEX(Tc_mh,C215)/3600000</f>
        <v>12.93612</v>
      </c>
      <c r="AE215" s="3" t="n">
        <f aca="false">IF(AND(K215&lt;=H_max,H215&lt;=300,OR(lane_policy="Free (optimize N_C)",B215=sku_pal),OR(env_use="No",AND(I215&lt;=L_bldg,J215&lt;=W_bldg),AND(I215&lt;=W_bldg,J215&lt;=L_bldg))),1,0)</f>
        <v>0</v>
      </c>
      <c r="AF215" s="48" t="n">
        <f aca="false">IF(obj_mode="Total cost",Z215,IF(obj_mode="Shuttle cycle",O215,T215))</f>
        <v>2378651.2</v>
      </c>
      <c r="AG215" s="3" t="n">
        <f aca="false">IF(AE215=1,AF215*(1+A215*0.0000000001),1E+099)</f>
        <v>1E+099</v>
      </c>
      <c r="AH215" s="3" t="str">
        <f aca="false">IF(AE215=1,"",IF(K215&gt;H_max,"height",IF(AND(lane_policy&lt;&gt;"Free (optimize N_C)",B215&lt;&gt;sku_pal),"lane policy","footprint")))</f>
        <v>footprint</v>
      </c>
    </row>
    <row r="216" customFormat="false" ht="15" hidden="false" customHeight="true" outlineLevel="0" collapsed="false">
      <c r="A216" s="3" t="n">
        <v>209</v>
      </c>
      <c r="B216" s="3" t="n">
        <f aca="false">$L$3</f>
        <v>24</v>
      </c>
      <c r="C216" s="3" t="n">
        <v>9</v>
      </c>
      <c r="D216" s="46" t="n">
        <f aca="false">INDEX(Tc_pl,C216)</f>
        <v>0.6</v>
      </c>
      <c r="E216" s="47" t="n">
        <f aca="false">INDEX(Tc_S,C216)</f>
        <v>45.2779761904762</v>
      </c>
      <c r="F216" s="34" t="n">
        <f aca="false">lam_total*D216*E216/3600</f>
        <v>0.754632936507936</v>
      </c>
      <c r="G216" s="3" t="n">
        <f aca="false">IF(F216&lt;=0.000000000001,0,MAX(ROUNDUP(F216/rho_max-0.000000001,0),IF(redund="Yes",ROUNDUP(F216/rho_fail-0.000000001,0)+1,0)))</f>
        <v>2</v>
      </c>
      <c r="H216" s="3" t="n">
        <f aca="false">MAX(1,ROUNDUP((P_req/(B216*C216)+G216*lpl)/2-0.000000001,0))</f>
        <v>14</v>
      </c>
      <c r="I216" s="47" t="n">
        <f aca="false">H216*u_w</f>
        <v>14</v>
      </c>
      <c r="J216" s="47" t="n">
        <f aca="false">2*B216*u_d+aisle_w</f>
        <v>63.7</v>
      </c>
      <c r="K216" s="47" t="n">
        <f aca="false">C216*u_h</f>
        <v>19.35</v>
      </c>
      <c r="L216" s="47" t="n">
        <f aca="false">IF(G216=0,I216,I216/(2*G216))</f>
        <v>3.5</v>
      </c>
      <c r="M216" s="34" t="n">
        <f aca="false">((IF((lane_off+(L216))&lt;=(v_sh^2/a_sh),(4/3)*(lane_off+(L216))^1.5/SQRT(a_sh),(4/3)*(v_sh^2/a_sh)^1.5/SQRT(a_sh)+((lane_off+(L216))^2-(v_sh^2/a_sh)^2)/(2*v_sh)+(v_sh/a_sh)*((lane_off+(L216))-(v_sh^2/a_sh))))-(IF((lane_off)&lt;=(v_sh^2/a_sh),(4/3)*(lane_off)^1.5/SQRT(a_sh),(4/3)*(v_sh^2/a_sh)^1.5/SQRT(a_sh)+((lane_off)^2-(v_sh^2/a_sh)^2)/(2*v_sh)+(v_sh/a_sh)*((lane_off)-(v_sh^2/a_sh)))))/(L216)</f>
        <v>4.86980630737941</v>
      </c>
      <c r="N216" s="34" t="n">
        <f aca="false">IF(((B216-1)*u_d/2*(1+f_hc)+lane_off)&lt;=0,0,IF(((B216-1)*u_d/2*(1+f_hc)+lane_off)&gt;=v_sh^2/a_sh,((B216-1)*u_d/2*(1+f_hc)+lane_off)/v_sh+v_sh/a_sh,2*SQRT(((B216-1)*u_d/2*(1+f_hc)+lane_off)/a_sh)))</f>
        <v>16.5428571428571</v>
      </c>
      <c r="O216" s="47" t="n">
        <f aca="false">2*t_sh+2*t_turn+2*M216+2*N216</f>
        <v>100.825326900473</v>
      </c>
      <c r="P216" s="47" t="n">
        <f aca="false">SUMPRODUCT((Tc_idx&lt;=C216)*(ROUNDUP(lam_total*INDEX(Tc_P,C216,0)*O216/(3600*rho_max)-0.000000001,0)+(ROUNDUP(lam_total*INDEX(Tc_P,C216,0)*O216/(3600*rho_max)-0.000000001,0)&lt;min_sh)*(min_sh-ROUNDUP(lam_total*INDEX(Tc_P,C216,0)*O216/(3600*rho_max)-0.000000001,0))))</f>
        <v>11</v>
      </c>
      <c r="Q216" s="3" t="n">
        <f aca="false">ROUNDUP(P216-0.000000001,0)+spares</f>
        <v>13</v>
      </c>
      <c r="R216" s="45" t="n">
        <f aca="false">B216*C216*(2*H216-G216*lpl)</f>
        <v>4752</v>
      </c>
      <c r="S216" s="45" t="n">
        <f aca="false">R216*fill</f>
        <v>4039.2</v>
      </c>
      <c r="T216" s="45" t="n">
        <f aca="false">I216*J216</f>
        <v>891.8</v>
      </c>
      <c r="U216" s="45" t="n">
        <f aca="false">T216*(K216+headroom)</f>
        <v>18594.03</v>
      </c>
      <c r="V216" s="45" t="n">
        <f aca="false">G216*c_lift</f>
        <v>300000</v>
      </c>
      <c r="W216" s="45" t="n">
        <f aca="false">Q216*c_shut</f>
        <v>650000</v>
      </c>
      <c r="X216" s="45" t="n">
        <f aca="false">R216*c_pos</f>
        <v>475200</v>
      </c>
      <c r="Y216" s="45" t="n">
        <f aca="false">T216*c_m2+U216*c_m3</f>
        <v>914540.9</v>
      </c>
      <c r="Z216" s="45" t="n">
        <f aca="false">SUM(V216:Y216)</f>
        <v>2339740.9</v>
      </c>
      <c r="AA216" s="34" t="n">
        <f aca="false">B216*u_d/(H216*u_w)</f>
        <v>2.22857142857143</v>
      </c>
      <c r="AB216" s="46" t="n">
        <f aca="false">IF(G216=0,0,F216/G216)</f>
        <v>0.377316468253968</v>
      </c>
      <c r="AC216" s="46" t="n">
        <f aca="false">IF(G216&gt;1,F216/(G216-1),"n/a")</f>
        <v>0.754632936507936</v>
      </c>
      <c r="AD216" s="47" t="n">
        <f aca="false">moves_day*m_pallet*9.81*INDEX(Tc_mh,C216)/3600000</f>
        <v>13.21734</v>
      </c>
      <c r="AE216" s="3" t="n">
        <f aca="false">IF(AND(K216&lt;=H_max,H216&lt;=300,OR(lane_policy="Free (optimize N_C)",B216=sku_pal),OR(env_use="No",AND(I216&lt;=L_bldg,J216&lt;=W_bldg),AND(I216&lt;=W_bldg,J216&lt;=L_bldg))),1,0)</f>
        <v>0</v>
      </c>
      <c r="AF216" s="48" t="n">
        <f aca="false">IF(obj_mode="Total cost",Z216,IF(obj_mode="Shuttle cycle",O216,T216))</f>
        <v>2339740.9</v>
      </c>
      <c r="AG216" s="3" t="n">
        <f aca="false">IF(AE216=1,AF216*(1+A216*0.0000000001),1E+099)</f>
        <v>1E+099</v>
      </c>
      <c r="AH216" s="3" t="str">
        <f aca="false">IF(AE216=1,"",IF(K216&gt;H_max,"height",IF(AND(lane_policy&lt;&gt;"Free (optimize N_C)",B216&lt;&gt;sku_pal),"lane policy","footprint")))</f>
        <v>footprint</v>
      </c>
    </row>
    <row r="217" customFormat="false" ht="15" hidden="false" customHeight="true" outlineLevel="0" collapsed="false">
      <c r="A217" s="3" t="n">
        <v>210</v>
      </c>
      <c r="B217" s="3" t="n">
        <f aca="false">$L$3</f>
        <v>24</v>
      </c>
      <c r="C217" s="3" t="n">
        <v>10</v>
      </c>
      <c r="D217" s="46" t="n">
        <f aca="false">INDEX(Tc_pl,C217)</f>
        <v>0.6</v>
      </c>
      <c r="E217" s="47" t="n">
        <f aca="false">INDEX(Tc_S,C217)</f>
        <v>45.4571428571429</v>
      </c>
      <c r="F217" s="34" t="n">
        <f aca="false">lam_total*D217*E217/3600</f>
        <v>0.757619047619048</v>
      </c>
      <c r="G217" s="3" t="n">
        <f aca="false">IF(F217&lt;=0.000000000001,0,MAX(ROUNDUP(F217/rho_max-0.000000001,0),IF(redund="Yes",ROUNDUP(F217/rho_fail-0.000000001,0)+1,0)))</f>
        <v>2</v>
      </c>
      <c r="H217" s="3" t="n">
        <f aca="false">MAX(1,ROUNDUP((P_req/(B217*C217)+G217*lpl)/2-0.000000001,0))</f>
        <v>13</v>
      </c>
      <c r="I217" s="47" t="n">
        <f aca="false">H217*u_w</f>
        <v>13</v>
      </c>
      <c r="J217" s="47" t="n">
        <f aca="false">2*B217*u_d+aisle_w</f>
        <v>63.7</v>
      </c>
      <c r="K217" s="47" t="n">
        <f aca="false">C217*u_h</f>
        <v>21.5</v>
      </c>
      <c r="L217" s="47" t="n">
        <f aca="false">IF(G217=0,I217,I217/(2*G217))</f>
        <v>3.25</v>
      </c>
      <c r="M217" s="34" t="n">
        <f aca="false">((IF((lane_off+(L217))&lt;=(v_sh^2/a_sh),(4/3)*(lane_off+(L217))^1.5/SQRT(a_sh),(4/3)*(v_sh^2/a_sh)^1.5/SQRT(a_sh)+((lane_off+(L217))^2-(v_sh^2/a_sh)^2)/(2*v_sh)+(v_sh/a_sh)*((lane_off+(L217))-(v_sh^2/a_sh))))-(IF((lane_off)&lt;=(v_sh^2/a_sh),(4/3)*(lane_off)^1.5/SQRT(a_sh),(4/3)*(v_sh^2/a_sh)^1.5/SQRT(a_sh)+((lane_off)^2-(v_sh^2/a_sh)^2)/(2*v_sh)+(v_sh/a_sh)*((lane_off)-(v_sh^2/a_sh)))))/(L217)</f>
        <v>4.77215404530969</v>
      </c>
      <c r="N217" s="34" t="n">
        <f aca="false">IF(((B217-1)*u_d/2*(1+f_hc)+lane_off)&lt;=0,0,IF(((B217-1)*u_d/2*(1+f_hc)+lane_off)&gt;=v_sh^2/a_sh,((B217-1)*u_d/2*(1+f_hc)+lane_off)/v_sh+v_sh/a_sh,2*SQRT(((B217-1)*u_d/2*(1+f_hc)+lane_off)/a_sh)))</f>
        <v>16.5428571428571</v>
      </c>
      <c r="O217" s="47" t="n">
        <f aca="false">2*t_sh+2*t_turn+2*M217+2*N217</f>
        <v>100.630022376334</v>
      </c>
      <c r="P217" s="47" t="n">
        <f aca="false">SUMPRODUCT((Tc_idx&lt;=C217)*(ROUNDUP(lam_total*INDEX(Tc_P,C217,0)*O217/(3600*rho_max)-0.000000001,0)+(ROUNDUP(lam_total*INDEX(Tc_P,C217,0)*O217/(3600*rho_max)-0.000000001,0)&lt;min_sh)*(min_sh-ROUNDUP(lam_total*INDEX(Tc_P,C217,0)*O217/(3600*rho_max)-0.000000001,0))))</f>
        <v>12</v>
      </c>
      <c r="Q217" s="3" t="n">
        <f aca="false">ROUNDUP(P217-0.000000001,0)+spares</f>
        <v>14</v>
      </c>
      <c r="R217" s="45" t="n">
        <f aca="false">B217*C217*(2*H217-G217*lpl)</f>
        <v>4800</v>
      </c>
      <c r="S217" s="45" t="n">
        <f aca="false">R217*fill</f>
        <v>4080</v>
      </c>
      <c r="T217" s="45" t="n">
        <f aca="false">I217*J217</f>
        <v>828.1</v>
      </c>
      <c r="U217" s="45" t="n">
        <f aca="false">T217*(K217+headroom)</f>
        <v>19046.3</v>
      </c>
      <c r="V217" s="45" t="n">
        <f aca="false">G217*c_lift</f>
        <v>300000</v>
      </c>
      <c r="W217" s="45" t="n">
        <f aca="false">Q217*c_shut</f>
        <v>700000</v>
      </c>
      <c r="X217" s="45" t="n">
        <f aca="false">R217*c_pos</f>
        <v>480000</v>
      </c>
      <c r="Y217" s="45" t="n">
        <f aca="false">T217*c_m2+U217*c_m3</f>
        <v>902629</v>
      </c>
      <c r="Z217" s="45" t="n">
        <f aca="false">SUM(V217:Y217)</f>
        <v>2382629</v>
      </c>
      <c r="AA217" s="34" t="n">
        <f aca="false">B217*u_d/(H217*u_w)</f>
        <v>2.4</v>
      </c>
      <c r="AB217" s="46" t="n">
        <f aca="false">IF(G217=0,0,F217/G217)</f>
        <v>0.378809523809524</v>
      </c>
      <c r="AC217" s="46" t="n">
        <f aca="false">IF(G217&gt;1,F217/(G217-1),"n/a")</f>
        <v>0.757619047619048</v>
      </c>
      <c r="AD217" s="47" t="n">
        <f aca="false">moves_day*m_pallet*9.81*INDEX(Tc_mh,C217)/3600000</f>
        <v>13.49856</v>
      </c>
      <c r="AE217" s="3" t="n">
        <f aca="false">IF(AND(K217&lt;=H_max,H217&lt;=300,OR(lane_policy="Free (optimize N_C)",B217=sku_pal),OR(env_use="No",AND(I217&lt;=L_bldg,J217&lt;=W_bldg),AND(I217&lt;=W_bldg,J217&lt;=L_bldg))),1,0)</f>
        <v>0</v>
      </c>
      <c r="AF217" s="48" t="n">
        <f aca="false">IF(obj_mode="Total cost",Z217,IF(obj_mode="Shuttle cycle",O217,T217))</f>
        <v>2382629</v>
      </c>
      <c r="AG217" s="3" t="n">
        <f aca="false">IF(AE217=1,AF217*(1+A217*0.0000000001),1E+099)</f>
        <v>1E+099</v>
      </c>
      <c r="AH217" s="3" t="str">
        <f aca="false">IF(AE217=1,"",IF(K217&gt;H_max,"height",IF(AND(lane_policy&lt;&gt;"Free (optimize N_C)",B217&lt;&gt;sku_pal),"lane policy","footprint")))</f>
        <v>height</v>
      </c>
    </row>
    <row r="218" customFormat="false" ht="15" hidden="false" customHeight="true" outlineLevel="0" collapsed="false">
      <c r="A218" s="3" t="n">
        <v>211</v>
      </c>
      <c r="B218" s="3" t="n">
        <f aca="false">$L$3</f>
        <v>24</v>
      </c>
      <c r="C218" s="3" t="n">
        <v>11</v>
      </c>
      <c r="D218" s="46" t="n">
        <f aca="false">INDEX(Tc_pl,C218)</f>
        <v>0.6</v>
      </c>
      <c r="E218" s="47" t="n">
        <f aca="false">INDEX(Tc_S,C218)</f>
        <v>45.6363095238095</v>
      </c>
      <c r="F218" s="34" t="n">
        <f aca="false">lam_total*D218*E218/3600</f>
        <v>0.760605158730159</v>
      </c>
      <c r="G218" s="3" t="n">
        <f aca="false">IF(F218&lt;=0.000000000001,0,MAX(ROUNDUP(F218/rho_max-0.000000001,0),IF(redund="Yes",ROUNDUP(F218/rho_fail-0.000000001,0)+1,0)))</f>
        <v>2</v>
      </c>
      <c r="H218" s="3" t="n">
        <f aca="false">MAX(1,ROUNDUP((P_req/(B218*C218)+G218*lpl)/2-0.000000001,0))</f>
        <v>12</v>
      </c>
      <c r="I218" s="47" t="n">
        <f aca="false">H218*u_w</f>
        <v>12</v>
      </c>
      <c r="J218" s="47" t="n">
        <f aca="false">2*B218*u_d+aisle_w</f>
        <v>63.7</v>
      </c>
      <c r="K218" s="47" t="n">
        <f aca="false">C218*u_h</f>
        <v>23.65</v>
      </c>
      <c r="L218" s="47" t="n">
        <f aca="false">IF(G218=0,I218,I218/(2*G218))</f>
        <v>3</v>
      </c>
      <c r="M218" s="34" t="n">
        <f aca="false">((IF((lane_off+(L218))&lt;=(v_sh^2/a_sh),(4/3)*(lane_off+(L218))^1.5/SQRT(a_sh),(4/3)*(v_sh^2/a_sh)^1.5/SQRT(a_sh)+((lane_off+(L218))^2-(v_sh^2/a_sh)^2)/(2*v_sh)+(v_sh/a_sh)*((lane_off+(L218))-(v_sh^2/a_sh))))-(IF((lane_off)&lt;=(v_sh^2/a_sh),(4/3)*(lane_off)^1.5/SQRT(a_sh),(4/3)*(v_sh^2/a_sh)^1.5/SQRT(a_sh)+((lane_off)^2-(v_sh^2/a_sh)^2)/(2*v_sh)+(v_sh/a_sh)*((lane_off)-(v_sh^2/a_sh)))))/(L218)</f>
        <v>4.67310735860931</v>
      </c>
      <c r="N218" s="34" t="n">
        <f aca="false">IF(((B218-1)*u_d/2*(1+f_hc)+lane_off)&lt;=0,0,IF(((B218-1)*u_d/2*(1+f_hc)+lane_off)&gt;=v_sh^2/a_sh,((B218-1)*u_d/2*(1+f_hc)+lane_off)/v_sh+v_sh/a_sh,2*SQRT(((B218-1)*u_d/2*(1+f_hc)+lane_off)/a_sh)))</f>
        <v>16.5428571428571</v>
      </c>
      <c r="O218" s="47" t="n">
        <f aca="false">2*t_sh+2*t_turn+2*M218+2*N218</f>
        <v>100.431929002933</v>
      </c>
      <c r="P218" s="47" t="n">
        <f aca="false">SUMPRODUCT((Tc_idx&lt;=C218)*(ROUNDUP(lam_total*INDEX(Tc_P,C218,0)*O218/(3600*rho_max)-0.000000001,0)+(ROUNDUP(lam_total*INDEX(Tc_P,C218,0)*O218/(3600*rho_max)-0.000000001,0)&lt;min_sh)*(min_sh-ROUNDUP(lam_total*INDEX(Tc_P,C218,0)*O218/(3600*rho_max)-0.000000001,0))))</f>
        <v>13</v>
      </c>
      <c r="Q218" s="3" t="n">
        <f aca="false">ROUNDUP(P218-0.000000001,0)+spares</f>
        <v>15</v>
      </c>
      <c r="R218" s="45" t="n">
        <f aca="false">B218*C218*(2*H218-G218*lpl)</f>
        <v>4752</v>
      </c>
      <c r="S218" s="45" t="n">
        <f aca="false">R218*fill</f>
        <v>4039.2</v>
      </c>
      <c r="T218" s="45" t="n">
        <f aca="false">I218*J218</f>
        <v>764.4</v>
      </c>
      <c r="U218" s="45" t="n">
        <f aca="false">T218*(K218+headroom)</f>
        <v>19224.66</v>
      </c>
      <c r="V218" s="45" t="n">
        <f aca="false">G218*c_lift</f>
        <v>300000</v>
      </c>
      <c r="W218" s="45" t="n">
        <f aca="false">Q218*c_shut</f>
        <v>750000</v>
      </c>
      <c r="X218" s="45" t="n">
        <f aca="false">R218*c_pos</f>
        <v>475200</v>
      </c>
      <c r="Y218" s="45" t="n">
        <f aca="false">T218*c_m2+U218*c_m3</f>
        <v>882499.8</v>
      </c>
      <c r="Z218" s="45" t="n">
        <f aca="false">SUM(V218:Y218)</f>
        <v>2407699.8</v>
      </c>
      <c r="AA218" s="34" t="n">
        <f aca="false">B218*u_d/(H218*u_w)</f>
        <v>2.6</v>
      </c>
      <c r="AB218" s="46" t="n">
        <f aca="false">IF(G218=0,0,F218/G218)</f>
        <v>0.380302579365079</v>
      </c>
      <c r="AC218" s="46" t="n">
        <f aca="false">IF(G218&gt;1,F218/(G218-1),"n/a")</f>
        <v>0.760605158730159</v>
      </c>
      <c r="AD218" s="47" t="n">
        <f aca="false">moves_day*m_pallet*9.81*INDEX(Tc_mh,C218)/3600000</f>
        <v>13.77978</v>
      </c>
      <c r="AE218" s="3" t="n">
        <f aca="false">IF(AND(K218&lt;=H_max,H218&lt;=300,OR(lane_policy="Free (optimize N_C)",B218=sku_pal),OR(env_use="No",AND(I218&lt;=L_bldg,J218&lt;=W_bldg),AND(I218&lt;=W_bldg,J218&lt;=L_bldg))),1,0)</f>
        <v>0</v>
      </c>
      <c r="AF218" s="48" t="n">
        <f aca="false">IF(obj_mode="Total cost",Z218,IF(obj_mode="Shuttle cycle",O218,T218))</f>
        <v>2407699.8</v>
      </c>
      <c r="AG218" s="3" t="n">
        <f aca="false">IF(AE218=1,AF218*(1+A218*0.0000000001),1E+099)</f>
        <v>1E+099</v>
      </c>
      <c r="AH218" s="3" t="str">
        <f aca="false">IF(AE218=1,"",IF(K218&gt;H_max,"height",IF(AND(lane_policy&lt;&gt;"Free (optimize N_C)",B218&lt;&gt;sku_pal),"lane policy","footprint")))</f>
        <v>height</v>
      </c>
    </row>
    <row r="219" customFormat="false" ht="15" hidden="false" customHeight="true" outlineLevel="0" collapsed="false">
      <c r="A219" s="3" t="n">
        <v>212</v>
      </c>
      <c r="B219" s="3" t="n">
        <f aca="false">$L$3</f>
        <v>24</v>
      </c>
      <c r="C219" s="3" t="n">
        <v>12</v>
      </c>
      <c r="D219" s="46" t="n">
        <f aca="false">INDEX(Tc_pl,C219)</f>
        <v>0.6</v>
      </c>
      <c r="E219" s="47" t="n">
        <f aca="false">INDEX(Tc_S,C219)</f>
        <v>45.8154761904762</v>
      </c>
      <c r="F219" s="34" t="n">
        <f aca="false">lam_total*D219*E219/3600</f>
        <v>0.76359126984127</v>
      </c>
      <c r="G219" s="3" t="n">
        <f aca="false">IF(F219&lt;=0.000000000001,0,MAX(ROUNDUP(F219/rho_max-0.000000001,0),IF(redund="Yes",ROUNDUP(F219/rho_fail-0.000000001,0)+1,0)))</f>
        <v>2</v>
      </c>
      <c r="H219" s="3" t="n">
        <f aca="false">MAX(1,ROUNDUP((P_req/(B219*C219)+G219*lpl)/2-0.000000001,0))</f>
        <v>12</v>
      </c>
      <c r="I219" s="47" t="n">
        <f aca="false">H219*u_w</f>
        <v>12</v>
      </c>
      <c r="J219" s="47" t="n">
        <f aca="false">2*B219*u_d+aisle_w</f>
        <v>63.7</v>
      </c>
      <c r="K219" s="47" t="n">
        <f aca="false">C219*u_h</f>
        <v>25.8</v>
      </c>
      <c r="L219" s="47" t="n">
        <f aca="false">IF(G219=0,I219,I219/(2*G219))</f>
        <v>3</v>
      </c>
      <c r="M219" s="34" t="n">
        <f aca="false">((IF((lane_off+(L219))&lt;=(v_sh^2/a_sh),(4/3)*(lane_off+(L219))^1.5/SQRT(a_sh),(4/3)*(v_sh^2/a_sh)^1.5/SQRT(a_sh)+((lane_off+(L219))^2-(v_sh^2/a_sh)^2)/(2*v_sh)+(v_sh/a_sh)*((lane_off+(L219))-(v_sh^2/a_sh))))-(IF((lane_off)&lt;=(v_sh^2/a_sh),(4/3)*(lane_off)^1.5/SQRT(a_sh),(4/3)*(v_sh^2/a_sh)^1.5/SQRT(a_sh)+((lane_off)^2-(v_sh^2/a_sh)^2)/(2*v_sh)+(v_sh/a_sh)*((lane_off)-(v_sh^2/a_sh)))))/(L219)</f>
        <v>4.67310735860931</v>
      </c>
      <c r="N219" s="34" t="n">
        <f aca="false">IF(((B219-1)*u_d/2*(1+f_hc)+lane_off)&lt;=0,0,IF(((B219-1)*u_d/2*(1+f_hc)+lane_off)&gt;=v_sh^2/a_sh,((B219-1)*u_d/2*(1+f_hc)+lane_off)/v_sh+v_sh/a_sh,2*SQRT(((B219-1)*u_d/2*(1+f_hc)+lane_off)/a_sh)))</f>
        <v>16.5428571428571</v>
      </c>
      <c r="O219" s="47" t="n">
        <f aca="false">2*t_sh+2*t_turn+2*M219+2*N219</f>
        <v>100.431929002933</v>
      </c>
      <c r="P219" s="47" t="n">
        <f aca="false">SUMPRODUCT((Tc_idx&lt;=C219)*(ROUNDUP(lam_total*INDEX(Tc_P,C219,0)*O219/(3600*rho_max)-0.000000001,0)+(ROUNDUP(lam_total*INDEX(Tc_P,C219,0)*O219/(3600*rho_max)-0.000000001,0)&lt;min_sh)*(min_sh-ROUNDUP(lam_total*INDEX(Tc_P,C219,0)*O219/(3600*rho_max)-0.000000001,0))))</f>
        <v>14</v>
      </c>
      <c r="Q219" s="3" t="n">
        <f aca="false">ROUNDUP(P219-0.000000001,0)+spares</f>
        <v>16</v>
      </c>
      <c r="R219" s="45" t="n">
        <f aca="false">B219*C219*(2*H219-G219*lpl)</f>
        <v>5184</v>
      </c>
      <c r="S219" s="45" t="n">
        <f aca="false">R219*fill</f>
        <v>4406.4</v>
      </c>
      <c r="T219" s="45" t="n">
        <f aca="false">I219*J219</f>
        <v>764.4</v>
      </c>
      <c r="U219" s="45" t="n">
        <f aca="false">T219*(K219+headroom)</f>
        <v>20868.12</v>
      </c>
      <c r="V219" s="45" t="n">
        <f aca="false">G219*c_lift</f>
        <v>300000</v>
      </c>
      <c r="W219" s="45" t="n">
        <f aca="false">Q219*c_shut</f>
        <v>800000</v>
      </c>
      <c r="X219" s="45" t="n">
        <f aca="false">R219*c_pos</f>
        <v>518400</v>
      </c>
      <c r="Y219" s="45" t="n">
        <f aca="false">T219*c_m2+U219*c_m3</f>
        <v>931803.6</v>
      </c>
      <c r="Z219" s="45" t="n">
        <f aca="false">SUM(V219:Y219)</f>
        <v>2550203.6</v>
      </c>
      <c r="AA219" s="34" t="n">
        <f aca="false">B219*u_d/(H219*u_w)</f>
        <v>2.6</v>
      </c>
      <c r="AB219" s="46" t="n">
        <f aca="false">IF(G219=0,0,F219/G219)</f>
        <v>0.381795634920635</v>
      </c>
      <c r="AC219" s="46" t="n">
        <f aca="false">IF(G219&gt;1,F219/(G219-1),"n/a")</f>
        <v>0.76359126984127</v>
      </c>
      <c r="AD219" s="47" t="n">
        <f aca="false">moves_day*m_pallet*9.81*INDEX(Tc_mh,C219)/3600000</f>
        <v>14.061</v>
      </c>
      <c r="AE219" s="3" t="n">
        <f aca="false">IF(AND(K219&lt;=H_max,H219&lt;=300,OR(lane_policy="Free (optimize N_C)",B219=sku_pal),OR(env_use="No",AND(I219&lt;=L_bldg,J219&lt;=W_bldg),AND(I219&lt;=W_bldg,J219&lt;=L_bldg))),1,0)</f>
        <v>0</v>
      </c>
      <c r="AF219" s="48" t="n">
        <f aca="false">IF(obj_mode="Total cost",Z219,IF(obj_mode="Shuttle cycle",O219,T219))</f>
        <v>2550203.6</v>
      </c>
      <c r="AG219" s="3" t="n">
        <f aca="false">IF(AE219=1,AF219*(1+A219*0.0000000001),1E+099)</f>
        <v>1E+099</v>
      </c>
      <c r="AH219" s="3" t="str">
        <f aca="false">IF(AE219=1,"",IF(K219&gt;H_max,"height",IF(AND(lane_policy&lt;&gt;"Free (optimize N_C)",B219&lt;&gt;sku_pal),"lane policy","footprint")))</f>
        <v>height</v>
      </c>
    </row>
    <row r="220" customFormat="false" ht="15" hidden="false" customHeight="true" outlineLevel="0" collapsed="false">
      <c r="A220" s="3" t="n">
        <v>213</v>
      </c>
      <c r="B220" s="3" t="n">
        <f aca="false">$L$3</f>
        <v>24</v>
      </c>
      <c r="C220" s="3" t="n">
        <v>13</v>
      </c>
      <c r="D220" s="46" t="n">
        <f aca="false">INDEX(Tc_pl,C220)</f>
        <v>0.6</v>
      </c>
      <c r="E220" s="47" t="n">
        <f aca="false">INDEX(Tc_S,C220)</f>
        <v>45.9946428571429</v>
      </c>
      <c r="F220" s="34" t="n">
        <f aca="false">lam_total*D220*E220/3600</f>
        <v>0.766577380952381</v>
      </c>
      <c r="G220" s="3" t="n">
        <f aca="false">IF(F220&lt;=0.000000000001,0,MAX(ROUNDUP(F220/rho_max-0.000000001,0),IF(redund="Yes",ROUNDUP(F220/rho_fail-0.000000001,0)+1,0)))</f>
        <v>2</v>
      </c>
      <c r="H220" s="3" t="n">
        <f aca="false">MAX(1,ROUNDUP((P_req/(B220*C220)+G220*lpl)/2-0.000000001,0))</f>
        <v>11</v>
      </c>
      <c r="I220" s="47" t="n">
        <f aca="false">H220*u_w</f>
        <v>11</v>
      </c>
      <c r="J220" s="47" t="n">
        <f aca="false">2*B220*u_d+aisle_w</f>
        <v>63.7</v>
      </c>
      <c r="K220" s="47" t="n">
        <f aca="false">C220*u_h</f>
        <v>27.95</v>
      </c>
      <c r="L220" s="47" t="n">
        <f aca="false">IF(G220=0,I220,I220/(2*G220))</f>
        <v>2.75</v>
      </c>
      <c r="M220" s="34" t="n">
        <f aca="false">((IF((lane_off+(L220))&lt;=(v_sh^2/a_sh),(4/3)*(lane_off+(L220))^1.5/SQRT(a_sh),(4/3)*(v_sh^2/a_sh)^1.5/SQRT(a_sh)+((lane_off+(L220))^2-(v_sh^2/a_sh)^2)/(2*v_sh)+(v_sh/a_sh)*((lane_off+(L220))-(v_sh^2/a_sh))))-(IF((lane_off)&lt;=(v_sh^2/a_sh),(4/3)*(lane_off)^1.5/SQRT(a_sh),(4/3)*(v_sh^2/a_sh)^1.5/SQRT(a_sh)+((lane_off)^2-(v_sh^2/a_sh)^2)/(2*v_sh)+(v_sh/a_sh)*((lane_off)-(v_sh^2/a_sh)))))/(L220)</f>
        <v>4.57228594965171</v>
      </c>
      <c r="N220" s="34" t="n">
        <f aca="false">IF(((B220-1)*u_d/2*(1+f_hc)+lane_off)&lt;=0,0,IF(((B220-1)*u_d/2*(1+f_hc)+lane_off)&gt;=v_sh^2/a_sh,((B220-1)*u_d/2*(1+f_hc)+lane_off)/v_sh+v_sh/a_sh,2*SQRT(((B220-1)*u_d/2*(1+f_hc)+lane_off)/a_sh)))</f>
        <v>16.5428571428571</v>
      </c>
      <c r="O220" s="47" t="n">
        <f aca="false">2*t_sh+2*t_turn+2*M220+2*N220</f>
        <v>100.230286185018</v>
      </c>
      <c r="P220" s="47" t="n">
        <f aca="false">SUMPRODUCT((Tc_idx&lt;=C220)*(ROUNDUP(lam_total*INDEX(Tc_P,C220,0)*O220/(3600*rho_max)-0.000000001,0)+(ROUNDUP(lam_total*INDEX(Tc_P,C220,0)*O220/(3600*rho_max)-0.000000001,0)&lt;min_sh)*(min_sh-ROUNDUP(lam_total*INDEX(Tc_P,C220,0)*O220/(3600*rho_max)-0.000000001,0))))</f>
        <v>15</v>
      </c>
      <c r="Q220" s="3" t="n">
        <f aca="false">ROUNDUP(P220-0.000000001,0)+spares</f>
        <v>17</v>
      </c>
      <c r="R220" s="45" t="n">
        <f aca="false">B220*C220*(2*H220-G220*lpl)</f>
        <v>4992</v>
      </c>
      <c r="S220" s="45" t="n">
        <f aca="false">R220*fill</f>
        <v>4243.2</v>
      </c>
      <c r="T220" s="45" t="n">
        <f aca="false">I220*J220</f>
        <v>700.7</v>
      </c>
      <c r="U220" s="45" t="n">
        <f aca="false">T220*(K220+headroom)</f>
        <v>20635.615</v>
      </c>
      <c r="V220" s="45" t="n">
        <f aca="false">G220*c_lift</f>
        <v>300000</v>
      </c>
      <c r="W220" s="45" t="n">
        <f aca="false">Q220*c_shut</f>
        <v>850000</v>
      </c>
      <c r="X220" s="45" t="n">
        <f aca="false">R220*c_pos</f>
        <v>499200</v>
      </c>
      <c r="Y220" s="45" t="n">
        <f aca="false">T220*c_m2+U220*c_m3</f>
        <v>899348.45</v>
      </c>
      <c r="Z220" s="45" t="n">
        <f aca="false">SUM(V220:Y220)</f>
        <v>2548548.45</v>
      </c>
      <c r="AA220" s="34" t="n">
        <f aca="false">B220*u_d/(H220*u_w)</f>
        <v>2.83636363636364</v>
      </c>
      <c r="AB220" s="46" t="n">
        <f aca="false">IF(G220=0,0,F220/G220)</f>
        <v>0.383288690476191</v>
      </c>
      <c r="AC220" s="46" t="n">
        <f aca="false">IF(G220&gt;1,F220/(G220-1),"n/a")</f>
        <v>0.766577380952381</v>
      </c>
      <c r="AD220" s="47" t="n">
        <f aca="false">moves_day*m_pallet*9.81*INDEX(Tc_mh,C220)/3600000</f>
        <v>14.34222</v>
      </c>
      <c r="AE220" s="3" t="n">
        <f aca="false">IF(AND(K220&lt;=H_max,H220&lt;=300,OR(lane_policy="Free (optimize N_C)",B220=sku_pal),OR(env_use="No",AND(I220&lt;=L_bldg,J220&lt;=W_bldg),AND(I220&lt;=W_bldg,J220&lt;=L_bldg))),1,0)</f>
        <v>0</v>
      </c>
      <c r="AF220" s="48" t="n">
        <f aca="false">IF(obj_mode="Total cost",Z220,IF(obj_mode="Shuttle cycle",O220,T220))</f>
        <v>2548548.45</v>
      </c>
      <c r="AG220" s="3" t="n">
        <f aca="false">IF(AE220=1,AF220*(1+A220*0.0000000001),1E+099)</f>
        <v>1E+099</v>
      </c>
      <c r="AH220" s="3" t="str">
        <f aca="false">IF(AE220=1,"",IF(K220&gt;H_max,"height",IF(AND(lane_policy&lt;&gt;"Free (optimize N_C)",B220&lt;&gt;sku_pal),"lane policy","footprint")))</f>
        <v>height</v>
      </c>
    </row>
    <row r="221" customFormat="false" ht="15" hidden="false" customHeight="true" outlineLevel="0" collapsed="false">
      <c r="A221" s="3" t="n">
        <v>214</v>
      </c>
      <c r="B221" s="3" t="n">
        <f aca="false">$L$3</f>
        <v>24</v>
      </c>
      <c r="C221" s="3" t="n">
        <v>14</v>
      </c>
      <c r="D221" s="46" t="n">
        <f aca="false">INDEX(Tc_pl,C221)</f>
        <v>0.6</v>
      </c>
      <c r="E221" s="47" t="n">
        <f aca="false">INDEX(Tc_S,C221)</f>
        <v>46.1738095238095</v>
      </c>
      <c r="F221" s="34" t="n">
        <f aca="false">lam_total*D221*E221/3600</f>
        <v>0.769563492063492</v>
      </c>
      <c r="G221" s="3" t="n">
        <f aca="false">IF(F221&lt;=0.000000000001,0,MAX(ROUNDUP(F221/rho_max-0.000000001,0),IF(redund="Yes",ROUNDUP(F221/rho_fail-0.000000001,0)+1,0)))</f>
        <v>2</v>
      </c>
      <c r="H221" s="3" t="n">
        <f aca="false">MAX(1,ROUNDUP((P_req/(B221*C221)+G221*lpl)/2-0.000000001,0))</f>
        <v>11</v>
      </c>
      <c r="I221" s="47" t="n">
        <f aca="false">H221*u_w</f>
        <v>11</v>
      </c>
      <c r="J221" s="47" t="n">
        <f aca="false">2*B221*u_d+aisle_w</f>
        <v>63.7</v>
      </c>
      <c r="K221" s="47" t="n">
        <f aca="false">C221*u_h</f>
        <v>30.1</v>
      </c>
      <c r="L221" s="47" t="n">
        <f aca="false">IF(G221=0,I221,I221/(2*G221))</f>
        <v>2.75</v>
      </c>
      <c r="M221" s="34" t="n">
        <f aca="false">((IF((lane_off+(L221))&lt;=(v_sh^2/a_sh),(4/3)*(lane_off+(L221))^1.5/SQRT(a_sh),(4/3)*(v_sh^2/a_sh)^1.5/SQRT(a_sh)+((lane_off+(L221))^2-(v_sh^2/a_sh)^2)/(2*v_sh)+(v_sh/a_sh)*((lane_off+(L221))-(v_sh^2/a_sh))))-(IF((lane_off)&lt;=(v_sh^2/a_sh),(4/3)*(lane_off)^1.5/SQRT(a_sh),(4/3)*(v_sh^2/a_sh)^1.5/SQRT(a_sh)+((lane_off)^2-(v_sh^2/a_sh)^2)/(2*v_sh)+(v_sh/a_sh)*((lane_off)-(v_sh^2/a_sh)))))/(L221)</f>
        <v>4.57228594965171</v>
      </c>
      <c r="N221" s="34" t="n">
        <f aca="false">IF(((B221-1)*u_d/2*(1+f_hc)+lane_off)&lt;=0,0,IF(((B221-1)*u_d/2*(1+f_hc)+lane_off)&gt;=v_sh^2/a_sh,((B221-1)*u_d/2*(1+f_hc)+lane_off)/v_sh+v_sh/a_sh,2*SQRT(((B221-1)*u_d/2*(1+f_hc)+lane_off)/a_sh)))</f>
        <v>16.5428571428571</v>
      </c>
      <c r="O221" s="47" t="n">
        <f aca="false">2*t_sh+2*t_turn+2*M221+2*N221</f>
        <v>100.230286185018</v>
      </c>
      <c r="P221" s="47" t="n">
        <f aca="false">SUMPRODUCT((Tc_idx&lt;=C221)*(ROUNDUP(lam_total*INDEX(Tc_P,C221,0)*O221/(3600*rho_max)-0.000000001,0)+(ROUNDUP(lam_total*INDEX(Tc_P,C221,0)*O221/(3600*rho_max)-0.000000001,0)&lt;min_sh)*(min_sh-ROUNDUP(lam_total*INDEX(Tc_P,C221,0)*O221/(3600*rho_max)-0.000000001,0))))</f>
        <v>16</v>
      </c>
      <c r="Q221" s="3" t="n">
        <f aca="false">ROUNDUP(P221-0.000000001,0)+spares</f>
        <v>18</v>
      </c>
      <c r="R221" s="45" t="n">
        <f aca="false">B221*C221*(2*H221-G221*lpl)</f>
        <v>5376</v>
      </c>
      <c r="S221" s="45" t="n">
        <f aca="false">R221*fill</f>
        <v>4569.6</v>
      </c>
      <c r="T221" s="45" t="n">
        <f aca="false">I221*J221</f>
        <v>700.7</v>
      </c>
      <c r="U221" s="45" t="n">
        <f aca="false">T221*(K221+headroom)</f>
        <v>22142.12</v>
      </c>
      <c r="V221" s="45" t="n">
        <f aca="false">G221*c_lift</f>
        <v>300000</v>
      </c>
      <c r="W221" s="45" t="n">
        <f aca="false">Q221*c_shut</f>
        <v>900000</v>
      </c>
      <c r="X221" s="45" t="n">
        <f aca="false">R221*c_pos</f>
        <v>537600</v>
      </c>
      <c r="Y221" s="45" t="n">
        <f aca="false">T221*c_m2+U221*c_m3</f>
        <v>944543.6</v>
      </c>
      <c r="Z221" s="45" t="n">
        <f aca="false">SUM(V221:Y221)</f>
        <v>2682143.6</v>
      </c>
      <c r="AA221" s="34" t="n">
        <f aca="false">B221*u_d/(H221*u_w)</f>
        <v>2.83636363636364</v>
      </c>
      <c r="AB221" s="46" t="n">
        <f aca="false">IF(G221=0,0,F221/G221)</f>
        <v>0.384781746031746</v>
      </c>
      <c r="AC221" s="46" t="n">
        <f aca="false">IF(G221&gt;1,F221/(G221-1),"n/a")</f>
        <v>0.769563492063492</v>
      </c>
      <c r="AD221" s="47" t="n">
        <f aca="false">moves_day*m_pallet*9.81*INDEX(Tc_mh,C221)/3600000</f>
        <v>14.62344</v>
      </c>
      <c r="AE221" s="3" t="n">
        <f aca="false">IF(AND(K221&lt;=H_max,H221&lt;=300,OR(lane_policy="Free (optimize N_C)",B221=sku_pal),OR(env_use="No",AND(I221&lt;=L_bldg,J221&lt;=W_bldg),AND(I221&lt;=W_bldg,J221&lt;=L_bldg))),1,0)</f>
        <v>0</v>
      </c>
      <c r="AF221" s="48" t="n">
        <f aca="false">IF(obj_mode="Total cost",Z221,IF(obj_mode="Shuttle cycle",O221,T221))</f>
        <v>2682143.6</v>
      </c>
      <c r="AG221" s="3" t="n">
        <f aca="false">IF(AE221=1,AF221*(1+A221*0.0000000001),1E+099)</f>
        <v>1E+099</v>
      </c>
      <c r="AH221" s="3" t="str">
        <f aca="false">IF(AE221=1,"",IF(K221&gt;H_max,"height",IF(AND(lane_policy&lt;&gt;"Free (optimize N_C)",B221&lt;&gt;sku_pal),"lane policy","footprint")))</f>
        <v>height</v>
      </c>
    </row>
    <row r="222" customFormat="false" ht="15" hidden="false" customHeight="true" outlineLevel="0" collapsed="false">
      <c r="A222" s="3" t="n">
        <v>215</v>
      </c>
      <c r="B222" s="3" t="n">
        <f aca="false">$L$3</f>
        <v>24</v>
      </c>
      <c r="C222" s="3" t="n">
        <v>15</v>
      </c>
      <c r="D222" s="46" t="n">
        <f aca="false">INDEX(Tc_pl,C222)</f>
        <v>0.6</v>
      </c>
      <c r="E222" s="47" t="n">
        <f aca="false">INDEX(Tc_S,C222)</f>
        <v>46.3529761904762</v>
      </c>
      <c r="F222" s="34" t="n">
        <f aca="false">lam_total*D222*E222/3600</f>
        <v>0.772549603174603</v>
      </c>
      <c r="G222" s="3" t="n">
        <f aca="false">IF(F222&lt;=0.000000000001,0,MAX(ROUNDUP(F222/rho_max-0.000000001,0),IF(redund="Yes",ROUNDUP(F222/rho_fail-0.000000001,0)+1,0)))</f>
        <v>2</v>
      </c>
      <c r="H222" s="3" t="n">
        <f aca="false">MAX(1,ROUNDUP((P_req/(B222*C222)+G222*lpl)/2-0.000000001,0))</f>
        <v>10</v>
      </c>
      <c r="I222" s="47" t="n">
        <f aca="false">H222*u_w</f>
        <v>10</v>
      </c>
      <c r="J222" s="47" t="n">
        <f aca="false">2*B222*u_d+aisle_w</f>
        <v>63.7</v>
      </c>
      <c r="K222" s="47" t="n">
        <f aca="false">C222*u_h</f>
        <v>32.25</v>
      </c>
      <c r="L222" s="47" t="n">
        <f aca="false">IF(G222=0,I222,I222/(2*G222))</f>
        <v>2.5</v>
      </c>
      <c r="M222" s="34" t="n">
        <f aca="false">((IF((lane_off+(L222))&lt;=(v_sh^2/a_sh),(4/3)*(lane_off+(L222))^1.5/SQRT(a_sh),(4/3)*(v_sh^2/a_sh)^1.5/SQRT(a_sh)+((lane_off+(L222))^2-(v_sh^2/a_sh)^2)/(2*v_sh)+(v_sh/a_sh)*((lane_off+(L222))-(v_sh^2/a_sh))))-(IF((lane_off)&lt;=(v_sh^2/a_sh),(4/3)*(lane_off)^1.5/SQRT(a_sh),(4/3)*(v_sh^2/a_sh)^1.5/SQRT(a_sh)+((lane_off)^2-(v_sh^2/a_sh)^2)/(2*v_sh)+(v_sh/a_sh)*((lane_off)-(v_sh^2/a_sh)))))/(L222)</f>
        <v>4.46916801974984</v>
      </c>
      <c r="N222" s="34" t="n">
        <f aca="false">IF(((B222-1)*u_d/2*(1+f_hc)+lane_off)&lt;=0,0,IF(((B222-1)*u_d/2*(1+f_hc)+lane_off)&gt;=v_sh^2/a_sh,((B222-1)*u_d/2*(1+f_hc)+lane_off)/v_sh+v_sh/a_sh,2*SQRT(((B222-1)*u_d/2*(1+f_hc)+lane_off)/a_sh)))</f>
        <v>16.5428571428571</v>
      </c>
      <c r="O222" s="47" t="n">
        <f aca="false">2*t_sh+2*t_turn+2*M222+2*N222</f>
        <v>100.024050325214</v>
      </c>
      <c r="P222" s="47" t="n">
        <f aca="false">SUMPRODUCT((Tc_idx&lt;=C222)*(ROUNDUP(lam_total*INDEX(Tc_P,C222,0)*O222/(3600*rho_max)-0.000000001,0)+(ROUNDUP(lam_total*INDEX(Tc_P,C222,0)*O222/(3600*rho_max)-0.000000001,0)&lt;min_sh)*(min_sh-ROUNDUP(lam_total*INDEX(Tc_P,C222,0)*O222/(3600*rho_max)-0.000000001,0))))</f>
        <v>17</v>
      </c>
      <c r="Q222" s="3" t="n">
        <f aca="false">ROUNDUP(P222-0.000000001,0)+spares</f>
        <v>19</v>
      </c>
      <c r="R222" s="45" t="n">
        <f aca="false">B222*C222*(2*H222-G222*lpl)</f>
        <v>5040</v>
      </c>
      <c r="S222" s="45" t="n">
        <f aca="false">R222*fill</f>
        <v>4284</v>
      </c>
      <c r="T222" s="45" t="n">
        <f aca="false">I222*J222</f>
        <v>637</v>
      </c>
      <c r="U222" s="45" t="n">
        <f aca="false">T222*(K222+headroom)</f>
        <v>21498.75</v>
      </c>
      <c r="V222" s="45" t="n">
        <f aca="false">G222*c_lift</f>
        <v>300000</v>
      </c>
      <c r="W222" s="45" t="n">
        <f aca="false">Q222*c_shut</f>
        <v>950000</v>
      </c>
      <c r="X222" s="45" t="n">
        <f aca="false">R222*c_pos</f>
        <v>504000</v>
      </c>
      <c r="Y222" s="45" t="n">
        <f aca="false">T222*c_m2+U222*c_m3</f>
        <v>899762.5</v>
      </c>
      <c r="Z222" s="45" t="n">
        <f aca="false">SUM(V222:Y222)</f>
        <v>2653762.5</v>
      </c>
      <c r="AA222" s="34" t="n">
        <f aca="false">B222*u_d/(H222*u_w)</f>
        <v>3.12</v>
      </c>
      <c r="AB222" s="46" t="n">
        <f aca="false">IF(G222=0,0,F222/G222)</f>
        <v>0.386274801587302</v>
      </c>
      <c r="AC222" s="46" t="n">
        <f aca="false">IF(G222&gt;1,F222/(G222-1),"n/a")</f>
        <v>0.772549603174603</v>
      </c>
      <c r="AD222" s="47" t="n">
        <f aca="false">moves_day*m_pallet*9.81*INDEX(Tc_mh,C222)/3600000</f>
        <v>14.90466</v>
      </c>
      <c r="AE222" s="3" t="n">
        <f aca="false">IF(AND(K222&lt;=H_max,H222&lt;=300,OR(lane_policy="Free (optimize N_C)",B222=sku_pal),OR(env_use="No",AND(I222&lt;=L_bldg,J222&lt;=W_bldg),AND(I222&lt;=W_bldg,J222&lt;=L_bldg))),1,0)</f>
        <v>0</v>
      </c>
      <c r="AF222" s="48" t="n">
        <f aca="false">IF(obj_mode="Total cost",Z222,IF(obj_mode="Shuttle cycle",O222,T222))</f>
        <v>2653762.5</v>
      </c>
      <c r="AG222" s="3" t="n">
        <f aca="false">IF(AE222=1,AF222*(1+A222*0.0000000001),1E+099)</f>
        <v>1E+099</v>
      </c>
      <c r="AH222" s="3" t="str">
        <f aca="false">IF(AE222=1,"",IF(K222&gt;H_max,"height",IF(AND(lane_policy&lt;&gt;"Free (optimize N_C)",B222&lt;&gt;sku_pal),"lane policy","footprint")))</f>
        <v>height</v>
      </c>
    </row>
    <row r="223" customFormat="false" ht="15" hidden="false" customHeight="true" outlineLevel="0" collapsed="false">
      <c r="A223" s="3" t="n">
        <v>216</v>
      </c>
      <c r="B223" s="3" t="n">
        <f aca="false">$L$3</f>
        <v>24</v>
      </c>
      <c r="C223" s="3" t="n">
        <v>16</v>
      </c>
      <c r="D223" s="46" t="n">
        <f aca="false">INDEX(Tc_pl,C223)</f>
        <v>0.6</v>
      </c>
      <c r="E223" s="47" t="n">
        <f aca="false">INDEX(Tc_S,C223)</f>
        <v>46.5321428571429</v>
      </c>
      <c r="F223" s="34" t="n">
        <f aca="false">lam_total*D223*E223/3600</f>
        <v>0.775535714285714</v>
      </c>
      <c r="G223" s="3" t="n">
        <f aca="false">IF(F223&lt;=0.000000000001,0,MAX(ROUNDUP(F223/rho_max-0.000000001,0),IF(redund="Yes",ROUNDUP(F223/rho_fail-0.000000001,0)+1,0)))</f>
        <v>2</v>
      </c>
      <c r="H223" s="3" t="n">
        <f aca="false">MAX(1,ROUNDUP((P_req/(B223*C223)+G223*lpl)/2-0.000000001,0))</f>
        <v>10</v>
      </c>
      <c r="I223" s="47" t="n">
        <f aca="false">H223*u_w</f>
        <v>10</v>
      </c>
      <c r="J223" s="47" t="n">
        <f aca="false">2*B223*u_d+aisle_w</f>
        <v>63.7</v>
      </c>
      <c r="K223" s="47" t="n">
        <f aca="false">C223*u_h</f>
        <v>34.4</v>
      </c>
      <c r="L223" s="47" t="n">
        <f aca="false">IF(G223=0,I223,I223/(2*G223))</f>
        <v>2.5</v>
      </c>
      <c r="M223" s="34" t="n">
        <f aca="false">((IF((lane_off+(L223))&lt;=(v_sh^2/a_sh),(4/3)*(lane_off+(L223))^1.5/SQRT(a_sh),(4/3)*(v_sh^2/a_sh)^1.5/SQRT(a_sh)+((lane_off+(L223))^2-(v_sh^2/a_sh)^2)/(2*v_sh)+(v_sh/a_sh)*((lane_off+(L223))-(v_sh^2/a_sh))))-(IF((lane_off)&lt;=(v_sh^2/a_sh),(4/3)*(lane_off)^1.5/SQRT(a_sh),(4/3)*(v_sh^2/a_sh)^1.5/SQRT(a_sh)+((lane_off)^2-(v_sh^2/a_sh)^2)/(2*v_sh)+(v_sh/a_sh)*((lane_off)-(v_sh^2/a_sh)))))/(L223)</f>
        <v>4.46916801974984</v>
      </c>
      <c r="N223" s="34" t="n">
        <f aca="false">IF(((B223-1)*u_d/2*(1+f_hc)+lane_off)&lt;=0,0,IF(((B223-1)*u_d/2*(1+f_hc)+lane_off)&gt;=v_sh^2/a_sh,((B223-1)*u_d/2*(1+f_hc)+lane_off)/v_sh+v_sh/a_sh,2*SQRT(((B223-1)*u_d/2*(1+f_hc)+lane_off)/a_sh)))</f>
        <v>16.5428571428571</v>
      </c>
      <c r="O223" s="47" t="n">
        <f aca="false">2*t_sh+2*t_turn+2*M223+2*N223</f>
        <v>100.024050325214</v>
      </c>
      <c r="P223" s="47" t="n">
        <f aca="false">SUMPRODUCT((Tc_idx&lt;=C223)*(ROUNDUP(lam_total*INDEX(Tc_P,C223,0)*O223/(3600*rho_max)-0.000000001,0)+(ROUNDUP(lam_total*INDEX(Tc_P,C223,0)*O223/(3600*rho_max)-0.000000001,0)&lt;min_sh)*(min_sh-ROUNDUP(lam_total*INDEX(Tc_P,C223,0)*O223/(3600*rho_max)-0.000000001,0))))</f>
        <v>18</v>
      </c>
      <c r="Q223" s="3" t="n">
        <f aca="false">ROUNDUP(P223-0.000000001,0)+spares</f>
        <v>20</v>
      </c>
      <c r="R223" s="45" t="n">
        <f aca="false">B223*C223*(2*H223-G223*lpl)</f>
        <v>5376</v>
      </c>
      <c r="S223" s="45" t="n">
        <f aca="false">R223*fill</f>
        <v>4569.6</v>
      </c>
      <c r="T223" s="45" t="n">
        <f aca="false">I223*J223</f>
        <v>637</v>
      </c>
      <c r="U223" s="45" t="n">
        <f aca="false">T223*(K223+headroom)</f>
        <v>22868.3</v>
      </c>
      <c r="V223" s="45" t="n">
        <f aca="false">G223*c_lift</f>
        <v>300000</v>
      </c>
      <c r="W223" s="45" t="n">
        <f aca="false">Q223*c_shut</f>
        <v>1000000</v>
      </c>
      <c r="X223" s="45" t="n">
        <f aca="false">R223*c_pos</f>
        <v>537600</v>
      </c>
      <c r="Y223" s="45" t="n">
        <f aca="false">T223*c_m2+U223*c_m3</f>
        <v>940849</v>
      </c>
      <c r="Z223" s="45" t="n">
        <f aca="false">SUM(V223:Y223)</f>
        <v>2778449</v>
      </c>
      <c r="AA223" s="34" t="n">
        <f aca="false">B223*u_d/(H223*u_w)</f>
        <v>3.12</v>
      </c>
      <c r="AB223" s="46" t="n">
        <f aca="false">IF(G223=0,0,F223/G223)</f>
        <v>0.387767857142857</v>
      </c>
      <c r="AC223" s="46" t="n">
        <f aca="false">IF(G223&gt;1,F223/(G223-1),"n/a")</f>
        <v>0.775535714285714</v>
      </c>
      <c r="AD223" s="47" t="n">
        <f aca="false">moves_day*m_pallet*9.81*INDEX(Tc_mh,C223)/3600000</f>
        <v>15.18588</v>
      </c>
      <c r="AE223" s="3" t="n">
        <f aca="false">IF(AND(K223&lt;=H_max,H223&lt;=300,OR(lane_policy="Free (optimize N_C)",B223=sku_pal),OR(env_use="No",AND(I223&lt;=L_bldg,J223&lt;=W_bldg),AND(I223&lt;=W_bldg,J223&lt;=L_bldg))),1,0)</f>
        <v>0</v>
      </c>
      <c r="AF223" s="48" t="n">
        <f aca="false">IF(obj_mode="Total cost",Z223,IF(obj_mode="Shuttle cycle",O223,T223))</f>
        <v>2778449</v>
      </c>
      <c r="AG223" s="3" t="n">
        <f aca="false">IF(AE223=1,AF223*(1+A223*0.0000000001),1E+099)</f>
        <v>1E+099</v>
      </c>
      <c r="AH223" s="3" t="str">
        <f aca="false">IF(AE223=1,"",IF(K223&gt;H_max,"height",IF(AND(lane_policy&lt;&gt;"Free (optimize N_C)",B223&lt;&gt;sku_pal),"lane policy","footprint")))</f>
        <v>height</v>
      </c>
    </row>
    <row r="224" customFormat="false" ht="15" hidden="false" customHeight="true" outlineLevel="0" collapsed="false">
      <c r="A224" s="3" t="n">
        <v>217</v>
      </c>
      <c r="B224" s="3" t="n">
        <f aca="false">$L$3</f>
        <v>24</v>
      </c>
      <c r="C224" s="3" t="n">
        <v>17</v>
      </c>
      <c r="D224" s="46" t="n">
        <f aca="false">INDEX(Tc_pl,C224)</f>
        <v>0.6</v>
      </c>
      <c r="E224" s="47" t="n">
        <f aca="false">INDEX(Tc_S,C224)</f>
        <v>46.7113095238095</v>
      </c>
      <c r="F224" s="34" t="n">
        <f aca="false">lam_total*D224*E224/3600</f>
        <v>0.778521825396825</v>
      </c>
      <c r="G224" s="3" t="n">
        <f aca="false">IF(F224&lt;=0.000000000001,0,MAX(ROUNDUP(F224/rho_max-0.000000001,0),IF(redund="Yes",ROUNDUP(F224/rho_fail-0.000000001,0)+1,0)))</f>
        <v>2</v>
      </c>
      <c r="H224" s="3" t="n">
        <f aca="false">MAX(1,ROUNDUP((P_req/(B224*C224)+G224*lpl)/2-0.000000001,0))</f>
        <v>9</v>
      </c>
      <c r="I224" s="47" t="n">
        <f aca="false">H224*u_w</f>
        <v>9</v>
      </c>
      <c r="J224" s="47" t="n">
        <f aca="false">2*B224*u_d+aisle_w</f>
        <v>63.7</v>
      </c>
      <c r="K224" s="47" t="n">
        <f aca="false">C224*u_h</f>
        <v>36.55</v>
      </c>
      <c r="L224" s="47" t="n">
        <f aca="false">IF(G224=0,I224,I224/(2*G224))</f>
        <v>2.25</v>
      </c>
      <c r="M224" s="34" t="n">
        <f aca="false">((IF((lane_off+(L224))&lt;=(v_sh^2/a_sh),(4/3)*(lane_off+(L224))^1.5/SQRT(a_sh),(4/3)*(v_sh^2/a_sh)^1.5/SQRT(a_sh)+((lane_off+(L224))^2-(v_sh^2/a_sh)^2)/(2*v_sh)+(v_sh/a_sh)*((lane_off+(L224))-(v_sh^2/a_sh))))-(IF((lane_off)&lt;=(v_sh^2/a_sh),(4/3)*(lane_off)^1.5/SQRT(a_sh),(4/3)*(v_sh^2/a_sh)^1.5/SQRT(a_sh)+((lane_off)^2-(v_sh^2/a_sh)^2)/(2*v_sh)+(v_sh/a_sh)*((lane_off)-(v_sh^2/a_sh)))))/(L224)</f>
        <v>4.3633072163076</v>
      </c>
      <c r="N224" s="34" t="n">
        <f aca="false">IF(((B224-1)*u_d/2*(1+f_hc)+lane_off)&lt;=0,0,IF(((B224-1)*u_d/2*(1+f_hc)+lane_off)&gt;=v_sh^2/a_sh,((B224-1)*u_d/2*(1+f_hc)+lane_off)/v_sh+v_sh/a_sh,2*SQRT(((B224-1)*u_d/2*(1+f_hc)+lane_off)/a_sh)))</f>
        <v>16.5428571428571</v>
      </c>
      <c r="O224" s="47" t="n">
        <f aca="false">2*t_sh+2*t_turn+2*M224+2*N224</f>
        <v>99.8123287183295</v>
      </c>
      <c r="P224" s="47" t="n">
        <f aca="false">SUMPRODUCT((Tc_idx&lt;=C224)*(ROUNDUP(lam_total*INDEX(Tc_P,C224,0)*O224/(3600*rho_max)-0.000000001,0)+(ROUNDUP(lam_total*INDEX(Tc_P,C224,0)*O224/(3600*rho_max)-0.000000001,0)&lt;min_sh)*(min_sh-ROUNDUP(lam_total*INDEX(Tc_P,C224,0)*O224/(3600*rho_max)-0.000000001,0))))</f>
        <v>19</v>
      </c>
      <c r="Q224" s="3" t="n">
        <f aca="false">ROUNDUP(P224-0.000000001,0)+spares</f>
        <v>21</v>
      </c>
      <c r="R224" s="45" t="n">
        <f aca="false">B224*C224*(2*H224-G224*lpl)</f>
        <v>4896</v>
      </c>
      <c r="S224" s="45" t="n">
        <f aca="false">R224*fill</f>
        <v>4161.6</v>
      </c>
      <c r="T224" s="45" t="n">
        <f aca="false">I224*J224</f>
        <v>573.3</v>
      </c>
      <c r="U224" s="45" t="n">
        <f aca="false">T224*(K224+headroom)</f>
        <v>21814.065</v>
      </c>
      <c r="V224" s="45" t="n">
        <f aca="false">G224*c_lift</f>
        <v>300000</v>
      </c>
      <c r="W224" s="45" t="n">
        <f aca="false">Q224*c_shut</f>
        <v>1050000</v>
      </c>
      <c r="X224" s="45" t="n">
        <f aca="false">R224*c_pos</f>
        <v>489600</v>
      </c>
      <c r="Y224" s="45" t="n">
        <f aca="false">T224*c_m2+U224*c_m3</f>
        <v>883741.95</v>
      </c>
      <c r="Z224" s="45" t="n">
        <f aca="false">SUM(V224:Y224)</f>
        <v>2723341.95</v>
      </c>
      <c r="AA224" s="34" t="n">
        <f aca="false">B224*u_d/(H224*u_w)</f>
        <v>3.46666666666667</v>
      </c>
      <c r="AB224" s="46" t="n">
        <f aca="false">IF(G224=0,0,F224/G224)</f>
        <v>0.389260912698413</v>
      </c>
      <c r="AC224" s="46" t="n">
        <f aca="false">IF(G224&gt;1,F224/(G224-1),"n/a")</f>
        <v>0.778521825396825</v>
      </c>
      <c r="AD224" s="47" t="n">
        <f aca="false">moves_day*m_pallet*9.81*INDEX(Tc_mh,C224)/3600000</f>
        <v>15.4671</v>
      </c>
      <c r="AE224" s="3" t="n">
        <f aca="false">IF(AND(K224&lt;=H_max,H224&lt;=300,OR(lane_policy="Free (optimize N_C)",B224=sku_pal),OR(env_use="No",AND(I224&lt;=L_bldg,J224&lt;=W_bldg),AND(I224&lt;=W_bldg,J224&lt;=L_bldg))),1,0)</f>
        <v>0</v>
      </c>
      <c r="AF224" s="48" t="n">
        <f aca="false">IF(obj_mode="Total cost",Z224,IF(obj_mode="Shuttle cycle",O224,T224))</f>
        <v>2723341.95</v>
      </c>
      <c r="AG224" s="3" t="n">
        <f aca="false">IF(AE224=1,AF224*(1+A224*0.0000000001),1E+099)</f>
        <v>1E+099</v>
      </c>
      <c r="AH224" s="3" t="str">
        <f aca="false">IF(AE224=1,"",IF(K224&gt;H_max,"height",IF(AND(lane_policy&lt;&gt;"Free (optimize N_C)",B224&lt;&gt;sku_pal),"lane policy","footprint")))</f>
        <v>height</v>
      </c>
    </row>
    <row r="225" customFormat="false" ht="15" hidden="false" customHeight="true" outlineLevel="0" collapsed="false">
      <c r="A225" s="3" t="n">
        <v>218</v>
      </c>
      <c r="B225" s="3" t="n">
        <f aca="false">$L$3</f>
        <v>24</v>
      </c>
      <c r="C225" s="3" t="n">
        <v>18</v>
      </c>
      <c r="D225" s="46" t="n">
        <f aca="false">INDEX(Tc_pl,C225)</f>
        <v>0.6</v>
      </c>
      <c r="E225" s="47" t="n">
        <f aca="false">INDEX(Tc_S,C225)</f>
        <v>46.8904761904762</v>
      </c>
      <c r="F225" s="34" t="n">
        <f aca="false">lam_total*D225*E225/3600</f>
        <v>0.781507936507937</v>
      </c>
      <c r="G225" s="3" t="n">
        <f aca="false">IF(F225&lt;=0.000000000001,0,MAX(ROUNDUP(F225/rho_max-0.000000001,0),IF(redund="Yes",ROUNDUP(F225/rho_fail-0.000000001,0)+1,0)))</f>
        <v>2</v>
      </c>
      <c r="H225" s="3" t="n">
        <f aca="false">MAX(1,ROUNDUP((P_req/(B225*C225)+G225*lpl)/2-0.000000001,0))</f>
        <v>9</v>
      </c>
      <c r="I225" s="47" t="n">
        <f aca="false">H225*u_w</f>
        <v>9</v>
      </c>
      <c r="J225" s="47" t="n">
        <f aca="false">2*B225*u_d+aisle_w</f>
        <v>63.7</v>
      </c>
      <c r="K225" s="47" t="n">
        <f aca="false">C225*u_h</f>
        <v>38.7</v>
      </c>
      <c r="L225" s="47" t="n">
        <f aca="false">IF(G225=0,I225,I225/(2*G225))</f>
        <v>2.25</v>
      </c>
      <c r="M225" s="34" t="n">
        <f aca="false">((IF((lane_off+(L225))&lt;=(v_sh^2/a_sh),(4/3)*(lane_off+(L225))^1.5/SQRT(a_sh),(4/3)*(v_sh^2/a_sh)^1.5/SQRT(a_sh)+((lane_off+(L225))^2-(v_sh^2/a_sh)^2)/(2*v_sh)+(v_sh/a_sh)*((lane_off+(L225))-(v_sh^2/a_sh))))-(IF((lane_off)&lt;=(v_sh^2/a_sh),(4/3)*(lane_off)^1.5/SQRT(a_sh),(4/3)*(v_sh^2/a_sh)^1.5/SQRT(a_sh)+((lane_off)^2-(v_sh^2/a_sh)^2)/(2*v_sh)+(v_sh/a_sh)*((lane_off)-(v_sh^2/a_sh)))))/(L225)</f>
        <v>4.3633072163076</v>
      </c>
      <c r="N225" s="34" t="n">
        <f aca="false">IF(((B225-1)*u_d/2*(1+f_hc)+lane_off)&lt;=0,0,IF(((B225-1)*u_d/2*(1+f_hc)+lane_off)&gt;=v_sh^2/a_sh,((B225-1)*u_d/2*(1+f_hc)+lane_off)/v_sh+v_sh/a_sh,2*SQRT(((B225-1)*u_d/2*(1+f_hc)+lane_off)/a_sh)))</f>
        <v>16.5428571428571</v>
      </c>
      <c r="O225" s="47" t="n">
        <f aca="false">2*t_sh+2*t_turn+2*M225+2*N225</f>
        <v>99.8123287183295</v>
      </c>
      <c r="P225" s="47" t="n">
        <f aca="false">SUMPRODUCT((Tc_idx&lt;=C225)*(ROUNDUP(lam_total*INDEX(Tc_P,C225,0)*O225/(3600*rho_max)-0.000000001,0)+(ROUNDUP(lam_total*INDEX(Tc_P,C225,0)*O225/(3600*rho_max)-0.000000001,0)&lt;min_sh)*(min_sh-ROUNDUP(lam_total*INDEX(Tc_P,C225,0)*O225/(3600*rho_max)-0.000000001,0))))</f>
        <v>20</v>
      </c>
      <c r="Q225" s="3" t="n">
        <f aca="false">ROUNDUP(P225-0.000000001,0)+spares</f>
        <v>22</v>
      </c>
      <c r="R225" s="45" t="n">
        <f aca="false">B225*C225*(2*H225-G225*lpl)</f>
        <v>5184</v>
      </c>
      <c r="S225" s="45" t="n">
        <f aca="false">R225*fill</f>
        <v>4406.4</v>
      </c>
      <c r="T225" s="45" t="n">
        <f aca="false">I225*J225</f>
        <v>573.3</v>
      </c>
      <c r="U225" s="45" t="n">
        <f aca="false">T225*(K225+headroom)</f>
        <v>23046.66</v>
      </c>
      <c r="V225" s="45" t="n">
        <f aca="false">G225*c_lift</f>
        <v>300000</v>
      </c>
      <c r="W225" s="45" t="n">
        <f aca="false">Q225*c_shut</f>
        <v>1100000</v>
      </c>
      <c r="X225" s="45" t="n">
        <f aca="false">R225*c_pos</f>
        <v>518400</v>
      </c>
      <c r="Y225" s="45" t="n">
        <f aca="false">T225*c_m2+U225*c_m3</f>
        <v>920719.8</v>
      </c>
      <c r="Z225" s="45" t="n">
        <f aca="false">SUM(V225:Y225)</f>
        <v>2839119.8</v>
      </c>
      <c r="AA225" s="34" t="n">
        <f aca="false">B225*u_d/(H225*u_w)</f>
        <v>3.46666666666667</v>
      </c>
      <c r="AB225" s="46" t="n">
        <f aca="false">IF(G225=0,0,F225/G225)</f>
        <v>0.390753968253968</v>
      </c>
      <c r="AC225" s="46" t="n">
        <f aca="false">IF(G225&gt;1,F225/(G225-1),"n/a")</f>
        <v>0.781507936507937</v>
      </c>
      <c r="AD225" s="47" t="n">
        <f aca="false">moves_day*m_pallet*9.81*INDEX(Tc_mh,C225)/3600000</f>
        <v>15.74832</v>
      </c>
      <c r="AE225" s="3" t="n">
        <f aca="false">IF(AND(K225&lt;=H_max,H225&lt;=300,OR(lane_policy="Free (optimize N_C)",B225=sku_pal),OR(env_use="No",AND(I225&lt;=L_bldg,J225&lt;=W_bldg),AND(I225&lt;=W_bldg,J225&lt;=L_bldg))),1,0)</f>
        <v>0</v>
      </c>
      <c r="AF225" s="48" t="n">
        <f aca="false">IF(obj_mode="Total cost",Z225,IF(obj_mode="Shuttle cycle",O225,T225))</f>
        <v>2839119.8</v>
      </c>
      <c r="AG225" s="3" t="n">
        <f aca="false">IF(AE225=1,AF225*(1+A225*0.0000000001),1E+099)</f>
        <v>1E+099</v>
      </c>
      <c r="AH225" s="3" t="str">
        <f aca="false">IF(AE225=1,"",IF(K225&gt;H_max,"height",IF(AND(lane_policy&lt;&gt;"Free (optimize N_C)",B225&lt;&gt;sku_pal),"lane policy","footprint")))</f>
        <v>height</v>
      </c>
    </row>
    <row r="226" customFormat="false" ht="15" hidden="false" customHeight="true" outlineLevel="0" collapsed="false">
      <c r="A226" s="3" t="n">
        <v>219</v>
      </c>
      <c r="B226" s="3" t="n">
        <f aca="false">$L$3</f>
        <v>24</v>
      </c>
      <c r="C226" s="3" t="n">
        <v>19</v>
      </c>
      <c r="D226" s="46" t="n">
        <f aca="false">INDEX(Tc_pl,C226)</f>
        <v>0.6</v>
      </c>
      <c r="E226" s="47" t="n">
        <f aca="false">INDEX(Tc_S,C226)</f>
        <v>47.0696428571429</v>
      </c>
      <c r="F226" s="34" t="n">
        <f aca="false">lam_total*D226*E226/3600</f>
        <v>0.784494047619048</v>
      </c>
      <c r="G226" s="3" t="n">
        <f aca="false">IF(F226&lt;=0.000000000001,0,MAX(ROUNDUP(F226/rho_max-0.000000001,0),IF(redund="Yes",ROUNDUP(F226/rho_fail-0.000000001,0)+1,0)))</f>
        <v>2</v>
      </c>
      <c r="H226" s="3" t="n">
        <f aca="false">MAX(1,ROUNDUP((P_req/(B226*C226)+G226*lpl)/2-0.000000001,0))</f>
        <v>9</v>
      </c>
      <c r="I226" s="47" t="n">
        <f aca="false">H226*u_w</f>
        <v>9</v>
      </c>
      <c r="J226" s="47" t="n">
        <f aca="false">2*B226*u_d+aisle_w</f>
        <v>63.7</v>
      </c>
      <c r="K226" s="47" t="n">
        <f aca="false">C226*u_h</f>
        <v>40.85</v>
      </c>
      <c r="L226" s="47" t="n">
        <f aca="false">IF(G226=0,I226,I226/(2*G226))</f>
        <v>2.25</v>
      </c>
      <c r="M226" s="34" t="n">
        <f aca="false">((IF((lane_off+(L226))&lt;=(v_sh^2/a_sh),(4/3)*(lane_off+(L226))^1.5/SQRT(a_sh),(4/3)*(v_sh^2/a_sh)^1.5/SQRT(a_sh)+((lane_off+(L226))^2-(v_sh^2/a_sh)^2)/(2*v_sh)+(v_sh/a_sh)*((lane_off+(L226))-(v_sh^2/a_sh))))-(IF((lane_off)&lt;=(v_sh^2/a_sh),(4/3)*(lane_off)^1.5/SQRT(a_sh),(4/3)*(v_sh^2/a_sh)^1.5/SQRT(a_sh)+((lane_off)^2-(v_sh^2/a_sh)^2)/(2*v_sh)+(v_sh/a_sh)*((lane_off)-(v_sh^2/a_sh)))))/(L226)</f>
        <v>4.3633072163076</v>
      </c>
      <c r="N226" s="34" t="n">
        <f aca="false">IF(((B226-1)*u_d/2*(1+f_hc)+lane_off)&lt;=0,0,IF(((B226-1)*u_d/2*(1+f_hc)+lane_off)&gt;=v_sh^2/a_sh,((B226-1)*u_d/2*(1+f_hc)+lane_off)/v_sh+v_sh/a_sh,2*SQRT(((B226-1)*u_d/2*(1+f_hc)+lane_off)/a_sh)))</f>
        <v>16.5428571428571</v>
      </c>
      <c r="O226" s="47" t="n">
        <f aca="false">2*t_sh+2*t_turn+2*M226+2*N226</f>
        <v>99.8123287183295</v>
      </c>
      <c r="P226" s="47" t="n">
        <f aca="false">SUMPRODUCT((Tc_idx&lt;=C226)*(ROUNDUP(lam_total*INDEX(Tc_P,C226,0)*O226/(3600*rho_max)-0.000000001,0)+(ROUNDUP(lam_total*INDEX(Tc_P,C226,0)*O226/(3600*rho_max)-0.000000001,0)&lt;min_sh)*(min_sh-ROUNDUP(lam_total*INDEX(Tc_P,C226,0)*O226/(3600*rho_max)-0.000000001,0))))</f>
        <v>21</v>
      </c>
      <c r="Q226" s="3" t="n">
        <f aca="false">ROUNDUP(P226-0.000000001,0)+spares</f>
        <v>23</v>
      </c>
      <c r="R226" s="45" t="n">
        <f aca="false">B226*C226*(2*H226-G226*lpl)</f>
        <v>5472</v>
      </c>
      <c r="S226" s="45" t="n">
        <f aca="false">R226*fill</f>
        <v>4651.2</v>
      </c>
      <c r="T226" s="45" t="n">
        <f aca="false">I226*J226</f>
        <v>573.3</v>
      </c>
      <c r="U226" s="45" t="n">
        <f aca="false">T226*(K226+headroom)</f>
        <v>24279.255</v>
      </c>
      <c r="V226" s="45" t="n">
        <f aca="false">G226*c_lift</f>
        <v>300000</v>
      </c>
      <c r="W226" s="45" t="n">
        <f aca="false">Q226*c_shut</f>
        <v>1150000</v>
      </c>
      <c r="X226" s="45" t="n">
        <f aca="false">R226*c_pos</f>
        <v>547200</v>
      </c>
      <c r="Y226" s="45" t="n">
        <f aca="false">T226*c_m2+U226*c_m3</f>
        <v>957697.65</v>
      </c>
      <c r="Z226" s="45" t="n">
        <f aca="false">SUM(V226:Y226)</f>
        <v>2954897.65</v>
      </c>
      <c r="AA226" s="34" t="n">
        <f aca="false">B226*u_d/(H226*u_w)</f>
        <v>3.46666666666667</v>
      </c>
      <c r="AB226" s="46" t="n">
        <f aca="false">IF(G226=0,0,F226/G226)</f>
        <v>0.392247023809524</v>
      </c>
      <c r="AC226" s="46" t="n">
        <f aca="false">IF(G226&gt;1,F226/(G226-1),"n/a")</f>
        <v>0.784494047619048</v>
      </c>
      <c r="AD226" s="47" t="n">
        <f aca="false">moves_day*m_pallet*9.81*INDEX(Tc_mh,C226)/3600000</f>
        <v>16.02954</v>
      </c>
      <c r="AE226" s="3" t="n">
        <f aca="false">IF(AND(K226&lt;=H_max,H226&lt;=300,OR(lane_policy="Free (optimize N_C)",B226=sku_pal),OR(env_use="No",AND(I226&lt;=L_bldg,J226&lt;=W_bldg),AND(I226&lt;=W_bldg,J226&lt;=L_bldg))),1,0)</f>
        <v>0</v>
      </c>
      <c r="AF226" s="48" t="n">
        <f aca="false">IF(obj_mode="Total cost",Z226,IF(obj_mode="Shuttle cycle",O226,T226))</f>
        <v>2954897.65</v>
      </c>
      <c r="AG226" s="3" t="n">
        <f aca="false">IF(AE226=1,AF226*(1+A226*0.0000000001),1E+099)</f>
        <v>1E+099</v>
      </c>
      <c r="AH226" s="3" t="str">
        <f aca="false">IF(AE226=1,"",IF(K226&gt;H_max,"height",IF(AND(lane_policy&lt;&gt;"Free (optimize N_C)",B226&lt;&gt;sku_pal),"lane policy","footprint")))</f>
        <v>height</v>
      </c>
    </row>
    <row r="227" customFormat="false" ht="15" hidden="false" customHeight="true" outlineLevel="0" collapsed="false">
      <c r="A227" s="3" t="n">
        <v>220</v>
      </c>
      <c r="B227" s="3" t="n">
        <f aca="false">$L$3</f>
        <v>24</v>
      </c>
      <c r="C227" s="3" t="n">
        <v>20</v>
      </c>
      <c r="D227" s="46" t="n">
        <f aca="false">INDEX(Tc_pl,C227)</f>
        <v>0.6</v>
      </c>
      <c r="E227" s="47" t="n">
        <f aca="false">INDEX(Tc_S,C227)</f>
        <v>47.2488095238095</v>
      </c>
      <c r="F227" s="34" t="n">
        <f aca="false">lam_total*D227*E227/3600</f>
        <v>0.787480158730159</v>
      </c>
      <c r="G227" s="3" t="n">
        <f aca="false">IF(F227&lt;=0.000000000001,0,MAX(ROUNDUP(F227/rho_max-0.000000001,0),IF(redund="Yes",ROUNDUP(F227/rho_fail-0.000000001,0)+1,0)))</f>
        <v>2</v>
      </c>
      <c r="H227" s="3" t="n">
        <f aca="false">MAX(1,ROUNDUP((P_req/(B227*C227)+G227*lpl)/2-0.000000001,0))</f>
        <v>8</v>
      </c>
      <c r="I227" s="47" t="n">
        <f aca="false">H227*u_w</f>
        <v>8</v>
      </c>
      <c r="J227" s="47" t="n">
        <f aca="false">2*B227*u_d+aisle_w</f>
        <v>63.7</v>
      </c>
      <c r="K227" s="47" t="n">
        <f aca="false">C227*u_h</f>
        <v>43</v>
      </c>
      <c r="L227" s="47" t="n">
        <f aca="false">IF(G227=0,I227,I227/(2*G227))</f>
        <v>2</v>
      </c>
      <c r="M227" s="34" t="n">
        <f aca="false">((IF((lane_off+(L227))&lt;=(v_sh^2/a_sh),(4/3)*(lane_off+(L227))^1.5/SQRT(a_sh),(4/3)*(v_sh^2/a_sh)^1.5/SQRT(a_sh)+((lane_off+(L227))^2-(v_sh^2/a_sh)^2)/(2*v_sh)+(v_sh/a_sh)*((lane_off+(L227))-(v_sh^2/a_sh))))-(IF((lane_off)&lt;=(v_sh^2/a_sh),(4/3)*(lane_off)^1.5/SQRT(a_sh),(4/3)*(v_sh^2/a_sh)^1.5/SQRT(a_sh)+((lane_off)^2-(v_sh^2/a_sh)^2)/(2*v_sh)+(v_sh/a_sh)*((lane_off)-(v_sh^2/a_sh)))))/(L227)</f>
        <v>4.25444432490757</v>
      </c>
      <c r="N227" s="34" t="n">
        <f aca="false">IF(((B227-1)*u_d/2*(1+f_hc)+lane_off)&lt;=0,0,IF(((B227-1)*u_d/2*(1+f_hc)+lane_off)&gt;=v_sh^2/a_sh,((B227-1)*u_d/2*(1+f_hc)+lane_off)/v_sh+v_sh/a_sh,2*SQRT(((B227-1)*u_d/2*(1+f_hc)+lane_off)/a_sh)))</f>
        <v>16.5428571428571</v>
      </c>
      <c r="O227" s="47" t="n">
        <f aca="false">2*t_sh+2*t_turn+2*M227+2*N227</f>
        <v>99.5946029355294</v>
      </c>
      <c r="P227" s="47" t="n">
        <f aca="false">SUMPRODUCT((Tc_idx&lt;=C227)*(ROUNDUP(lam_total*INDEX(Tc_P,C227,0)*O227/(3600*rho_max)-0.000000001,0)+(ROUNDUP(lam_total*INDEX(Tc_P,C227,0)*O227/(3600*rho_max)-0.000000001,0)&lt;min_sh)*(min_sh-ROUNDUP(lam_total*INDEX(Tc_P,C227,0)*O227/(3600*rho_max)-0.000000001,0))))</f>
        <v>22</v>
      </c>
      <c r="Q227" s="3" t="n">
        <f aca="false">ROUNDUP(P227-0.000000001,0)+spares</f>
        <v>24</v>
      </c>
      <c r="R227" s="45" t="n">
        <f aca="false">B227*C227*(2*H227-G227*lpl)</f>
        <v>4800</v>
      </c>
      <c r="S227" s="45" t="n">
        <f aca="false">R227*fill</f>
        <v>4080</v>
      </c>
      <c r="T227" s="45" t="n">
        <f aca="false">I227*J227</f>
        <v>509.6</v>
      </c>
      <c r="U227" s="45" t="n">
        <f aca="false">T227*(K227+headroom)</f>
        <v>22677.2</v>
      </c>
      <c r="V227" s="45" t="n">
        <f aca="false">G227*c_lift</f>
        <v>300000</v>
      </c>
      <c r="W227" s="45" t="n">
        <f aca="false">Q227*c_shut</f>
        <v>1200000</v>
      </c>
      <c r="X227" s="45" t="n">
        <f aca="false">R227*c_pos</f>
        <v>480000</v>
      </c>
      <c r="Y227" s="45" t="n">
        <f aca="false">T227*c_m2+U227*c_m3</f>
        <v>884156</v>
      </c>
      <c r="Z227" s="45" t="n">
        <f aca="false">SUM(V227:Y227)</f>
        <v>2864156</v>
      </c>
      <c r="AA227" s="34" t="n">
        <f aca="false">B227*u_d/(H227*u_w)</f>
        <v>3.9</v>
      </c>
      <c r="AB227" s="46" t="n">
        <f aca="false">IF(G227=0,0,F227/G227)</f>
        <v>0.393740079365079</v>
      </c>
      <c r="AC227" s="46" t="n">
        <f aca="false">IF(G227&gt;1,F227/(G227-1),"n/a")</f>
        <v>0.787480158730159</v>
      </c>
      <c r="AD227" s="47" t="n">
        <f aca="false">moves_day*m_pallet*9.81*INDEX(Tc_mh,C227)/3600000</f>
        <v>16.31076</v>
      </c>
      <c r="AE227" s="3" t="n">
        <f aca="false">IF(AND(K227&lt;=H_max,H227&lt;=300,OR(lane_policy="Free (optimize N_C)",B227=sku_pal),OR(env_use="No",AND(I227&lt;=L_bldg,J227&lt;=W_bldg),AND(I227&lt;=W_bldg,J227&lt;=L_bldg))),1,0)</f>
        <v>0</v>
      </c>
      <c r="AF227" s="48" t="n">
        <f aca="false">IF(obj_mode="Total cost",Z227,IF(obj_mode="Shuttle cycle",O227,T227))</f>
        <v>2864156</v>
      </c>
      <c r="AG227" s="3" t="n">
        <f aca="false">IF(AE227=1,AF227*(1+A227*0.0000000001),1E+099)</f>
        <v>1E+099</v>
      </c>
      <c r="AH227" s="3" t="str">
        <f aca="false">IF(AE227=1,"",IF(K227&gt;H_max,"height",IF(AND(lane_policy&lt;&gt;"Free (optimize N_C)",B227&lt;&gt;sku_pal),"lane policy","footprint")))</f>
        <v>height</v>
      </c>
    </row>
  </sheetData>
  <conditionalFormatting sqref="AK7:AU26">
    <cfRule type="expression" priority="2" aboveAverage="0" equalAverage="0" bottom="0" percent="0" rank="0" text="" dxfId="0">
      <formula>ISNA(AK7)</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s>
  <sheetData>
    <row r="1" customFormat="false" ht="18" hidden="false" customHeight="true" outlineLevel="0" collapsed="false">
      <c r="A1" s="2" t="s">
        <v>204</v>
      </c>
    </row>
    <row r="3" customFormat="false" ht="15" hidden="false" customHeight="true" outlineLevel="0" collapsed="false">
      <c r="A3" s="1" t="s">
        <v>205</v>
      </c>
    </row>
    <row r="4" customFormat="false" ht="15" hidden="false" customHeight="true" outlineLevel="0" collapsed="false">
      <c r="A4" s="1" t="s">
        <v>206</v>
      </c>
      <c r="C4" s="1" t="n">
        <v>1</v>
      </c>
      <c r="D4" s="1" t="n">
        <v>2</v>
      </c>
      <c r="E4" s="1" t="n">
        <v>3</v>
      </c>
      <c r="F4" s="1" t="n">
        <v>4</v>
      </c>
      <c r="G4" s="1" t="n">
        <v>5</v>
      </c>
      <c r="H4" s="1" t="n">
        <v>6</v>
      </c>
      <c r="I4" s="1" t="n">
        <v>7</v>
      </c>
      <c r="J4" s="1" t="n">
        <v>8</v>
      </c>
      <c r="K4" s="1" t="n">
        <v>9</v>
      </c>
      <c r="L4" s="1" t="n">
        <v>10</v>
      </c>
      <c r="M4" s="1" t="n">
        <v>11</v>
      </c>
      <c r="N4" s="1" t="n">
        <v>12</v>
      </c>
      <c r="O4" s="1" t="n">
        <v>13</v>
      </c>
      <c r="P4" s="1" t="n">
        <v>14</v>
      </c>
      <c r="Q4" s="1" t="n">
        <v>15</v>
      </c>
      <c r="R4" s="1" t="n">
        <v>16</v>
      </c>
      <c r="S4" s="1" t="n">
        <v>17</v>
      </c>
      <c r="T4" s="1" t="n">
        <v>18</v>
      </c>
      <c r="U4" s="1" t="n">
        <v>19</v>
      </c>
      <c r="V4" s="1" t="n">
        <v>20</v>
      </c>
    </row>
    <row r="5" customFormat="false" ht="15" hidden="false" customHeight="true" outlineLevel="0" collapsed="false">
      <c r="A5" s="1" t="s">
        <v>207</v>
      </c>
      <c r="C5" s="1" t="n">
        <f aca="false">(C4-1)*u_h</f>
        <v>0</v>
      </c>
      <c r="D5" s="1" t="n">
        <f aca="false">(D4-1)*u_h</f>
        <v>2.15</v>
      </c>
      <c r="E5" s="1" t="n">
        <f aca="false">(E4-1)*u_h</f>
        <v>4.3</v>
      </c>
      <c r="F5" s="1" t="n">
        <f aca="false">(F4-1)*u_h</f>
        <v>6.45</v>
      </c>
      <c r="G5" s="1" t="n">
        <f aca="false">(G4-1)*u_h</f>
        <v>8.6</v>
      </c>
      <c r="H5" s="1" t="n">
        <f aca="false">(H4-1)*u_h</f>
        <v>10.75</v>
      </c>
      <c r="I5" s="1" t="n">
        <f aca="false">(I4-1)*u_h</f>
        <v>12.9</v>
      </c>
      <c r="J5" s="1" t="n">
        <f aca="false">(J4-1)*u_h</f>
        <v>15.05</v>
      </c>
      <c r="K5" s="1" t="n">
        <f aca="false">(K4-1)*u_h</f>
        <v>17.2</v>
      </c>
      <c r="L5" s="1" t="n">
        <f aca="false">(L4-1)*u_h</f>
        <v>19.35</v>
      </c>
      <c r="M5" s="1" t="n">
        <f aca="false">(M4-1)*u_h</f>
        <v>21.5</v>
      </c>
      <c r="N5" s="1" t="n">
        <f aca="false">(N4-1)*u_h</f>
        <v>23.65</v>
      </c>
      <c r="O5" s="1" t="n">
        <f aca="false">(O4-1)*u_h</f>
        <v>25.8</v>
      </c>
      <c r="P5" s="1" t="n">
        <f aca="false">(P4-1)*u_h</f>
        <v>27.95</v>
      </c>
      <c r="Q5" s="1" t="n">
        <f aca="false">(Q4-1)*u_h</f>
        <v>30.1</v>
      </c>
      <c r="R5" s="1" t="n">
        <f aca="false">(R4-1)*u_h</f>
        <v>32.25</v>
      </c>
      <c r="S5" s="1" t="n">
        <f aca="false">(S4-1)*u_h</f>
        <v>34.4</v>
      </c>
      <c r="T5" s="1" t="n">
        <f aca="false">(T4-1)*u_h</f>
        <v>36.55</v>
      </c>
      <c r="U5" s="1" t="n">
        <f aca="false">(U4-1)*u_h</f>
        <v>38.7</v>
      </c>
      <c r="V5" s="1" t="n">
        <f aca="false">(V4-1)*u_h</f>
        <v>40.85</v>
      </c>
    </row>
    <row r="6" customFormat="false" ht="15" hidden="false" customHeight="true" outlineLevel="0" collapsed="false">
      <c r="A6" s="1" t="s">
        <v>208</v>
      </c>
      <c r="C6" s="1" t="n">
        <f aca="false">IF((C5)&lt;=0,0,IF((C5)&gt;=v_lift^2/a_lift,(C5)/v_lift+v_lift/a_lift,2*SQRT((C5)/a_lift)))</f>
        <v>0</v>
      </c>
      <c r="D6" s="1" t="n">
        <f aca="false">IF((D5)&lt;=0,0,IF((D5)&gt;=v_lift^2/a_lift,(D5)/v_lift+v_lift/a_lift,2*SQRT((D5)/a_lift)))</f>
        <v>3.57857142857143</v>
      </c>
      <c r="E6" s="1" t="n">
        <f aca="false">IF((E5)&lt;=0,0,IF((E5)&gt;=v_lift^2/a_lift,(E5)/v_lift+v_lift/a_lift,2*SQRT((E5)/a_lift)))</f>
        <v>5.72857142857143</v>
      </c>
      <c r="F6" s="1" t="n">
        <f aca="false">IF((F5)&lt;=0,0,IF((F5)&gt;=v_lift^2/a_lift,(F5)/v_lift+v_lift/a_lift,2*SQRT((F5)/a_lift)))</f>
        <v>7.87857142857143</v>
      </c>
      <c r="G6" s="1" t="n">
        <f aca="false">IF((G5)&lt;=0,0,IF((G5)&gt;=v_lift^2/a_lift,(G5)/v_lift+v_lift/a_lift,2*SQRT((G5)/a_lift)))</f>
        <v>10.0285714285714</v>
      </c>
      <c r="H6" s="1" t="n">
        <f aca="false">IF((H5)&lt;=0,0,IF((H5)&gt;=v_lift^2/a_lift,(H5)/v_lift+v_lift/a_lift,2*SQRT((H5)/a_lift)))</f>
        <v>12.1785714285714</v>
      </c>
      <c r="I6" s="1" t="n">
        <f aca="false">IF((I5)&lt;=0,0,IF((I5)&gt;=v_lift^2/a_lift,(I5)/v_lift+v_lift/a_lift,2*SQRT((I5)/a_lift)))</f>
        <v>14.3285714285714</v>
      </c>
      <c r="J6" s="1" t="n">
        <f aca="false">IF((J5)&lt;=0,0,IF((J5)&gt;=v_lift^2/a_lift,(J5)/v_lift+v_lift/a_lift,2*SQRT((J5)/a_lift)))</f>
        <v>16.4785714285714</v>
      </c>
      <c r="K6" s="1" t="n">
        <f aca="false">IF((K5)&lt;=0,0,IF((K5)&gt;=v_lift^2/a_lift,(K5)/v_lift+v_lift/a_lift,2*SQRT((K5)/a_lift)))</f>
        <v>18.6285714285714</v>
      </c>
      <c r="L6" s="1" t="n">
        <f aca="false">IF((L5)&lt;=0,0,IF((L5)&gt;=v_lift^2/a_lift,(L5)/v_lift+v_lift/a_lift,2*SQRT((L5)/a_lift)))</f>
        <v>20.7785714285714</v>
      </c>
      <c r="M6" s="1" t="n">
        <f aca="false">IF((M5)&lt;=0,0,IF((M5)&gt;=v_lift^2/a_lift,(M5)/v_lift+v_lift/a_lift,2*SQRT((M5)/a_lift)))</f>
        <v>22.9285714285714</v>
      </c>
      <c r="N6" s="1" t="n">
        <f aca="false">IF((N5)&lt;=0,0,IF((N5)&gt;=v_lift^2/a_lift,(N5)/v_lift+v_lift/a_lift,2*SQRT((N5)/a_lift)))</f>
        <v>25.0785714285714</v>
      </c>
      <c r="O6" s="1" t="n">
        <f aca="false">IF((O5)&lt;=0,0,IF((O5)&gt;=v_lift^2/a_lift,(O5)/v_lift+v_lift/a_lift,2*SQRT((O5)/a_lift)))</f>
        <v>27.2285714285714</v>
      </c>
      <c r="P6" s="1" t="n">
        <f aca="false">IF((P5)&lt;=0,0,IF((P5)&gt;=v_lift^2/a_lift,(P5)/v_lift+v_lift/a_lift,2*SQRT((P5)/a_lift)))</f>
        <v>29.3785714285714</v>
      </c>
      <c r="Q6" s="1" t="n">
        <f aca="false">IF((Q5)&lt;=0,0,IF((Q5)&gt;=v_lift^2/a_lift,(Q5)/v_lift+v_lift/a_lift,2*SQRT((Q5)/a_lift)))</f>
        <v>31.5285714285714</v>
      </c>
      <c r="R6" s="1" t="n">
        <f aca="false">IF((R5)&lt;=0,0,IF((R5)&gt;=v_lift^2/a_lift,(R5)/v_lift+v_lift/a_lift,2*SQRT((R5)/a_lift)))</f>
        <v>33.6785714285714</v>
      </c>
      <c r="S6" s="1" t="n">
        <f aca="false">IF((S5)&lt;=0,0,IF((S5)&gt;=v_lift^2/a_lift,(S5)/v_lift+v_lift/a_lift,2*SQRT((S5)/a_lift)))</f>
        <v>35.8285714285714</v>
      </c>
      <c r="T6" s="1" t="n">
        <f aca="false">IF((T5)&lt;=0,0,IF((T5)&gt;=v_lift^2/a_lift,(T5)/v_lift+v_lift/a_lift,2*SQRT((T5)/a_lift)))</f>
        <v>37.9785714285714</v>
      </c>
      <c r="U6" s="1" t="n">
        <f aca="false">IF((U5)&lt;=0,0,IF((U5)&gt;=v_lift^2/a_lift,(U5)/v_lift+v_lift/a_lift,2*SQRT((U5)/a_lift)))</f>
        <v>40.1285714285714</v>
      </c>
      <c r="V6" s="1" t="n">
        <f aca="false">IF((V5)&lt;=0,0,IF((V5)&gt;=v_lift^2/a_lift,(V5)/v_lift+v_lift/a_lift,2*SQRT((V5)/a_lift)))</f>
        <v>42.2785714285714</v>
      </c>
    </row>
    <row r="7" customFormat="false" ht="15" hidden="false" customHeight="true" outlineLevel="0" collapsed="false">
      <c r="A7" s="1" t="s">
        <v>209</v>
      </c>
      <c r="C7" s="1" t="n">
        <f aca="false">IF(C4&gt;=2,t_ch+t_I+2*C6+2*t_pos,0)</f>
        <v>0</v>
      </c>
      <c r="D7" s="1" t="n">
        <f aca="false">IF(D4&gt;=2,t_ch+t_I+2*D6+2*t_pos,0)</f>
        <v>41.1571428571429</v>
      </c>
      <c r="E7" s="1" t="n">
        <f aca="false">IF(E4&gt;=2,t_ch+t_I+2*E6+2*t_pos,0)</f>
        <v>45.4571428571429</v>
      </c>
      <c r="F7" s="1" t="n">
        <f aca="false">IF(F4&gt;=2,t_ch+t_I+2*F6+2*t_pos,0)</f>
        <v>49.7571428571429</v>
      </c>
      <c r="G7" s="1" t="n">
        <f aca="false">IF(G4&gt;=2,t_ch+t_I+2*G6+2*t_pos,0)</f>
        <v>54.0571428571429</v>
      </c>
      <c r="H7" s="1" t="n">
        <f aca="false">IF(H4&gt;=2,t_ch+t_I+2*H6+2*t_pos,0)</f>
        <v>58.3571428571429</v>
      </c>
      <c r="I7" s="1" t="n">
        <f aca="false">IF(I4&gt;=2,t_ch+t_I+2*I6+2*t_pos,0)</f>
        <v>62.6571428571429</v>
      </c>
      <c r="J7" s="1" t="n">
        <f aca="false">IF(J4&gt;=2,t_ch+t_I+2*J6+2*t_pos,0)</f>
        <v>66.9571428571429</v>
      </c>
      <c r="K7" s="1" t="n">
        <f aca="false">IF(K4&gt;=2,t_ch+t_I+2*K6+2*t_pos,0)</f>
        <v>71.2571428571429</v>
      </c>
      <c r="L7" s="1" t="n">
        <f aca="false">IF(L4&gt;=2,t_ch+t_I+2*L6+2*t_pos,0)</f>
        <v>75.5571428571429</v>
      </c>
      <c r="M7" s="1" t="n">
        <f aca="false">IF(M4&gt;=2,t_ch+t_I+2*M6+2*t_pos,0)</f>
        <v>79.8571428571429</v>
      </c>
      <c r="N7" s="1" t="n">
        <f aca="false">IF(N4&gt;=2,t_ch+t_I+2*N6+2*t_pos,0)</f>
        <v>84.1571428571428</v>
      </c>
      <c r="O7" s="1" t="n">
        <f aca="false">IF(O4&gt;=2,t_ch+t_I+2*O6+2*t_pos,0)</f>
        <v>88.4571428571429</v>
      </c>
      <c r="P7" s="1" t="n">
        <f aca="false">IF(P4&gt;=2,t_ch+t_I+2*P6+2*t_pos,0)</f>
        <v>92.7571428571429</v>
      </c>
      <c r="Q7" s="1" t="n">
        <f aca="false">IF(Q4&gt;=2,t_ch+t_I+2*Q6+2*t_pos,0)</f>
        <v>97.0571428571429</v>
      </c>
      <c r="R7" s="1" t="n">
        <f aca="false">IF(R4&gt;=2,t_ch+t_I+2*R6+2*t_pos,0)</f>
        <v>101.357142857143</v>
      </c>
      <c r="S7" s="1" t="n">
        <f aca="false">IF(S4&gt;=2,t_ch+t_I+2*S6+2*t_pos,0)</f>
        <v>105.657142857143</v>
      </c>
      <c r="T7" s="1" t="n">
        <f aca="false">IF(T4&gt;=2,t_ch+t_I+2*T6+2*t_pos,0)</f>
        <v>109.957142857143</v>
      </c>
      <c r="U7" s="1" t="n">
        <f aca="false">IF(U4&gt;=2,t_ch+t_I+2*U6+2*t_pos,0)</f>
        <v>114.257142857143</v>
      </c>
      <c r="V7" s="1" t="n">
        <f aca="false">IF(V4&gt;=2,t_ch+t_I+2*V6+2*t_pos,0)</f>
        <v>118.557142857143</v>
      </c>
    </row>
    <row r="9" customFormat="false" ht="30" hidden="false" customHeight="true" outlineLevel="0" collapsed="false">
      <c r="A9" s="25" t="s">
        <v>210</v>
      </c>
      <c r="X9" s="4" t="s">
        <v>211</v>
      </c>
      <c r="Y9" s="4" t="s">
        <v>212</v>
      </c>
      <c r="Z9" s="4" t="s">
        <v>182</v>
      </c>
      <c r="AA9" s="4" t="s">
        <v>213</v>
      </c>
      <c r="AB9" s="4" t="s">
        <v>214</v>
      </c>
    </row>
    <row r="10" customFormat="false" ht="15" hidden="false" customHeight="true" outlineLevel="0" collapsed="false">
      <c r="A10" s="1" t="n">
        <v>1</v>
      </c>
      <c r="C10" s="1" t="n">
        <f aca="false">IF(C$4&gt;$A10,0,IF(dist_mode="Uniform",1,IF(C$4&lt;=nA,shareA/nA,IF(C$4&lt;=nA+nB,shareB/nB,IF($A10-nA-nB&gt;0,shareC/($A10-nA-nB),0)))))</f>
        <v>0.4</v>
      </c>
      <c r="D10" s="1" t="n">
        <f aca="false">IF(D$4&gt;$A10,0,IF(dist_mode="Uniform",1,IF(D$4&lt;=nA,shareA/nA,IF(D$4&lt;=nA+nB,shareB/nB,IF($A10-nA-nB&gt;0,shareC/($A10-nA-nB),0)))))</f>
        <v>0</v>
      </c>
      <c r="E10" s="1" t="n">
        <f aca="false">IF(E$4&gt;$A10,0,IF(dist_mode="Uniform",1,IF(E$4&lt;=nA,shareA/nA,IF(E$4&lt;=nA+nB,shareB/nB,IF($A10-nA-nB&gt;0,shareC/($A10-nA-nB),0)))))</f>
        <v>0</v>
      </c>
      <c r="F10" s="1" t="n">
        <f aca="false">IF(F$4&gt;$A10,0,IF(dist_mode="Uniform",1,IF(F$4&lt;=nA,shareA/nA,IF(F$4&lt;=nA+nB,shareB/nB,IF($A10-nA-nB&gt;0,shareC/($A10-nA-nB),0)))))</f>
        <v>0</v>
      </c>
      <c r="G10" s="1" t="n">
        <f aca="false">IF(G$4&gt;$A10,0,IF(dist_mode="Uniform",1,IF(G$4&lt;=nA,shareA/nA,IF(G$4&lt;=nA+nB,shareB/nB,IF($A10-nA-nB&gt;0,shareC/($A10-nA-nB),0)))))</f>
        <v>0</v>
      </c>
      <c r="H10" s="1" t="n">
        <f aca="false">IF(H$4&gt;$A10,0,IF(dist_mode="Uniform",1,IF(H$4&lt;=nA,shareA/nA,IF(H$4&lt;=nA+nB,shareB/nB,IF($A10-nA-nB&gt;0,shareC/($A10-nA-nB),0)))))</f>
        <v>0</v>
      </c>
      <c r="I10" s="1" t="n">
        <f aca="false">IF(I$4&gt;$A10,0,IF(dist_mode="Uniform",1,IF(I$4&lt;=nA,shareA/nA,IF(I$4&lt;=nA+nB,shareB/nB,IF($A10-nA-nB&gt;0,shareC/($A10-nA-nB),0)))))</f>
        <v>0</v>
      </c>
      <c r="J10" s="1" t="n">
        <f aca="false">IF(J$4&gt;$A10,0,IF(dist_mode="Uniform",1,IF(J$4&lt;=nA,shareA/nA,IF(J$4&lt;=nA+nB,shareB/nB,IF($A10-nA-nB&gt;0,shareC/($A10-nA-nB),0)))))</f>
        <v>0</v>
      </c>
      <c r="K10" s="1" t="n">
        <f aca="false">IF(K$4&gt;$A10,0,IF(dist_mode="Uniform",1,IF(K$4&lt;=nA,shareA/nA,IF(K$4&lt;=nA+nB,shareB/nB,IF($A10-nA-nB&gt;0,shareC/($A10-nA-nB),0)))))</f>
        <v>0</v>
      </c>
      <c r="L10" s="1" t="n">
        <f aca="false">IF(L$4&gt;$A10,0,IF(dist_mode="Uniform",1,IF(L$4&lt;=nA,shareA/nA,IF(L$4&lt;=nA+nB,shareB/nB,IF($A10-nA-nB&gt;0,shareC/($A10-nA-nB),0)))))</f>
        <v>0</v>
      </c>
      <c r="M10" s="1" t="n">
        <f aca="false">IF(M$4&gt;$A10,0,IF(dist_mode="Uniform",1,IF(M$4&lt;=nA,shareA/nA,IF(M$4&lt;=nA+nB,shareB/nB,IF($A10-nA-nB&gt;0,shareC/($A10-nA-nB),0)))))</f>
        <v>0</v>
      </c>
      <c r="N10" s="1" t="n">
        <f aca="false">IF(N$4&gt;$A10,0,IF(dist_mode="Uniform",1,IF(N$4&lt;=nA,shareA/nA,IF(N$4&lt;=nA+nB,shareB/nB,IF($A10-nA-nB&gt;0,shareC/($A10-nA-nB),0)))))</f>
        <v>0</v>
      </c>
      <c r="O10" s="1" t="n">
        <f aca="false">IF(O$4&gt;$A10,0,IF(dist_mode="Uniform",1,IF(O$4&lt;=nA,shareA/nA,IF(O$4&lt;=nA+nB,shareB/nB,IF($A10-nA-nB&gt;0,shareC/($A10-nA-nB),0)))))</f>
        <v>0</v>
      </c>
      <c r="P10" s="1" t="n">
        <f aca="false">IF(P$4&gt;$A10,0,IF(dist_mode="Uniform",1,IF(P$4&lt;=nA,shareA/nA,IF(P$4&lt;=nA+nB,shareB/nB,IF($A10-nA-nB&gt;0,shareC/($A10-nA-nB),0)))))</f>
        <v>0</v>
      </c>
      <c r="Q10" s="1" t="n">
        <f aca="false">IF(Q$4&gt;$A10,0,IF(dist_mode="Uniform",1,IF(Q$4&lt;=nA,shareA/nA,IF(Q$4&lt;=nA+nB,shareB/nB,IF($A10-nA-nB&gt;0,shareC/($A10-nA-nB),0)))))</f>
        <v>0</v>
      </c>
      <c r="R10" s="1" t="n">
        <f aca="false">IF(R$4&gt;$A10,0,IF(dist_mode="Uniform",1,IF(R$4&lt;=nA,shareA/nA,IF(R$4&lt;=nA+nB,shareB/nB,IF($A10-nA-nB&gt;0,shareC/($A10-nA-nB),0)))))</f>
        <v>0</v>
      </c>
      <c r="S10" s="1" t="n">
        <f aca="false">IF(S$4&gt;$A10,0,IF(dist_mode="Uniform",1,IF(S$4&lt;=nA,shareA/nA,IF(S$4&lt;=nA+nB,shareB/nB,IF($A10-nA-nB&gt;0,shareC/($A10-nA-nB),0)))))</f>
        <v>0</v>
      </c>
      <c r="T10" s="1" t="n">
        <f aca="false">IF(T$4&gt;$A10,0,IF(dist_mode="Uniform",1,IF(T$4&lt;=nA,shareA/nA,IF(T$4&lt;=nA+nB,shareB/nB,IF($A10-nA-nB&gt;0,shareC/($A10-nA-nB),0)))))</f>
        <v>0</v>
      </c>
      <c r="U10" s="1" t="n">
        <f aca="false">IF(U$4&gt;$A10,0,IF(dist_mode="Uniform",1,IF(U$4&lt;=nA,shareA/nA,IF(U$4&lt;=nA+nB,shareB/nB,IF($A10-nA-nB&gt;0,shareC/($A10-nA-nB),0)))))</f>
        <v>0</v>
      </c>
      <c r="V10" s="1" t="n">
        <f aca="false">IF(V$4&gt;$A10,0,IF(dist_mode="Uniform",1,IF(V$4&lt;=nA,shareA/nA,IF(V$4&lt;=nA+nB,shareB/nB,IF($A10-nA-nB&gt;0,shareC/($A10-nA-nB),0)))))</f>
        <v>0</v>
      </c>
      <c r="X10" s="49" t="n">
        <f aca="false">SUM(C10:V10)</f>
        <v>0.4</v>
      </c>
      <c r="Y10" s="49" t="n">
        <f aca="false">C10/X10</f>
        <v>1</v>
      </c>
      <c r="Z10" s="49" t="n">
        <f aca="false">1-Y10</f>
        <v>0</v>
      </c>
      <c r="AA10" s="50" t="n">
        <f aca="false">IF(Z10&lt;=0.000000000001,0,SUMPRODUCT(D10:V10,D$7:V$7)/(X10-C10))</f>
        <v>0</v>
      </c>
      <c r="AB10" s="51" t="n">
        <f aca="false">SUMPRODUCT(C10:V10,C$5:V$5)/X10</f>
        <v>0</v>
      </c>
    </row>
    <row r="11" customFormat="false" ht="15" hidden="false" customHeight="true" outlineLevel="0" collapsed="false">
      <c r="A11" s="1" t="n">
        <v>2</v>
      </c>
      <c r="C11" s="1" t="n">
        <f aca="false">IF(C$4&gt;$A11,0,IF(dist_mode="Uniform",1,IF(C$4&lt;=nA,shareA/nA,IF(C$4&lt;=nA+nB,shareB/nB,IF($A11-nA-nB&gt;0,shareC/($A11-nA-nB),0)))))</f>
        <v>0.4</v>
      </c>
      <c r="D11" s="1" t="n">
        <f aca="false">IF(D$4&gt;$A11,0,IF(dist_mode="Uniform",1,IF(D$4&lt;=nA,shareA/nA,IF(D$4&lt;=nA+nB,shareB/nB,IF($A11-nA-nB&gt;0,shareC/($A11-nA-nB),0)))))</f>
        <v>0.4</v>
      </c>
      <c r="E11" s="1" t="n">
        <f aca="false">IF(E$4&gt;$A11,0,IF(dist_mode="Uniform",1,IF(E$4&lt;=nA,shareA/nA,IF(E$4&lt;=nA+nB,shareB/nB,IF($A11-nA-nB&gt;0,shareC/($A11-nA-nB),0)))))</f>
        <v>0</v>
      </c>
      <c r="F11" s="1" t="n">
        <f aca="false">IF(F$4&gt;$A11,0,IF(dist_mode="Uniform",1,IF(F$4&lt;=nA,shareA/nA,IF(F$4&lt;=nA+nB,shareB/nB,IF($A11-nA-nB&gt;0,shareC/($A11-nA-nB),0)))))</f>
        <v>0</v>
      </c>
      <c r="G11" s="1" t="n">
        <f aca="false">IF(G$4&gt;$A11,0,IF(dist_mode="Uniform",1,IF(G$4&lt;=nA,shareA/nA,IF(G$4&lt;=nA+nB,shareB/nB,IF($A11-nA-nB&gt;0,shareC/($A11-nA-nB),0)))))</f>
        <v>0</v>
      </c>
      <c r="H11" s="1" t="n">
        <f aca="false">IF(H$4&gt;$A11,0,IF(dist_mode="Uniform",1,IF(H$4&lt;=nA,shareA/nA,IF(H$4&lt;=nA+nB,shareB/nB,IF($A11-nA-nB&gt;0,shareC/($A11-nA-nB),0)))))</f>
        <v>0</v>
      </c>
      <c r="I11" s="1" t="n">
        <f aca="false">IF(I$4&gt;$A11,0,IF(dist_mode="Uniform",1,IF(I$4&lt;=nA,shareA/nA,IF(I$4&lt;=nA+nB,shareB/nB,IF($A11-nA-nB&gt;0,shareC/($A11-nA-nB),0)))))</f>
        <v>0</v>
      </c>
      <c r="J11" s="1" t="n">
        <f aca="false">IF(J$4&gt;$A11,0,IF(dist_mode="Uniform",1,IF(J$4&lt;=nA,shareA/nA,IF(J$4&lt;=nA+nB,shareB/nB,IF($A11-nA-nB&gt;0,shareC/($A11-nA-nB),0)))))</f>
        <v>0</v>
      </c>
      <c r="K11" s="1" t="n">
        <f aca="false">IF(K$4&gt;$A11,0,IF(dist_mode="Uniform",1,IF(K$4&lt;=nA,shareA/nA,IF(K$4&lt;=nA+nB,shareB/nB,IF($A11-nA-nB&gt;0,shareC/($A11-nA-nB),0)))))</f>
        <v>0</v>
      </c>
      <c r="L11" s="1" t="n">
        <f aca="false">IF(L$4&gt;$A11,0,IF(dist_mode="Uniform",1,IF(L$4&lt;=nA,shareA/nA,IF(L$4&lt;=nA+nB,shareB/nB,IF($A11-nA-nB&gt;0,shareC/($A11-nA-nB),0)))))</f>
        <v>0</v>
      </c>
      <c r="M11" s="1" t="n">
        <f aca="false">IF(M$4&gt;$A11,0,IF(dist_mode="Uniform",1,IF(M$4&lt;=nA,shareA/nA,IF(M$4&lt;=nA+nB,shareB/nB,IF($A11-nA-nB&gt;0,shareC/($A11-nA-nB),0)))))</f>
        <v>0</v>
      </c>
      <c r="N11" s="1" t="n">
        <f aca="false">IF(N$4&gt;$A11,0,IF(dist_mode="Uniform",1,IF(N$4&lt;=nA,shareA/nA,IF(N$4&lt;=nA+nB,shareB/nB,IF($A11-nA-nB&gt;0,shareC/($A11-nA-nB),0)))))</f>
        <v>0</v>
      </c>
      <c r="O11" s="1" t="n">
        <f aca="false">IF(O$4&gt;$A11,0,IF(dist_mode="Uniform",1,IF(O$4&lt;=nA,shareA/nA,IF(O$4&lt;=nA+nB,shareB/nB,IF($A11-nA-nB&gt;0,shareC/($A11-nA-nB),0)))))</f>
        <v>0</v>
      </c>
      <c r="P11" s="1" t="n">
        <f aca="false">IF(P$4&gt;$A11,0,IF(dist_mode="Uniform",1,IF(P$4&lt;=nA,shareA/nA,IF(P$4&lt;=nA+nB,shareB/nB,IF($A11-nA-nB&gt;0,shareC/($A11-nA-nB),0)))))</f>
        <v>0</v>
      </c>
      <c r="Q11" s="1" t="n">
        <f aca="false">IF(Q$4&gt;$A11,0,IF(dist_mode="Uniform",1,IF(Q$4&lt;=nA,shareA/nA,IF(Q$4&lt;=nA+nB,shareB/nB,IF($A11-nA-nB&gt;0,shareC/($A11-nA-nB),0)))))</f>
        <v>0</v>
      </c>
      <c r="R11" s="1" t="n">
        <f aca="false">IF(R$4&gt;$A11,0,IF(dist_mode="Uniform",1,IF(R$4&lt;=nA,shareA/nA,IF(R$4&lt;=nA+nB,shareB/nB,IF($A11-nA-nB&gt;0,shareC/($A11-nA-nB),0)))))</f>
        <v>0</v>
      </c>
      <c r="S11" s="1" t="n">
        <f aca="false">IF(S$4&gt;$A11,0,IF(dist_mode="Uniform",1,IF(S$4&lt;=nA,shareA/nA,IF(S$4&lt;=nA+nB,shareB/nB,IF($A11-nA-nB&gt;0,shareC/($A11-nA-nB),0)))))</f>
        <v>0</v>
      </c>
      <c r="T11" s="1" t="n">
        <f aca="false">IF(T$4&gt;$A11,0,IF(dist_mode="Uniform",1,IF(T$4&lt;=nA,shareA/nA,IF(T$4&lt;=nA+nB,shareB/nB,IF($A11-nA-nB&gt;0,shareC/($A11-nA-nB),0)))))</f>
        <v>0</v>
      </c>
      <c r="U11" s="1" t="n">
        <f aca="false">IF(U$4&gt;$A11,0,IF(dist_mode="Uniform",1,IF(U$4&lt;=nA,shareA/nA,IF(U$4&lt;=nA+nB,shareB/nB,IF($A11-nA-nB&gt;0,shareC/($A11-nA-nB),0)))))</f>
        <v>0</v>
      </c>
      <c r="V11" s="1" t="n">
        <f aca="false">IF(V$4&gt;$A11,0,IF(dist_mode="Uniform",1,IF(V$4&lt;=nA,shareA/nA,IF(V$4&lt;=nA+nB,shareB/nB,IF($A11-nA-nB&gt;0,shareC/($A11-nA-nB),0)))))</f>
        <v>0</v>
      </c>
      <c r="X11" s="49" t="n">
        <f aca="false">SUM(C11:V11)</f>
        <v>0.8</v>
      </c>
      <c r="Y11" s="49" t="n">
        <f aca="false">C11/X11</f>
        <v>0.5</v>
      </c>
      <c r="Z11" s="49" t="n">
        <f aca="false">1-Y11</f>
        <v>0.5</v>
      </c>
      <c r="AA11" s="50" t="n">
        <f aca="false">IF(Z11&lt;=0.000000000001,0,SUMPRODUCT(D11:V11,D$7:V$7)/(X11-C11))</f>
        <v>41.1571428571429</v>
      </c>
      <c r="AB11" s="51" t="n">
        <f aca="false">SUMPRODUCT(C11:V11,C$5:V$5)/X11</f>
        <v>1.075</v>
      </c>
    </row>
    <row r="12" customFormat="false" ht="15" hidden="false" customHeight="true" outlineLevel="0" collapsed="false">
      <c r="A12" s="1" t="n">
        <v>3</v>
      </c>
      <c r="C12" s="1" t="n">
        <f aca="false">IF(C$4&gt;$A12,0,IF(dist_mode="Uniform",1,IF(C$4&lt;=nA,shareA/nA,IF(C$4&lt;=nA+nB,shareB/nB,IF($A12-nA-nB&gt;0,shareC/($A12-nA-nB),0)))))</f>
        <v>0.4</v>
      </c>
      <c r="D12" s="1" t="n">
        <f aca="false">IF(D$4&gt;$A12,0,IF(dist_mode="Uniform",1,IF(D$4&lt;=nA,shareA/nA,IF(D$4&lt;=nA+nB,shareB/nB,IF($A12-nA-nB&gt;0,shareC/($A12-nA-nB),0)))))</f>
        <v>0.4</v>
      </c>
      <c r="E12" s="1" t="n">
        <f aca="false">IF(E$4&gt;$A12,0,IF(dist_mode="Uniform",1,IF(E$4&lt;=nA,shareA/nA,IF(E$4&lt;=nA+nB,shareB/nB,IF($A12-nA-nB&gt;0,shareC/($A12-nA-nB),0)))))</f>
        <v>0.05</v>
      </c>
      <c r="F12" s="1" t="n">
        <f aca="false">IF(F$4&gt;$A12,0,IF(dist_mode="Uniform",1,IF(F$4&lt;=nA,shareA/nA,IF(F$4&lt;=nA+nB,shareB/nB,IF($A12-nA-nB&gt;0,shareC/($A12-nA-nB),0)))))</f>
        <v>0</v>
      </c>
      <c r="G12" s="1" t="n">
        <f aca="false">IF(G$4&gt;$A12,0,IF(dist_mode="Uniform",1,IF(G$4&lt;=nA,shareA/nA,IF(G$4&lt;=nA+nB,shareB/nB,IF($A12-nA-nB&gt;0,shareC/($A12-nA-nB),0)))))</f>
        <v>0</v>
      </c>
      <c r="H12" s="1" t="n">
        <f aca="false">IF(H$4&gt;$A12,0,IF(dist_mode="Uniform",1,IF(H$4&lt;=nA,shareA/nA,IF(H$4&lt;=nA+nB,shareB/nB,IF($A12-nA-nB&gt;0,shareC/($A12-nA-nB),0)))))</f>
        <v>0</v>
      </c>
      <c r="I12" s="1" t="n">
        <f aca="false">IF(I$4&gt;$A12,0,IF(dist_mode="Uniform",1,IF(I$4&lt;=nA,shareA/nA,IF(I$4&lt;=nA+nB,shareB/nB,IF($A12-nA-nB&gt;0,shareC/($A12-nA-nB),0)))))</f>
        <v>0</v>
      </c>
      <c r="J12" s="1" t="n">
        <f aca="false">IF(J$4&gt;$A12,0,IF(dist_mode="Uniform",1,IF(J$4&lt;=nA,shareA/nA,IF(J$4&lt;=nA+nB,shareB/nB,IF($A12-nA-nB&gt;0,shareC/($A12-nA-nB),0)))))</f>
        <v>0</v>
      </c>
      <c r="K12" s="1" t="n">
        <f aca="false">IF(K$4&gt;$A12,0,IF(dist_mode="Uniform",1,IF(K$4&lt;=nA,shareA/nA,IF(K$4&lt;=nA+nB,shareB/nB,IF($A12-nA-nB&gt;0,shareC/($A12-nA-nB),0)))))</f>
        <v>0</v>
      </c>
      <c r="L12" s="1" t="n">
        <f aca="false">IF(L$4&gt;$A12,0,IF(dist_mode="Uniform",1,IF(L$4&lt;=nA,shareA/nA,IF(L$4&lt;=nA+nB,shareB/nB,IF($A12-nA-nB&gt;0,shareC/($A12-nA-nB),0)))))</f>
        <v>0</v>
      </c>
      <c r="M12" s="1" t="n">
        <f aca="false">IF(M$4&gt;$A12,0,IF(dist_mode="Uniform",1,IF(M$4&lt;=nA,shareA/nA,IF(M$4&lt;=nA+nB,shareB/nB,IF($A12-nA-nB&gt;0,shareC/($A12-nA-nB),0)))))</f>
        <v>0</v>
      </c>
      <c r="N12" s="1" t="n">
        <f aca="false">IF(N$4&gt;$A12,0,IF(dist_mode="Uniform",1,IF(N$4&lt;=nA,shareA/nA,IF(N$4&lt;=nA+nB,shareB/nB,IF($A12-nA-nB&gt;0,shareC/($A12-nA-nB),0)))))</f>
        <v>0</v>
      </c>
      <c r="O12" s="1" t="n">
        <f aca="false">IF(O$4&gt;$A12,0,IF(dist_mode="Uniform",1,IF(O$4&lt;=nA,shareA/nA,IF(O$4&lt;=nA+nB,shareB/nB,IF($A12-nA-nB&gt;0,shareC/($A12-nA-nB),0)))))</f>
        <v>0</v>
      </c>
      <c r="P12" s="1" t="n">
        <f aca="false">IF(P$4&gt;$A12,0,IF(dist_mode="Uniform",1,IF(P$4&lt;=nA,shareA/nA,IF(P$4&lt;=nA+nB,shareB/nB,IF($A12-nA-nB&gt;0,shareC/($A12-nA-nB),0)))))</f>
        <v>0</v>
      </c>
      <c r="Q12" s="1" t="n">
        <f aca="false">IF(Q$4&gt;$A12,0,IF(dist_mode="Uniform",1,IF(Q$4&lt;=nA,shareA/nA,IF(Q$4&lt;=nA+nB,shareB/nB,IF($A12-nA-nB&gt;0,shareC/($A12-nA-nB),0)))))</f>
        <v>0</v>
      </c>
      <c r="R12" s="1" t="n">
        <f aca="false">IF(R$4&gt;$A12,0,IF(dist_mode="Uniform",1,IF(R$4&lt;=nA,shareA/nA,IF(R$4&lt;=nA+nB,shareB/nB,IF($A12-nA-nB&gt;0,shareC/($A12-nA-nB),0)))))</f>
        <v>0</v>
      </c>
      <c r="S12" s="1" t="n">
        <f aca="false">IF(S$4&gt;$A12,0,IF(dist_mode="Uniform",1,IF(S$4&lt;=nA,shareA/nA,IF(S$4&lt;=nA+nB,shareB/nB,IF($A12-nA-nB&gt;0,shareC/($A12-nA-nB),0)))))</f>
        <v>0</v>
      </c>
      <c r="T12" s="1" t="n">
        <f aca="false">IF(T$4&gt;$A12,0,IF(dist_mode="Uniform",1,IF(T$4&lt;=nA,shareA/nA,IF(T$4&lt;=nA+nB,shareB/nB,IF($A12-nA-nB&gt;0,shareC/($A12-nA-nB),0)))))</f>
        <v>0</v>
      </c>
      <c r="U12" s="1" t="n">
        <f aca="false">IF(U$4&gt;$A12,0,IF(dist_mode="Uniform",1,IF(U$4&lt;=nA,shareA/nA,IF(U$4&lt;=nA+nB,shareB/nB,IF($A12-nA-nB&gt;0,shareC/($A12-nA-nB),0)))))</f>
        <v>0</v>
      </c>
      <c r="V12" s="1" t="n">
        <f aca="false">IF(V$4&gt;$A12,0,IF(dist_mode="Uniform",1,IF(V$4&lt;=nA,shareA/nA,IF(V$4&lt;=nA+nB,shareB/nB,IF($A12-nA-nB&gt;0,shareC/($A12-nA-nB),0)))))</f>
        <v>0</v>
      </c>
      <c r="X12" s="49" t="n">
        <f aca="false">SUM(C12:V12)</f>
        <v>0.85</v>
      </c>
      <c r="Y12" s="49" t="n">
        <f aca="false">C12/X12</f>
        <v>0.470588235294118</v>
      </c>
      <c r="Z12" s="49" t="n">
        <f aca="false">1-Y12</f>
        <v>0.529411764705882</v>
      </c>
      <c r="AA12" s="50" t="n">
        <f aca="false">IF(Z12&lt;=0.000000000001,0,SUMPRODUCT(D12:V12,D$7:V$7)/(X12-C12))</f>
        <v>41.6349206349206</v>
      </c>
      <c r="AB12" s="51" t="n">
        <f aca="false">SUMPRODUCT(C12:V12,C$5:V$5)/X12</f>
        <v>1.26470588235294</v>
      </c>
    </row>
    <row r="13" customFormat="false" ht="15" hidden="false" customHeight="true" outlineLevel="0" collapsed="false">
      <c r="A13" s="1" t="n">
        <v>4</v>
      </c>
      <c r="C13" s="1" t="n">
        <f aca="false">IF(C$4&gt;$A13,0,IF(dist_mode="Uniform",1,IF(C$4&lt;=nA,shareA/nA,IF(C$4&lt;=nA+nB,shareB/nB,IF($A13-nA-nB&gt;0,shareC/($A13-nA-nB),0)))))</f>
        <v>0.4</v>
      </c>
      <c r="D13" s="1" t="n">
        <f aca="false">IF(D$4&gt;$A13,0,IF(dist_mode="Uniform",1,IF(D$4&lt;=nA,shareA/nA,IF(D$4&lt;=nA+nB,shareB/nB,IF($A13-nA-nB&gt;0,shareC/($A13-nA-nB),0)))))</f>
        <v>0.4</v>
      </c>
      <c r="E13" s="1" t="n">
        <f aca="false">IF(E$4&gt;$A13,0,IF(dist_mode="Uniform",1,IF(E$4&lt;=nA,shareA/nA,IF(E$4&lt;=nA+nB,shareB/nB,IF($A13-nA-nB&gt;0,shareC/($A13-nA-nB),0)))))</f>
        <v>0.05</v>
      </c>
      <c r="F13" s="1" t="n">
        <f aca="false">IF(F$4&gt;$A13,0,IF(dist_mode="Uniform",1,IF(F$4&lt;=nA,shareA/nA,IF(F$4&lt;=nA+nB,shareB/nB,IF($A13-nA-nB&gt;0,shareC/($A13-nA-nB),0)))))</f>
        <v>0.05</v>
      </c>
      <c r="G13" s="1" t="n">
        <f aca="false">IF(G$4&gt;$A13,0,IF(dist_mode="Uniform",1,IF(G$4&lt;=nA,shareA/nA,IF(G$4&lt;=nA+nB,shareB/nB,IF($A13-nA-nB&gt;0,shareC/($A13-nA-nB),0)))))</f>
        <v>0</v>
      </c>
      <c r="H13" s="1" t="n">
        <f aca="false">IF(H$4&gt;$A13,0,IF(dist_mode="Uniform",1,IF(H$4&lt;=nA,shareA/nA,IF(H$4&lt;=nA+nB,shareB/nB,IF($A13-nA-nB&gt;0,shareC/($A13-nA-nB),0)))))</f>
        <v>0</v>
      </c>
      <c r="I13" s="1" t="n">
        <f aca="false">IF(I$4&gt;$A13,0,IF(dist_mode="Uniform",1,IF(I$4&lt;=nA,shareA/nA,IF(I$4&lt;=nA+nB,shareB/nB,IF($A13-nA-nB&gt;0,shareC/($A13-nA-nB),0)))))</f>
        <v>0</v>
      </c>
      <c r="J13" s="1" t="n">
        <f aca="false">IF(J$4&gt;$A13,0,IF(dist_mode="Uniform",1,IF(J$4&lt;=nA,shareA/nA,IF(J$4&lt;=nA+nB,shareB/nB,IF($A13-nA-nB&gt;0,shareC/($A13-nA-nB),0)))))</f>
        <v>0</v>
      </c>
      <c r="K13" s="1" t="n">
        <f aca="false">IF(K$4&gt;$A13,0,IF(dist_mode="Uniform",1,IF(K$4&lt;=nA,shareA/nA,IF(K$4&lt;=nA+nB,shareB/nB,IF($A13-nA-nB&gt;0,shareC/($A13-nA-nB),0)))))</f>
        <v>0</v>
      </c>
      <c r="L13" s="1" t="n">
        <f aca="false">IF(L$4&gt;$A13,0,IF(dist_mode="Uniform",1,IF(L$4&lt;=nA,shareA/nA,IF(L$4&lt;=nA+nB,shareB/nB,IF($A13-nA-nB&gt;0,shareC/($A13-nA-nB),0)))))</f>
        <v>0</v>
      </c>
      <c r="M13" s="1" t="n">
        <f aca="false">IF(M$4&gt;$A13,0,IF(dist_mode="Uniform",1,IF(M$4&lt;=nA,shareA/nA,IF(M$4&lt;=nA+nB,shareB/nB,IF($A13-nA-nB&gt;0,shareC/($A13-nA-nB),0)))))</f>
        <v>0</v>
      </c>
      <c r="N13" s="1" t="n">
        <f aca="false">IF(N$4&gt;$A13,0,IF(dist_mode="Uniform",1,IF(N$4&lt;=nA,shareA/nA,IF(N$4&lt;=nA+nB,shareB/nB,IF($A13-nA-nB&gt;0,shareC/($A13-nA-nB),0)))))</f>
        <v>0</v>
      </c>
      <c r="O13" s="1" t="n">
        <f aca="false">IF(O$4&gt;$A13,0,IF(dist_mode="Uniform",1,IF(O$4&lt;=nA,shareA/nA,IF(O$4&lt;=nA+nB,shareB/nB,IF($A13-nA-nB&gt;0,shareC/($A13-nA-nB),0)))))</f>
        <v>0</v>
      </c>
      <c r="P13" s="1" t="n">
        <f aca="false">IF(P$4&gt;$A13,0,IF(dist_mode="Uniform",1,IF(P$4&lt;=nA,shareA/nA,IF(P$4&lt;=nA+nB,shareB/nB,IF($A13-nA-nB&gt;0,shareC/($A13-nA-nB),0)))))</f>
        <v>0</v>
      </c>
      <c r="Q13" s="1" t="n">
        <f aca="false">IF(Q$4&gt;$A13,0,IF(dist_mode="Uniform",1,IF(Q$4&lt;=nA,shareA/nA,IF(Q$4&lt;=nA+nB,shareB/nB,IF($A13-nA-nB&gt;0,shareC/($A13-nA-nB),0)))))</f>
        <v>0</v>
      </c>
      <c r="R13" s="1" t="n">
        <f aca="false">IF(R$4&gt;$A13,0,IF(dist_mode="Uniform",1,IF(R$4&lt;=nA,shareA/nA,IF(R$4&lt;=nA+nB,shareB/nB,IF($A13-nA-nB&gt;0,shareC/($A13-nA-nB),0)))))</f>
        <v>0</v>
      </c>
      <c r="S13" s="1" t="n">
        <f aca="false">IF(S$4&gt;$A13,0,IF(dist_mode="Uniform",1,IF(S$4&lt;=nA,shareA/nA,IF(S$4&lt;=nA+nB,shareB/nB,IF($A13-nA-nB&gt;0,shareC/($A13-nA-nB),0)))))</f>
        <v>0</v>
      </c>
      <c r="T13" s="1" t="n">
        <f aca="false">IF(T$4&gt;$A13,0,IF(dist_mode="Uniform",1,IF(T$4&lt;=nA,shareA/nA,IF(T$4&lt;=nA+nB,shareB/nB,IF($A13-nA-nB&gt;0,shareC/($A13-nA-nB),0)))))</f>
        <v>0</v>
      </c>
      <c r="U13" s="1" t="n">
        <f aca="false">IF(U$4&gt;$A13,0,IF(dist_mode="Uniform",1,IF(U$4&lt;=nA,shareA/nA,IF(U$4&lt;=nA+nB,shareB/nB,IF($A13-nA-nB&gt;0,shareC/($A13-nA-nB),0)))))</f>
        <v>0</v>
      </c>
      <c r="V13" s="1" t="n">
        <f aca="false">IF(V$4&gt;$A13,0,IF(dist_mode="Uniform",1,IF(V$4&lt;=nA,shareA/nA,IF(V$4&lt;=nA+nB,shareB/nB,IF($A13-nA-nB&gt;0,shareC/($A13-nA-nB),0)))))</f>
        <v>0</v>
      </c>
      <c r="X13" s="49" t="n">
        <f aca="false">SUM(C13:V13)</f>
        <v>0.9</v>
      </c>
      <c r="Y13" s="49" t="n">
        <f aca="false">C13/X13</f>
        <v>0.444444444444444</v>
      </c>
      <c r="Z13" s="49" t="n">
        <f aca="false">1-Y13</f>
        <v>0.555555555555556</v>
      </c>
      <c r="AA13" s="50" t="n">
        <f aca="false">IF(Z13&lt;=0.000000000001,0,SUMPRODUCT(D13:V13,D$7:V$7)/(X13-C13))</f>
        <v>42.4471428571429</v>
      </c>
      <c r="AB13" s="51" t="n">
        <f aca="false">SUMPRODUCT(C13:V13,C$5:V$5)/X13</f>
        <v>1.55277777777778</v>
      </c>
    </row>
    <row r="14" customFormat="false" ht="15" hidden="false" customHeight="true" outlineLevel="0" collapsed="false">
      <c r="A14" s="1" t="n">
        <v>5</v>
      </c>
      <c r="C14" s="1" t="n">
        <f aca="false">IF(C$4&gt;$A14,0,IF(dist_mode="Uniform",1,IF(C$4&lt;=nA,shareA/nA,IF(C$4&lt;=nA+nB,shareB/nB,IF($A14-nA-nB&gt;0,shareC/($A14-nA-nB),0)))))</f>
        <v>0.4</v>
      </c>
      <c r="D14" s="1" t="n">
        <f aca="false">IF(D$4&gt;$A14,0,IF(dist_mode="Uniform",1,IF(D$4&lt;=nA,shareA/nA,IF(D$4&lt;=nA+nB,shareB/nB,IF($A14-nA-nB&gt;0,shareC/($A14-nA-nB),0)))))</f>
        <v>0.4</v>
      </c>
      <c r="E14" s="1" t="n">
        <f aca="false">IF(E$4&gt;$A14,0,IF(dist_mode="Uniform",1,IF(E$4&lt;=nA,shareA/nA,IF(E$4&lt;=nA+nB,shareB/nB,IF($A14-nA-nB&gt;0,shareC/($A14-nA-nB),0)))))</f>
        <v>0.05</v>
      </c>
      <c r="F14" s="1" t="n">
        <f aca="false">IF(F$4&gt;$A14,0,IF(dist_mode="Uniform",1,IF(F$4&lt;=nA,shareA/nA,IF(F$4&lt;=nA+nB,shareB/nB,IF($A14-nA-nB&gt;0,shareC/($A14-nA-nB),0)))))</f>
        <v>0.05</v>
      </c>
      <c r="G14" s="1" t="n">
        <f aca="false">IF(G$4&gt;$A14,0,IF(dist_mode="Uniform",1,IF(G$4&lt;=nA,shareA/nA,IF(G$4&lt;=nA+nB,shareB/nB,IF($A14-nA-nB&gt;0,shareC/($A14-nA-nB),0)))))</f>
        <v>0.05</v>
      </c>
      <c r="H14" s="1" t="n">
        <f aca="false">IF(H$4&gt;$A14,0,IF(dist_mode="Uniform",1,IF(H$4&lt;=nA,shareA/nA,IF(H$4&lt;=nA+nB,shareB/nB,IF($A14-nA-nB&gt;0,shareC/($A14-nA-nB),0)))))</f>
        <v>0</v>
      </c>
      <c r="I14" s="1" t="n">
        <f aca="false">IF(I$4&gt;$A14,0,IF(dist_mode="Uniform",1,IF(I$4&lt;=nA,shareA/nA,IF(I$4&lt;=nA+nB,shareB/nB,IF($A14-nA-nB&gt;0,shareC/($A14-nA-nB),0)))))</f>
        <v>0</v>
      </c>
      <c r="J14" s="1" t="n">
        <f aca="false">IF(J$4&gt;$A14,0,IF(dist_mode="Uniform",1,IF(J$4&lt;=nA,shareA/nA,IF(J$4&lt;=nA+nB,shareB/nB,IF($A14-nA-nB&gt;0,shareC/($A14-nA-nB),0)))))</f>
        <v>0</v>
      </c>
      <c r="K14" s="1" t="n">
        <f aca="false">IF(K$4&gt;$A14,0,IF(dist_mode="Uniform",1,IF(K$4&lt;=nA,shareA/nA,IF(K$4&lt;=nA+nB,shareB/nB,IF($A14-nA-nB&gt;0,shareC/($A14-nA-nB),0)))))</f>
        <v>0</v>
      </c>
      <c r="L14" s="1" t="n">
        <f aca="false">IF(L$4&gt;$A14,0,IF(dist_mode="Uniform",1,IF(L$4&lt;=nA,shareA/nA,IF(L$4&lt;=nA+nB,shareB/nB,IF($A14-nA-nB&gt;0,shareC/($A14-nA-nB),0)))))</f>
        <v>0</v>
      </c>
      <c r="M14" s="1" t="n">
        <f aca="false">IF(M$4&gt;$A14,0,IF(dist_mode="Uniform",1,IF(M$4&lt;=nA,shareA/nA,IF(M$4&lt;=nA+nB,shareB/nB,IF($A14-nA-nB&gt;0,shareC/($A14-nA-nB),0)))))</f>
        <v>0</v>
      </c>
      <c r="N14" s="1" t="n">
        <f aca="false">IF(N$4&gt;$A14,0,IF(dist_mode="Uniform",1,IF(N$4&lt;=nA,shareA/nA,IF(N$4&lt;=nA+nB,shareB/nB,IF($A14-nA-nB&gt;0,shareC/($A14-nA-nB),0)))))</f>
        <v>0</v>
      </c>
      <c r="O14" s="1" t="n">
        <f aca="false">IF(O$4&gt;$A14,0,IF(dist_mode="Uniform",1,IF(O$4&lt;=nA,shareA/nA,IF(O$4&lt;=nA+nB,shareB/nB,IF($A14-nA-nB&gt;0,shareC/($A14-nA-nB),0)))))</f>
        <v>0</v>
      </c>
      <c r="P14" s="1" t="n">
        <f aca="false">IF(P$4&gt;$A14,0,IF(dist_mode="Uniform",1,IF(P$4&lt;=nA,shareA/nA,IF(P$4&lt;=nA+nB,shareB/nB,IF($A14-nA-nB&gt;0,shareC/($A14-nA-nB),0)))))</f>
        <v>0</v>
      </c>
      <c r="Q14" s="1" t="n">
        <f aca="false">IF(Q$4&gt;$A14,0,IF(dist_mode="Uniform",1,IF(Q$4&lt;=nA,shareA/nA,IF(Q$4&lt;=nA+nB,shareB/nB,IF($A14-nA-nB&gt;0,shareC/($A14-nA-nB),0)))))</f>
        <v>0</v>
      </c>
      <c r="R14" s="1" t="n">
        <f aca="false">IF(R$4&gt;$A14,0,IF(dist_mode="Uniform",1,IF(R$4&lt;=nA,shareA/nA,IF(R$4&lt;=nA+nB,shareB/nB,IF($A14-nA-nB&gt;0,shareC/($A14-nA-nB),0)))))</f>
        <v>0</v>
      </c>
      <c r="S14" s="1" t="n">
        <f aca="false">IF(S$4&gt;$A14,0,IF(dist_mode="Uniform",1,IF(S$4&lt;=nA,shareA/nA,IF(S$4&lt;=nA+nB,shareB/nB,IF($A14-nA-nB&gt;0,shareC/($A14-nA-nB),0)))))</f>
        <v>0</v>
      </c>
      <c r="T14" s="1" t="n">
        <f aca="false">IF(T$4&gt;$A14,0,IF(dist_mode="Uniform",1,IF(T$4&lt;=nA,shareA/nA,IF(T$4&lt;=nA+nB,shareB/nB,IF($A14-nA-nB&gt;0,shareC/($A14-nA-nB),0)))))</f>
        <v>0</v>
      </c>
      <c r="U14" s="1" t="n">
        <f aca="false">IF(U$4&gt;$A14,0,IF(dist_mode="Uniform",1,IF(U$4&lt;=nA,shareA/nA,IF(U$4&lt;=nA+nB,shareB/nB,IF($A14-nA-nB&gt;0,shareC/($A14-nA-nB),0)))))</f>
        <v>0</v>
      </c>
      <c r="V14" s="1" t="n">
        <f aca="false">IF(V$4&gt;$A14,0,IF(dist_mode="Uniform",1,IF(V$4&lt;=nA,shareA/nA,IF(V$4&lt;=nA+nB,shareB/nB,IF($A14-nA-nB&gt;0,shareC/($A14-nA-nB),0)))))</f>
        <v>0</v>
      </c>
      <c r="X14" s="49" t="n">
        <f aca="false">SUM(C14:V14)</f>
        <v>0.95</v>
      </c>
      <c r="Y14" s="49" t="n">
        <f aca="false">C14/X14</f>
        <v>0.421052631578947</v>
      </c>
      <c r="Z14" s="49" t="n">
        <f aca="false">1-Y14</f>
        <v>0.578947368421053</v>
      </c>
      <c r="AA14" s="50" t="n">
        <f aca="false">IF(Z14&lt;=0.000000000001,0,SUMPRODUCT(D14:V14,D$7:V$7)/(X14-C14))</f>
        <v>43.5025974025974</v>
      </c>
      <c r="AB14" s="51" t="n">
        <f aca="false">SUMPRODUCT(C14:V14,C$5:V$5)/X14</f>
        <v>1.92368421052632</v>
      </c>
    </row>
    <row r="15" customFormat="false" ht="15" hidden="false" customHeight="true" outlineLevel="0" collapsed="false">
      <c r="A15" s="1" t="n">
        <v>6</v>
      </c>
      <c r="C15" s="1" t="n">
        <f aca="false">IF(C$4&gt;$A15,0,IF(dist_mode="Uniform",1,IF(C$4&lt;=nA,shareA/nA,IF(C$4&lt;=nA+nB,shareB/nB,IF($A15-nA-nB&gt;0,shareC/($A15-nA-nB),0)))))</f>
        <v>0.4</v>
      </c>
      <c r="D15" s="1" t="n">
        <f aca="false">IF(D$4&gt;$A15,0,IF(dist_mode="Uniform",1,IF(D$4&lt;=nA,shareA/nA,IF(D$4&lt;=nA+nB,shareB/nB,IF($A15-nA-nB&gt;0,shareC/($A15-nA-nB),0)))))</f>
        <v>0.4</v>
      </c>
      <c r="E15" s="1" t="n">
        <f aca="false">IF(E$4&gt;$A15,0,IF(dist_mode="Uniform",1,IF(E$4&lt;=nA,shareA/nA,IF(E$4&lt;=nA+nB,shareB/nB,IF($A15-nA-nB&gt;0,shareC/($A15-nA-nB),0)))))</f>
        <v>0.05</v>
      </c>
      <c r="F15" s="1" t="n">
        <f aca="false">IF(F$4&gt;$A15,0,IF(dist_mode="Uniform",1,IF(F$4&lt;=nA,shareA/nA,IF(F$4&lt;=nA+nB,shareB/nB,IF($A15-nA-nB&gt;0,shareC/($A15-nA-nB),0)))))</f>
        <v>0.05</v>
      </c>
      <c r="G15" s="1" t="n">
        <f aca="false">IF(G$4&gt;$A15,0,IF(dist_mode="Uniform",1,IF(G$4&lt;=nA,shareA/nA,IF(G$4&lt;=nA+nB,shareB/nB,IF($A15-nA-nB&gt;0,shareC/($A15-nA-nB),0)))))</f>
        <v>0.05</v>
      </c>
      <c r="H15" s="1" t="n">
        <f aca="false">IF(H$4&gt;$A15,0,IF(dist_mode="Uniform",1,IF(H$4&lt;=nA,shareA/nA,IF(H$4&lt;=nA+nB,shareB/nB,IF($A15-nA-nB&gt;0,shareC/($A15-nA-nB),0)))))</f>
        <v>0.05</v>
      </c>
      <c r="I15" s="1" t="n">
        <f aca="false">IF(I$4&gt;$A15,0,IF(dist_mode="Uniform",1,IF(I$4&lt;=nA,shareA/nA,IF(I$4&lt;=nA+nB,shareB/nB,IF($A15-nA-nB&gt;0,shareC/($A15-nA-nB),0)))))</f>
        <v>0</v>
      </c>
      <c r="J15" s="1" t="n">
        <f aca="false">IF(J$4&gt;$A15,0,IF(dist_mode="Uniform",1,IF(J$4&lt;=nA,shareA/nA,IF(J$4&lt;=nA+nB,shareB/nB,IF($A15-nA-nB&gt;0,shareC/($A15-nA-nB),0)))))</f>
        <v>0</v>
      </c>
      <c r="K15" s="1" t="n">
        <f aca="false">IF(K$4&gt;$A15,0,IF(dist_mode="Uniform",1,IF(K$4&lt;=nA,shareA/nA,IF(K$4&lt;=nA+nB,shareB/nB,IF($A15-nA-nB&gt;0,shareC/($A15-nA-nB),0)))))</f>
        <v>0</v>
      </c>
      <c r="L15" s="1" t="n">
        <f aca="false">IF(L$4&gt;$A15,0,IF(dist_mode="Uniform",1,IF(L$4&lt;=nA,shareA/nA,IF(L$4&lt;=nA+nB,shareB/nB,IF($A15-nA-nB&gt;0,shareC/($A15-nA-nB),0)))))</f>
        <v>0</v>
      </c>
      <c r="M15" s="1" t="n">
        <f aca="false">IF(M$4&gt;$A15,0,IF(dist_mode="Uniform",1,IF(M$4&lt;=nA,shareA/nA,IF(M$4&lt;=nA+nB,shareB/nB,IF($A15-nA-nB&gt;0,shareC/($A15-nA-nB),0)))))</f>
        <v>0</v>
      </c>
      <c r="N15" s="1" t="n">
        <f aca="false">IF(N$4&gt;$A15,0,IF(dist_mode="Uniform",1,IF(N$4&lt;=nA,shareA/nA,IF(N$4&lt;=nA+nB,shareB/nB,IF($A15-nA-nB&gt;0,shareC/($A15-nA-nB),0)))))</f>
        <v>0</v>
      </c>
      <c r="O15" s="1" t="n">
        <f aca="false">IF(O$4&gt;$A15,0,IF(dist_mode="Uniform",1,IF(O$4&lt;=nA,shareA/nA,IF(O$4&lt;=nA+nB,shareB/nB,IF($A15-nA-nB&gt;0,shareC/($A15-nA-nB),0)))))</f>
        <v>0</v>
      </c>
      <c r="P15" s="1" t="n">
        <f aca="false">IF(P$4&gt;$A15,0,IF(dist_mode="Uniform",1,IF(P$4&lt;=nA,shareA/nA,IF(P$4&lt;=nA+nB,shareB/nB,IF($A15-nA-nB&gt;0,shareC/($A15-nA-nB),0)))))</f>
        <v>0</v>
      </c>
      <c r="Q15" s="1" t="n">
        <f aca="false">IF(Q$4&gt;$A15,0,IF(dist_mode="Uniform",1,IF(Q$4&lt;=nA,shareA/nA,IF(Q$4&lt;=nA+nB,shareB/nB,IF($A15-nA-nB&gt;0,shareC/($A15-nA-nB),0)))))</f>
        <v>0</v>
      </c>
      <c r="R15" s="1" t="n">
        <f aca="false">IF(R$4&gt;$A15,0,IF(dist_mode="Uniform",1,IF(R$4&lt;=nA,shareA/nA,IF(R$4&lt;=nA+nB,shareB/nB,IF($A15-nA-nB&gt;0,shareC/($A15-nA-nB),0)))))</f>
        <v>0</v>
      </c>
      <c r="S15" s="1" t="n">
        <f aca="false">IF(S$4&gt;$A15,0,IF(dist_mode="Uniform",1,IF(S$4&lt;=nA,shareA/nA,IF(S$4&lt;=nA+nB,shareB/nB,IF($A15-nA-nB&gt;0,shareC/($A15-nA-nB),0)))))</f>
        <v>0</v>
      </c>
      <c r="T15" s="1" t="n">
        <f aca="false">IF(T$4&gt;$A15,0,IF(dist_mode="Uniform",1,IF(T$4&lt;=nA,shareA/nA,IF(T$4&lt;=nA+nB,shareB/nB,IF($A15-nA-nB&gt;0,shareC/($A15-nA-nB),0)))))</f>
        <v>0</v>
      </c>
      <c r="U15" s="1" t="n">
        <f aca="false">IF(U$4&gt;$A15,0,IF(dist_mode="Uniform",1,IF(U$4&lt;=nA,shareA/nA,IF(U$4&lt;=nA+nB,shareB/nB,IF($A15-nA-nB&gt;0,shareC/($A15-nA-nB),0)))))</f>
        <v>0</v>
      </c>
      <c r="V15" s="1" t="n">
        <f aca="false">IF(V$4&gt;$A15,0,IF(dist_mode="Uniform",1,IF(V$4&lt;=nA,shareA/nA,IF(V$4&lt;=nA+nB,shareB/nB,IF($A15-nA-nB&gt;0,shareC/($A15-nA-nB),0)))))</f>
        <v>0</v>
      </c>
      <c r="X15" s="49" t="n">
        <f aca="false">SUM(C15:V15)</f>
        <v>1</v>
      </c>
      <c r="Y15" s="49" t="n">
        <f aca="false">C15/X15</f>
        <v>0.4</v>
      </c>
      <c r="Z15" s="49" t="n">
        <f aca="false">1-Y15</f>
        <v>0.6</v>
      </c>
      <c r="AA15" s="50" t="n">
        <f aca="false">IF(Z15&lt;=0.000000000001,0,SUMPRODUCT(D15:V15,D$7:V$7)/(X15-C15))</f>
        <v>44.7404761904762</v>
      </c>
      <c r="AB15" s="51" t="n">
        <f aca="false">SUMPRODUCT(C15:V15,C$5:V$5)/X15</f>
        <v>2.365</v>
      </c>
    </row>
    <row r="16" customFormat="false" ht="15" hidden="false" customHeight="true" outlineLevel="0" collapsed="false">
      <c r="A16" s="1" t="n">
        <v>7</v>
      </c>
      <c r="C16" s="1" t="n">
        <f aca="false">IF(C$4&gt;$A16,0,IF(dist_mode="Uniform",1,IF(C$4&lt;=nA,shareA/nA,IF(C$4&lt;=nA+nB,shareB/nB,IF($A16-nA-nB&gt;0,shareC/($A16-nA-nB),0)))))</f>
        <v>0.4</v>
      </c>
      <c r="D16" s="1" t="n">
        <f aca="false">IF(D$4&gt;$A16,0,IF(dist_mode="Uniform",1,IF(D$4&lt;=nA,shareA/nA,IF(D$4&lt;=nA+nB,shareB/nB,IF($A16-nA-nB&gt;0,shareC/($A16-nA-nB),0)))))</f>
        <v>0.4</v>
      </c>
      <c r="E16" s="1" t="n">
        <f aca="false">IF(E$4&gt;$A16,0,IF(dist_mode="Uniform",1,IF(E$4&lt;=nA,shareA/nA,IF(E$4&lt;=nA+nB,shareB/nB,IF($A16-nA-nB&gt;0,shareC/($A16-nA-nB),0)))))</f>
        <v>0.05</v>
      </c>
      <c r="F16" s="1" t="n">
        <f aca="false">IF(F$4&gt;$A16,0,IF(dist_mode="Uniform",1,IF(F$4&lt;=nA,shareA/nA,IF(F$4&lt;=nA+nB,shareB/nB,IF($A16-nA-nB&gt;0,shareC/($A16-nA-nB),0)))))</f>
        <v>0.05</v>
      </c>
      <c r="G16" s="1" t="n">
        <f aca="false">IF(G$4&gt;$A16,0,IF(dist_mode="Uniform",1,IF(G$4&lt;=nA,shareA/nA,IF(G$4&lt;=nA+nB,shareB/nB,IF($A16-nA-nB&gt;0,shareC/($A16-nA-nB),0)))))</f>
        <v>0.05</v>
      </c>
      <c r="H16" s="1" t="n">
        <f aca="false">IF(H$4&gt;$A16,0,IF(dist_mode="Uniform",1,IF(H$4&lt;=nA,shareA/nA,IF(H$4&lt;=nA+nB,shareB/nB,IF($A16-nA-nB&gt;0,shareC/($A16-nA-nB),0)))))</f>
        <v>0.025</v>
      </c>
      <c r="I16" s="1" t="n">
        <f aca="false">IF(I$4&gt;$A16,0,IF(dist_mode="Uniform",1,IF(I$4&lt;=nA,shareA/nA,IF(I$4&lt;=nA+nB,shareB/nB,IF($A16-nA-nB&gt;0,shareC/($A16-nA-nB),0)))))</f>
        <v>0.025</v>
      </c>
      <c r="J16" s="1" t="n">
        <f aca="false">IF(J$4&gt;$A16,0,IF(dist_mode="Uniform",1,IF(J$4&lt;=nA,shareA/nA,IF(J$4&lt;=nA+nB,shareB/nB,IF($A16-nA-nB&gt;0,shareC/($A16-nA-nB),0)))))</f>
        <v>0</v>
      </c>
      <c r="K16" s="1" t="n">
        <f aca="false">IF(K$4&gt;$A16,0,IF(dist_mode="Uniform",1,IF(K$4&lt;=nA,shareA/nA,IF(K$4&lt;=nA+nB,shareB/nB,IF($A16-nA-nB&gt;0,shareC/($A16-nA-nB),0)))))</f>
        <v>0</v>
      </c>
      <c r="L16" s="1" t="n">
        <f aca="false">IF(L$4&gt;$A16,0,IF(dist_mode="Uniform",1,IF(L$4&lt;=nA,shareA/nA,IF(L$4&lt;=nA+nB,shareB/nB,IF($A16-nA-nB&gt;0,shareC/($A16-nA-nB),0)))))</f>
        <v>0</v>
      </c>
      <c r="M16" s="1" t="n">
        <f aca="false">IF(M$4&gt;$A16,0,IF(dist_mode="Uniform",1,IF(M$4&lt;=nA,shareA/nA,IF(M$4&lt;=nA+nB,shareB/nB,IF($A16-nA-nB&gt;0,shareC/($A16-nA-nB),0)))))</f>
        <v>0</v>
      </c>
      <c r="N16" s="1" t="n">
        <f aca="false">IF(N$4&gt;$A16,0,IF(dist_mode="Uniform",1,IF(N$4&lt;=nA,shareA/nA,IF(N$4&lt;=nA+nB,shareB/nB,IF($A16-nA-nB&gt;0,shareC/($A16-nA-nB),0)))))</f>
        <v>0</v>
      </c>
      <c r="O16" s="1" t="n">
        <f aca="false">IF(O$4&gt;$A16,0,IF(dist_mode="Uniform",1,IF(O$4&lt;=nA,shareA/nA,IF(O$4&lt;=nA+nB,shareB/nB,IF($A16-nA-nB&gt;0,shareC/($A16-nA-nB),0)))))</f>
        <v>0</v>
      </c>
      <c r="P16" s="1" t="n">
        <f aca="false">IF(P$4&gt;$A16,0,IF(dist_mode="Uniform",1,IF(P$4&lt;=nA,shareA/nA,IF(P$4&lt;=nA+nB,shareB/nB,IF($A16-nA-nB&gt;0,shareC/($A16-nA-nB),0)))))</f>
        <v>0</v>
      </c>
      <c r="Q16" s="1" t="n">
        <f aca="false">IF(Q$4&gt;$A16,0,IF(dist_mode="Uniform",1,IF(Q$4&lt;=nA,shareA/nA,IF(Q$4&lt;=nA+nB,shareB/nB,IF($A16-nA-nB&gt;0,shareC/($A16-nA-nB),0)))))</f>
        <v>0</v>
      </c>
      <c r="R16" s="1" t="n">
        <f aca="false">IF(R$4&gt;$A16,0,IF(dist_mode="Uniform",1,IF(R$4&lt;=nA,shareA/nA,IF(R$4&lt;=nA+nB,shareB/nB,IF($A16-nA-nB&gt;0,shareC/($A16-nA-nB),0)))))</f>
        <v>0</v>
      </c>
      <c r="S16" s="1" t="n">
        <f aca="false">IF(S$4&gt;$A16,0,IF(dist_mode="Uniform",1,IF(S$4&lt;=nA,shareA/nA,IF(S$4&lt;=nA+nB,shareB/nB,IF($A16-nA-nB&gt;0,shareC/($A16-nA-nB),0)))))</f>
        <v>0</v>
      </c>
      <c r="T16" s="1" t="n">
        <f aca="false">IF(T$4&gt;$A16,0,IF(dist_mode="Uniform",1,IF(T$4&lt;=nA,shareA/nA,IF(T$4&lt;=nA+nB,shareB/nB,IF($A16-nA-nB&gt;0,shareC/($A16-nA-nB),0)))))</f>
        <v>0</v>
      </c>
      <c r="U16" s="1" t="n">
        <f aca="false">IF(U$4&gt;$A16,0,IF(dist_mode="Uniform",1,IF(U$4&lt;=nA,shareA/nA,IF(U$4&lt;=nA+nB,shareB/nB,IF($A16-nA-nB&gt;0,shareC/($A16-nA-nB),0)))))</f>
        <v>0</v>
      </c>
      <c r="V16" s="1" t="n">
        <f aca="false">IF(V$4&gt;$A16,0,IF(dist_mode="Uniform",1,IF(V$4&lt;=nA,shareA/nA,IF(V$4&lt;=nA+nB,shareB/nB,IF($A16-nA-nB&gt;0,shareC/($A16-nA-nB),0)))))</f>
        <v>0</v>
      </c>
      <c r="X16" s="49" t="n">
        <f aca="false">SUM(C16:V16)</f>
        <v>1</v>
      </c>
      <c r="Y16" s="49" t="n">
        <f aca="false">C16/X16</f>
        <v>0.4</v>
      </c>
      <c r="Z16" s="49" t="n">
        <f aca="false">1-Y16</f>
        <v>0.6</v>
      </c>
      <c r="AA16" s="50" t="n">
        <f aca="false">IF(Z16&lt;=0.000000000001,0,SUMPRODUCT(D16:V16,D$7:V$7)/(X16-C16))</f>
        <v>44.9196428571429</v>
      </c>
      <c r="AB16" s="51" t="n">
        <f aca="false">SUMPRODUCT(C16:V16,C$5:V$5)/X16</f>
        <v>2.41875</v>
      </c>
    </row>
    <row r="17" customFormat="false" ht="15" hidden="false" customHeight="true" outlineLevel="0" collapsed="false">
      <c r="A17" s="1" t="n">
        <v>8</v>
      </c>
      <c r="C17" s="1" t="n">
        <f aca="false">IF(C$4&gt;$A17,0,IF(dist_mode="Uniform",1,IF(C$4&lt;=nA,shareA/nA,IF(C$4&lt;=nA+nB,shareB/nB,IF($A17-nA-nB&gt;0,shareC/($A17-nA-nB),0)))))</f>
        <v>0.4</v>
      </c>
      <c r="D17" s="1" t="n">
        <f aca="false">IF(D$4&gt;$A17,0,IF(dist_mode="Uniform",1,IF(D$4&lt;=nA,shareA/nA,IF(D$4&lt;=nA+nB,shareB/nB,IF($A17-nA-nB&gt;0,shareC/($A17-nA-nB),0)))))</f>
        <v>0.4</v>
      </c>
      <c r="E17" s="1" t="n">
        <f aca="false">IF(E$4&gt;$A17,0,IF(dist_mode="Uniform",1,IF(E$4&lt;=nA,shareA/nA,IF(E$4&lt;=nA+nB,shareB/nB,IF($A17-nA-nB&gt;0,shareC/($A17-nA-nB),0)))))</f>
        <v>0.05</v>
      </c>
      <c r="F17" s="1" t="n">
        <f aca="false">IF(F$4&gt;$A17,0,IF(dist_mode="Uniform",1,IF(F$4&lt;=nA,shareA/nA,IF(F$4&lt;=nA+nB,shareB/nB,IF($A17-nA-nB&gt;0,shareC/($A17-nA-nB),0)))))</f>
        <v>0.05</v>
      </c>
      <c r="G17" s="1" t="n">
        <f aca="false">IF(G$4&gt;$A17,0,IF(dist_mode="Uniform",1,IF(G$4&lt;=nA,shareA/nA,IF(G$4&lt;=nA+nB,shareB/nB,IF($A17-nA-nB&gt;0,shareC/($A17-nA-nB),0)))))</f>
        <v>0.05</v>
      </c>
      <c r="H17" s="1" t="n">
        <f aca="false">IF(H$4&gt;$A17,0,IF(dist_mode="Uniform",1,IF(H$4&lt;=nA,shareA/nA,IF(H$4&lt;=nA+nB,shareB/nB,IF($A17-nA-nB&gt;0,shareC/($A17-nA-nB),0)))))</f>
        <v>0.0166666666666667</v>
      </c>
      <c r="I17" s="1" t="n">
        <f aca="false">IF(I$4&gt;$A17,0,IF(dist_mode="Uniform",1,IF(I$4&lt;=nA,shareA/nA,IF(I$4&lt;=nA+nB,shareB/nB,IF($A17-nA-nB&gt;0,shareC/($A17-nA-nB),0)))))</f>
        <v>0.0166666666666667</v>
      </c>
      <c r="J17" s="1" t="n">
        <f aca="false">IF(J$4&gt;$A17,0,IF(dist_mode="Uniform",1,IF(J$4&lt;=nA,shareA/nA,IF(J$4&lt;=nA+nB,shareB/nB,IF($A17-nA-nB&gt;0,shareC/($A17-nA-nB),0)))))</f>
        <v>0.0166666666666667</v>
      </c>
      <c r="K17" s="1" t="n">
        <f aca="false">IF(K$4&gt;$A17,0,IF(dist_mode="Uniform",1,IF(K$4&lt;=nA,shareA/nA,IF(K$4&lt;=nA+nB,shareB/nB,IF($A17-nA-nB&gt;0,shareC/($A17-nA-nB),0)))))</f>
        <v>0</v>
      </c>
      <c r="L17" s="1" t="n">
        <f aca="false">IF(L$4&gt;$A17,0,IF(dist_mode="Uniform",1,IF(L$4&lt;=nA,shareA/nA,IF(L$4&lt;=nA+nB,shareB/nB,IF($A17-nA-nB&gt;0,shareC/($A17-nA-nB),0)))))</f>
        <v>0</v>
      </c>
      <c r="M17" s="1" t="n">
        <f aca="false">IF(M$4&gt;$A17,0,IF(dist_mode="Uniform",1,IF(M$4&lt;=nA,shareA/nA,IF(M$4&lt;=nA+nB,shareB/nB,IF($A17-nA-nB&gt;0,shareC/($A17-nA-nB),0)))))</f>
        <v>0</v>
      </c>
      <c r="N17" s="1" t="n">
        <f aca="false">IF(N$4&gt;$A17,0,IF(dist_mode="Uniform",1,IF(N$4&lt;=nA,shareA/nA,IF(N$4&lt;=nA+nB,shareB/nB,IF($A17-nA-nB&gt;0,shareC/($A17-nA-nB),0)))))</f>
        <v>0</v>
      </c>
      <c r="O17" s="1" t="n">
        <f aca="false">IF(O$4&gt;$A17,0,IF(dist_mode="Uniform",1,IF(O$4&lt;=nA,shareA/nA,IF(O$4&lt;=nA+nB,shareB/nB,IF($A17-nA-nB&gt;0,shareC/($A17-nA-nB),0)))))</f>
        <v>0</v>
      </c>
      <c r="P17" s="1" t="n">
        <f aca="false">IF(P$4&gt;$A17,0,IF(dist_mode="Uniform",1,IF(P$4&lt;=nA,shareA/nA,IF(P$4&lt;=nA+nB,shareB/nB,IF($A17-nA-nB&gt;0,shareC/($A17-nA-nB),0)))))</f>
        <v>0</v>
      </c>
      <c r="Q17" s="1" t="n">
        <f aca="false">IF(Q$4&gt;$A17,0,IF(dist_mode="Uniform",1,IF(Q$4&lt;=nA,shareA/nA,IF(Q$4&lt;=nA+nB,shareB/nB,IF($A17-nA-nB&gt;0,shareC/($A17-nA-nB),0)))))</f>
        <v>0</v>
      </c>
      <c r="R17" s="1" t="n">
        <f aca="false">IF(R$4&gt;$A17,0,IF(dist_mode="Uniform",1,IF(R$4&lt;=nA,shareA/nA,IF(R$4&lt;=nA+nB,shareB/nB,IF($A17-nA-nB&gt;0,shareC/($A17-nA-nB),0)))))</f>
        <v>0</v>
      </c>
      <c r="S17" s="1" t="n">
        <f aca="false">IF(S$4&gt;$A17,0,IF(dist_mode="Uniform",1,IF(S$4&lt;=nA,shareA/nA,IF(S$4&lt;=nA+nB,shareB/nB,IF($A17-nA-nB&gt;0,shareC/($A17-nA-nB),0)))))</f>
        <v>0</v>
      </c>
      <c r="T17" s="1" t="n">
        <f aca="false">IF(T$4&gt;$A17,0,IF(dist_mode="Uniform",1,IF(T$4&lt;=nA,shareA/nA,IF(T$4&lt;=nA+nB,shareB/nB,IF($A17-nA-nB&gt;0,shareC/($A17-nA-nB),0)))))</f>
        <v>0</v>
      </c>
      <c r="U17" s="1" t="n">
        <f aca="false">IF(U$4&gt;$A17,0,IF(dist_mode="Uniform",1,IF(U$4&lt;=nA,shareA/nA,IF(U$4&lt;=nA+nB,shareB/nB,IF($A17-nA-nB&gt;0,shareC/($A17-nA-nB),0)))))</f>
        <v>0</v>
      </c>
      <c r="V17" s="1" t="n">
        <f aca="false">IF(V$4&gt;$A17,0,IF(dist_mode="Uniform",1,IF(V$4&lt;=nA,shareA/nA,IF(V$4&lt;=nA+nB,shareB/nB,IF($A17-nA-nB&gt;0,shareC/($A17-nA-nB),0)))))</f>
        <v>0</v>
      </c>
      <c r="X17" s="49" t="n">
        <f aca="false">SUM(C17:V17)</f>
        <v>1</v>
      </c>
      <c r="Y17" s="49" t="n">
        <f aca="false">C17/X17</f>
        <v>0.4</v>
      </c>
      <c r="Z17" s="49" t="n">
        <f aca="false">1-Y17</f>
        <v>0.6</v>
      </c>
      <c r="AA17" s="50" t="n">
        <f aca="false">IF(Z17&lt;=0.000000000001,0,SUMPRODUCT(D17:V17,D$7:V$7)/(X17-C17))</f>
        <v>45.0988095238095</v>
      </c>
      <c r="AB17" s="51" t="n">
        <f aca="false">SUMPRODUCT(C17:V17,C$5:V$5)/X17</f>
        <v>2.4725</v>
      </c>
    </row>
    <row r="18" customFormat="false" ht="15" hidden="false" customHeight="true" outlineLevel="0" collapsed="false">
      <c r="A18" s="1" t="n">
        <v>9</v>
      </c>
      <c r="C18" s="1" t="n">
        <f aca="false">IF(C$4&gt;$A18,0,IF(dist_mode="Uniform",1,IF(C$4&lt;=nA,shareA/nA,IF(C$4&lt;=nA+nB,shareB/nB,IF($A18-nA-nB&gt;0,shareC/($A18-nA-nB),0)))))</f>
        <v>0.4</v>
      </c>
      <c r="D18" s="1" t="n">
        <f aca="false">IF(D$4&gt;$A18,0,IF(dist_mode="Uniform",1,IF(D$4&lt;=nA,shareA/nA,IF(D$4&lt;=nA+nB,shareB/nB,IF($A18-nA-nB&gt;0,shareC/($A18-nA-nB),0)))))</f>
        <v>0.4</v>
      </c>
      <c r="E18" s="1" t="n">
        <f aca="false">IF(E$4&gt;$A18,0,IF(dist_mode="Uniform",1,IF(E$4&lt;=nA,shareA/nA,IF(E$4&lt;=nA+nB,shareB/nB,IF($A18-nA-nB&gt;0,shareC/($A18-nA-nB),0)))))</f>
        <v>0.05</v>
      </c>
      <c r="F18" s="1" t="n">
        <f aca="false">IF(F$4&gt;$A18,0,IF(dist_mode="Uniform",1,IF(F$4&lt;=nA,shareA/nA,IF(F$4&lt;=nA+nB,shareB/nB,IF($A18-nA-nB&gt;0,shareC/($A18-nA-nB),0)))))</f>
        <v>0.05</v>
      </c>
      <c r="G18" s="1" t="n">
        <f aca="false">IF(G$4&gt;$A18,0,IF(dist_mode="Uniform",1,IF(G$4&lt;=nA,shareA/nA,IF(G$4&lt;=nA+nB,shareB/nB,IF($A18-nA-nB&gt;0,shareC/($A18-nA-nB),0)))))</f>
        <v>0.05</v>
      </c>
      <c r="H18" s="1" t="n">
        <f aca="false">IF(H$4&gt;$A18,0,IF(dist_mode="Uniform",1,IF(H$4&lt;=nA,shareA/nA,IF(H$4&lt;=nA+nB,shareB/nB,IF($A18-nA-nB&gt;0,shareC/($A18-nA-nB),0)))))</f>
        <v>0.0125</v>
      </c>
      <c r="I18" s="1" t="n">
        <f aca="false">IF(I$4&gt;$A18,0,IF(dist_mode="Uniform",1,IF(I$4&lt;=nA,shareA/nA,IF(I$4&lt;=nA+nB,shareB/nB,IF($A18-nA-nB&gt;0,shareC/($A18-nA-nB),0)))))</f>
        <v>0.0125</v>
      </c>
      <c r="J18" s="1" t="n">
        <f aca="false">IF(J$4&gt;$A18,0,IF(dist_mode="Uniform",1,IF(J$4&lt;=nA,shareA/nA,IF(J$4&lt;=nA+nB,shareB/nB,IF($A18-nA-nB&gt;0,shareC/($A18-nA-nB),0)))))</f>
        <v>0.0125</v>
      </c>
      <c r="K18" s="1" t="n">
        <f aca="false">IF(K$4&gt;$A18,0,IF(dist_mode="Uniform",1,IF(K$4&lt;=nA,shareA/nA,IF(K$4&lt;=nA+nB,shareB/nB,IF($A18-nA-nB&gt;0,shareC/($A18-nA-nB),0)))))</f>
        <v>0.0125</v>
      </c>
      <c r="L18" s="1" t="n">
        <f aca="false">IF(L$4&gt;$A18,0,IF(dist_mode="Uniform",1,IF(L$4&lt;=nA,shareA/nA,IF(L$4&lt;=nA+nB,shareB/nB,IF($A18-nA-nB&gt;0,shareC/($A18-nA-nB),0)))))</f>
        <v>0</v>
      </c>
      <c r="M18" s="1" t="n">
        <f aca="false">IF(M$4&gt;$A18,0,IF(dist_mode="Uniform",1,IF(M$4&lt;=nA,shareA/nA,IF(M$4&lt;=nA+nB,shareB/nB,IF($A18-nA-nB&gt;0,shareC/($A18-nA-nB),0)))))</f>
        <v>0</v>
      </c>
      <c r="N18" s="1" t="n">
        <f aca="false">IF(N$4&gt;$A18,0,IF(dist_mode="Uniform",1,IF(N$4&lt;=nA,shareA/nA,IF(N$4&lt;=nA+nB,shareB/nB,IF($A18-nA-nB&gt;0,shareC/($A18-nA-nB),0)))))</f>
        <v>0</v>
      </c>
      <c r="O18" s="1" t="n">
        <f aca="false">IF(O$4&gt;$A18,0,IF(dist_mode="Uniform",1,IF(O$4&lt;=nA,shareA/nA,IF(O$4&lt;=nA+nB,shareB/nB,IF($A18-nA-nB&gt;0,shareC/($A18-nA-nB),0)))))</f>
        <v>0</v>
      </c>
      <c r="P18" s="1" t="n">
        <f aca="false">IF(P$4&gt;$A18,0,IF(dist_mode="Uniform",1,IF(P$4&lt;=nA,shareA/nA,IF(P$4&lt;=nA+nB,shareB/nB,IF($A18-nA-nB&gt;0,shareC/($A18-nA-nB),0)))))</f>
        <v>0</v>
      </c>
      <c r="Q18" s="1" t="n">
        <f aca="false">IF(Q$4&gt;$A18,0,IF(dist_mode="Uniform",1,IF(Q$4&lt;=nA,shareA/nA,IF(Q$4&lt;=nA+nB,shareB/nB,IF($A18-nA-nB&gt;0,shareC/($A18-nA-nB),0)))))</f>
        <v>0</v>
      </c>
      <c r="R18" s="1" t="n">
        <f aca="false">IF(R$4&gt;$A18,0,IF(dist_mode="Uniform",1,IF(R$4&lt;=nA,shareA/nA,IF(R$4&lt;=nA+nB,shareB/nB,IF($A18-nA-nB&gt;0,shareC/($A18-nA-nB),0)))))</f>
        <v>0</v>
      </c>
      <c r="S18" s="1" t="n">
        <f aca="false">IF(S$4&gt;$A18,0,IF(dist_mode="Uniform",1,IF(S$4&lt;=nA,shareA/nA,IF(S$4&lt;=nA+nB,shareB/nB,IF($A18-nA-nB&gt;0,shareC/($A18-nA-nB),0)))))</f>
        <v>0</v>
      </c>
      <c r="T18" s="1" t="n">
        <f aca="false">IF(T$4&gt;$A18,0,IF(dist_mode="Uniform",1,IF(T$4&lt;=nA,shareA/nA,IF(T$4&lt;=nA+nB,shareB/nB,IF($A18-nA-nB&gt;0,shareC/($A18-nA-nB),0)))))</f>
        <v>0</v>
      </c>
      <c r="U18" s="1" t="n">
        <f aca="false">IF(U$4&gt;$A18,0,IF(dist_mode="Uniform",1,IF(U$4&lt;=nA,shareA/nA,IF(U$4&lt;=nA+nB,shareB/nB,IF($A18-nA-nB&gt;0,shareC/($A18-nA-nB),0)))))</f>
        <v>0</v>
      </c>
      <c r="V18" s="1" t="n">
        <f aca="false">IF(V$4&gt;$A18,0,IF(dist_mode="Uniform",1,IF(V$4&lt;=nA,shareA/nA,IF(V$4&lt;=nA+nB,shareB/nB,IF($A18-nA-nB&gt;0,shareC/($A18-nA-nB),0)))))</f>
        <v>0</v>
      </c>
      <c r="X18" s="49" t="n">
        <f aca="false">SUM(C18:V18)</f>
        <v>1</v>
      </c>
      <c r="Y18" s="49" t="n">
        <f aca="false">C18/X18</f>
        <v>0.4</v>
      </c>
      <c r="Z18" s="49" t="n">
        <f aca="false">1-Y18</f>
        <v>0.6</v>
      </c>
      <c r="AA18" s="50" t="n">
        <f aca="false">IF(Z18&lt;=0.000000000001,0,SUMPRODUCT(D18:V18,D$7:V$7)/(X18-C18))</f>
        <v>45.2779761904762</v>
      </c>
      <c r="AB18" s="51" t="n">
        <f aca="false">SUMPRODUCT(C18:V18,C$5:V$5)/X18</f>
        <v>2.52625</v>
      </c>
    </row>
    <row r="19" customFormat="false" ht="15" hidden="false" customHeight="true" outlineLevel="0" collapsed="false">
      <c r="A19" s="1" t="n">
        <v>10</v>
      </c>
      <c r="C19" s="1" t="n">
        <f aca="false">IF(C$4&gt;$A19,0,IF(dist_mode="Uniform",1,IF(C$4&lt;=nA,shareA/nA,IF(C$4&lt;=nA+nB,shareB/nB,IF($A19-nA-nB&gt;0,shareC/($A19-nA-nB),0)))))</f>
        <v>0.4</v>
      </c>
      <c r="D19" s="1" t="n">
        <f aca="false">IF(D$4&gt;$A19,0,IF(dist_mode="Uniform",1,IF(D$4&lt;=nA,shareA/nA,IF(D$4&lt;=nA+nB,shareB/nB,IF($A19-nA-nB&gt;0,shareC/($A19-nA-nB),0)))))</f>
        <v>0.4</v>
      </c>
      <c r="E19" s="1" t="n">
        <f aca="false">IF(E$4&gt;$A19,0,IF(dist_mode="Uniform",1,IF(E$4&lt;=nA,shareA/nA,IF(E$4&lt;=nA+nB,shareB/nB,IF($A19-nA-nB&gt;0,shareC/($A19-nA-nB),0)))))</f>
        <v>0.05</v>
      </c>
      <c r="F19" s="1" t="n">
        <f aca="false">IF(F$4&gt;$A19,0,IF(dist_mode="Uniform",1,IF(F$4&lt;=nA,shareA/nA,IF(F$4&lt;=nA+nB,shareB/nB,IF($A19-nA-nB&gt;0,shareC/($A19-nA-nB),0)))))</f>
        <v>0.05</v>
      </c>
      <c r="G19" s="1" t="n">
        <f aca="false">IF(G$4&gt;$A19,0,IF(dist_mode="Uniform",1,IF(G$4&lt;=nA,shareA/nA,IF(G$4&lt;=nA+nB,shareB/nB,IF($A19-nA-nB&gt;0,shareC/($A19-nA-nB),0)))))</f>
        <v>0.05</v>
      </c>
      <c r="H19" s="1" t="n">
        <f aca="false">IF(H$4&gt;$A19,0,IF(dist_mode="Uniform",1,IF(H$4&lt;=nA,shareA/nA,IF(H$4&lt;=nA+nB,shareB/nB,IF($A19-nA-nB&gt;0,shareC/($A19-nA-nB),0)))))</f>
        <v>0.01</v>
      </c>
      <c r="I19" s="1" t="n">
        <f aca="false">IF(I$4&gt;$A19,0,IF(dist_mode="Uniform",1,IF(I$4&lt;=nA,shareA/nA,IF(I$4&lt;=nA+nB,shareB/nB,IF($A19-nA-nB&gt;0,shareC/($A19-nA-nB),0)))))</f>
        <v>0.01</v>
      </c>
      <c r="J19" s="1" t="n">
        <f aca="false">IF(J$4&gt;$A19,0,IF(dist_mode="Uniform",1,IF(J$4&lt;=nA,shareA/nA,IF(J$4&lt;=nA+nB,shareB/nB,IF($A19-nA-nB&gt;0,shareC/($A19-nA-nB),0)))))</f>
        <v>0.01</v>
      </c>
      <c r="K19" s="1" t="n">
        <f aca="false">IF(K$4&gt;$A19,0,IF(dist_mode="Uniform",1,IF(K$4&lt;=nA,shareA/nA,IF(K$4&lt;=nA+nB,shareB/nB,IF($A19-nA-nB&gt;0,shareC/($A19-nA-nB),0)))))</f>
        <v>0.01</v>
      </c>
      <c r="L19" s="1" t="n">
        <f aca="false">IF(L$4&gt;$A19,0,IF(dist_mode="Uniform",1,IF(L$4&lt;=nA,shareA/nA,IF(L$4&lt;=nA+nB,shareB/nB,IF($A19-nA-nB&gt;0,shareC/($A19-nA-nB),0)))))</f>
        <v>0.01</v>
      </c>
      <c r="M19" s="1" t="n">
        <f aca="false">IF(M$4&gt;$A19,0,IF(dist_mode="Uniform",1,IF(M$4&lt;=nA,shareA/nA,IF(M$4&lt;=nA+nB,shareB/nB,IF($A19-nA-nB&gt;0,shareC/($A19-nA-nB),0)))))</f>
        <v>0</v>
      </c>
      <c r="N19" s="1" t="n">
        <f aca="false">IF(N$4&gt;$A19,0,IF(dist_mode="Uniform",1,IF(N$4&lt;=nA,shareA/nA,IF(N$4&lt;=nA+nB,shareB/nB,IF($A19-nA-nB&gt;0,shareC/($A19-nA-nB),0)))))</f>
        <v>0</v>
      </c>
      <c r="O19" s="1" t="n">
        <f aca="false">IF(O$4&gt;$A19,0,IF(dist_mode="Uniform",1,IF(O$4&lt;=nA,shareA/nA,IF(O$4&lt;=nA+nB,shareB/nB,IF($A19-nA-nB&gt;0,shareC/($A19-nA-nB),0)))))</f>
        <v>0</v>
      </c>
      <c r="P19" s="1" t="n">
        <f aca="false">IF(P$4&gt;$A19,0,IF(dist_mode="Uniform",1,IF(P$4&lt;=nA,shareA/nA,IF(P$4&lt;=nA+nB,shareB/nB,IF($A19-nA-nB&gt;0,shareC/($A19-nA-nB),0)))))</f>
        <v>0</v>
      </c>
      <c r="Q19" s="1" t="n">
        <f aca="false">IF(Q$4&gt;$A19,0,IF(dist_mode="Uniform",1,IF(Q$4&lt;=nA,shareA/nA,IF(Q$4&lt;=nA+nB,shareB/nB,IF($A19-nA-nB&gt;0,shareC/($A19-nA-nB),0)))))</f>
        <v>0</v>
      </c>
      <c r="R19" s="1" t="n">
        <f aca="false">IF(R$4&gt;$A19,0,IF(dist_mode="Uniform",1,IF(R$4&lt;=nA,shareA/nA,IF(R$4&lt;=nA+nB,shareB/nB,IF($A19-nA-nB&gt;0,shareC/($A19-nA-nB),0)))))</f>
        <v>0</v>
      </c>
      <c r="S19" s="1" t="n">
        <f aca="false">IF(S$4&gt;$A19,0,IF(dist_mode="Uniform",1,IF(S$4&lt;=nA,shareA/nA,IF(S$4&lt;=nA+nB,shareB/nB,IF($A19-nA-nB&gt;0,shareC/($A19-nA-nB),0)))))</f>
        <v>0</v>
      </c>
      <c r="T19" s="1" t="n">
        <f aca="false">IF(T$4&gt;$A19,0,IF(dist_mode="Uniform",1,IF(T$4&lt;=nA,shareA/nA,IF(T$4&lt;=nA+nB,shareB/nB,IF($A19-nA-nB&gt;0,shareC/($A19-nA-nB),0)))))</f>
        <v>0</v>
      </c>
      <c r="U19" s="1" t="n">
        <f aca="false">IF(U$4&gt;$A19,0,IF(dist_mode="Uniform",1,IF(U$4&lt;=nA,shareA/nA,IF(U$4&lt;=nA+nB,shareB/nB,IF($A19-nA-nB&gt;0,shareC/($A19-nA-nB),0)))))</f>
        <v>0</v>
      </c>
      <c r="V19" s="1" t="n">
        <f aca="false">IF(V$4&gt;$A19,0,IF(dist_mode="Uniform",1,IF(V$4&lt;=nA,shareA/nA,IF(V$4&lt;=nA+nB,shareB/nB,IF($A19-nA-nB&gt;0,shareC/($A19-nA-nB),0)))))</f>
        <v>0</v>
      </c>
      <c r="X19" s="49" t="n">
        <f aca="false">SUM(C19:V19)</f>
        <v>1</v>
      </c>
      <c r="Y19" s="49" t="n">
        <f aca="false">C19/X19</f>
        <v>0.4</v>
      </c>
      <c r="Z19" s="49" t="n">
        <f aca="false">1-Y19</f>
        <v>0.6</v>
      </c>
      <c r="AA19" s="50" t="n">
        <f aca="false">IF(Z19&lt;=0.000000000001,0,SUMPRODUCT(D19:V19,D$7:V$7)/(X19-C19))</f>
        <v>45.4571428571429</v>
      </c>
      <c r="AB19" s="51" t="n">
        <f aca="false">SUMPRODUCT(C19:V19,C$5:V$5)/X19</f>
        <v>2.58</v>
      </c>
    </row>
    <row r="20" customFormat="false" ht="15" hidden="false" customHeight="true" outlineLevel="0" collapsed="false">
      <c r="A20" s="1" t="n">
        <v>11</v>
      </c>
      <c r="C20" s="1" t="n">
        <f aca="false">IF(C$4&gt;$A20,0,IF(dist_mode="Uniform",1,IF(C$4&lt;=nA,shareA/nA,IF(C$4&lt;=nA+nB,shareB/nB,IF($A20-nA-nB&gt;0,shareC/($A20-nA-nB),0)))))</f>
        <v>0.4</v>
      </c>
      <c r="D20" s="1" t="n">
        <f aca="false">IF(D$4&gt;$A20,0,IF(dist_mode="Uniform",1,IF(D$4&lt;=nA,shareA/nA,IF(D$4&lt;=nA+nB,shareB/nB,IF($A20-nA-nB&gt;0,shareC/($A20-nA-nB),0)))))</f>
        <v>0.4</v>
      </c>
      <c r="E20" s="1" t="n">
        <f aca="false">IF(E$4&gt;$A20,0,IF(dist_mode="Uniform",1,IF(E$4&lt;=nA,shareA/nA,IF(E$4&lt;=nA+nB,shareB/nB,IF($A20-nA-nB&gt;0,shareC/($A20-nA-nB),0)))))</f>
        <v>0.05</v>
      </c>
      <c r="F20" s="1" t="n">
        <f aca="false">IF(F$4&gt;$A20,0,IF(dist_mode="Uniform",1,IF(F$4&lt;=nA,shareA/nA,IF(F$4&lt;=nA+nB,shareB/nB,IF($A20-nA-nB&gt;0,shareC/($A20-nA-nB),0)))))</f>
        <v>0.05</v>
      </c>
      <c r="G20" s="1" t="n">
        <f aca="false">IF(G$4&gt;$A20,0,IF(dist_mode="Uniform",1,IF(G$4&lt;=nA,shareA/nA,IF(G$4&lt;=nA+nB,shareB/nB,IF($A20-nA-nB&gt;0,shareC/($A20-nA-nB),0)))))</f>
        <v>0.05</v>
      </c>
      <c r="H20" s="1" t="n">
        <f aca="false">IF(H$4&gt;$A20,0,IF(dist_mode="Uniform",1,IF(H$4&lt;=nA,shareA/nA,IF(H$4&lt;=nA+nB,shareB/nB,IF($A20-nA-nB&gt;0,shareC/($A20-nA-nB),0)))))</f>
        <v>0.00833333333333333</v>
      </c>
      <c r="I20" s="1" t="n">
        <f aca="false">IF(I$4&gt;$A20,0,IF(dist_mode="Uniform",1,IF(I$4&lt;=nA,shareA/nA,IF(I$4&lt;=nA+nB,shareB/nB,IF($A20-nA-nB&gt;0,shareC/($A20-nA-nB),0)))))</f>
        <v>0.00833333333333333</v>
      </c>
      <c r="J20" s="1" t="n">
        <f aca="false">IF(J$4&gt;$A20,0,IF(dist_mode="Uniform",1,IF(J$4&lt;=nA,shareA/nA,IF(J$4&lt;=nA+nB,shareB/nB,IF($A20-nA-nB&gt;0,shareC/($A20-nA-nB),0)))))</f>
        <v>0.00833333333333333</v>
      </c>
      <c r="K20" s="1" t="n">
        <f aca="false">IF(K$4&gt;$A20,0,IF(dist_mode="Uniform",1,IF(K$4&lt;=nA,shareA/nA,IF(K$4&lt;=nA+nB,shareB/nB,IF($A20-nA-nB&gt;0,shareC/($A20-nA-nB),0)))))</f>
        <v>0.00833333333333333</v>
      </c>
      <c r="L20" s="1" t="n">
        <f aca="false">IF(L$4&gt;$A20,0,IF(dist_mode="Uniform",1,IF(L$4&lt;=nA,shareA/nA,IF(L$4&lt;=nA+nB,shareB/nB,IF($A20-nA-nB&gt;0,shareC/($A20-nA-nB),0)))))</f>
        <v>0.00833333333333333</v>
      </c>
      <c r="M20" s="1" t="n">
        <f aca="false">IF(M$4&gt;$A20,0,IF(dist_mode="Uniform",1,IF(M$4&lt;=nA,shareA/nA,IF(M$4&lt;=nA+nB,shareB/nB,IF($A20-nA-nB&gt;0,shareC/($A20-nA-nB),0)))))</f>
        <v>0.00833333333333333</v>
      </c>
      <c r="N20" s="1" t="n">
        <f aca="false">IF(N$4&gt;$A20,0,IF(dist_mode="Uniform",1,IF(N$4&lt;=nA,shareA/nA,IF(N$4&lt;=nA+nB,shareB/nB,IF($A20-nA-nB&gt;0,shareC/($A20-nA-nB),0)))))</f>
        <v>0</v>
      </c>
      <c r="O20" s="1" t="n">
        <f aca="false">IF(O$4&gt;$A20,0,IF(dist_mode="Uniform",1,IF(O$4&lt;=nA,shareA/nA,IF(O$4&lt;=nA+nB,shareB/nB,IF($A20-nA-nB&gt;0,shareC/($A20-nA-nB),0)))))</f>
        <v>0</v>
      </c>
      <c r="P20" s="1" t="n">
        <f aca="false">IF(P$4&gt;$A20,0,IF(dist_mode="Uniform",1,IF(P$4&lt;=nA,shareA/nA,IF(P$4&lt;=nA+nB,shareB/nB,IF($A20-nA-nB&gt;0,shareC/($A20-nA-nB),0)))))</f>
        <v>0</v>
      </c>
      <c r="Q20" s="1" t="n">
        <f aca="false">IF(Q$4&gt;$A20,0,IF(dist_mode="Uniform",1,IF(Q$4&lt;=nA,shareA/nA,IF(Q$4&lt;=nA+nB,shareB/nB,IF($A20-nA-nB&gt;0,shareC/($A20-nA-nB),0)))))</f>
        <v>0</v>
      </c>
      <c r="R20" s="1" t="n">
        <f aca="false">IF(R$4&gt;$A20,0,IF(dist_mode="Uniform",1,IF(R$4&lt;=nA,shareA/nA,IF(R$4&lt;=nA+nB,shareB/nB,IF($A20-nA-nB&gt;0,shareC/($A20-nA-nB),0)))))</f>
        <v>0</v>
      </c>
      <c r="S20" s="1" t="n">
        <f aca="false">IF(S$4&gt;$A20,0,IF(dist_mode="Uniform",1,IF(S$4&lt;=nA,shareA/nA,IF(S$4&lt;=nA+nB,shareB/nB,IF($A20-nA-nB&gt;0,shareC/($A20-nA-nB),0)))))</f>
        <v>0</v>
      </c>
      <c r="T20" s="1" t="n">
        <f aca="false">IF(T$4&gt;$A20,0,IF(dist_mode="Uniform",1,IF(T$4&lt;=nA,shareA/nA,IF(T$4&lt;=nA+nB,shareB/nB,IF($A20-nA-nB&gt;0,shareC/($A20-nA-nB),0)))))</f>
        <v>0</v>
      </c>
      <c r="U20" s="1" t="n">
        <f aca="false">IF(U$4&gt;$A20,0,IF(dist_mode="Uniform",1,IF(U$4&lt;=nA,shareA/nA,IF(U$4&lt;=nA+nB,shareB/nB,IF($A20-nA-nB&gt;0,shareC/($A20-nA-nB),0)))))</f>
        <v>0</v>
      </c>
      <c r="V20" s="1" t="n">
        <f aca="false">IF(V$4&gt;$A20,0,IF(dist_mode="Uniform",1,IF(V$4&lt;=nA,shareA/nA,IF(V$4&lt;=nA+nB,shareB/nB,IF($A20-nA-nB&gt;0,shareC/($A20-nA-nB),0)))))</f>
        <v>0</v>
      </c>
      <c r="X20" s="49" t="n">
        <f aca="false">SUM(C20:V20)</f>
        <v>1</v>
      </c>
      <c r="Y20" s="49" t="n">
        <f aca="false">C20/X20</f>
        <v>0.4</v>
      </c>
      <c r="Z20" s="49" t="n">
        <f aca="false">1-Y20</f>
        <v>0.6</v>
      </c>
      <c r="AA20" s="50" t="n">
        <f aca="false">IF(Z20&lt;=0.000000000001,0,SUMPRODUCT(D20:V20,D$7:V$7)/(X20-C20))</f>
        <v>45.6363095238095</v>
      </c>
      <c r="AB20" s="51" t="n">
        <f aca="false">SUMPRODUCT(C20:V20,C$5:V$5)/X20</f>
        <v>2.63375</v>
      </c>
    </row>
    <row r="21" customFormat="false" ht="15" hidden="false" customHeight="true" outlineLevel="0" collapsed="false">
      <c r="A21" s="1" t="n">
        <v>12</v>
      </c>
      <c r="C21" s="1" t="n">
        <f aca="false">IF(C$4&gt;$A21,0,IF(dist_mode="Uniform",1,IF(C$4&lt;=nA,shareA/nA,IF(C$4&lt;=nA+nB,shareB/nB,IF($A21-nA-nB&gt;0,shareC/($A21-nA-nB),0)))))</f>
        <v>0.4</v>
      </c>
      <c r="D21" s="1" t="n">
        <f aca="false">IF(D$4&gt;$A21,0,IF(dist_mode="Uniform",1,IF(D$4&lt;=nA,shareA/nA,IF(D$4&lt;=nA+nB,shareB/nB,IF($A21-nA-nB&gt;0,shareC/($A21-nA-nB),0)))))</f>
        <v>0.4</v>
      </c>
      <c r="E21" s="1" t="n">
        <f aca="false">IF(E$4&gt;$A21,0,IF(dist_mode="Uniform",1,IF(E$4&lt;=nA,shareA/nA,IF(E$4&lt;=nA+nB,shareB/nB,IF($A21-nA-nB&gt;0,shareC/($A21-nA-nB),0)))))</f>
        <v>0.05</v>
      </c>
      <c r="F21" s="1" t="n">
        <f aca="false">IF(F$4&gt;$A21,0,IF(dist_mode="Uniform",1,IF(F$4&lt;=nA,shareA/nA,IF(F$4&lt;=nA+nB,shareB/nB,IF($A21-nA-nB&gt;0,shareC/($A21-nA-nB),0)))))</f>
        <v>0.05</v>
      </c>
      <c r="G21" s="1" t="n">
        <f aca="false">IF(G$4&gt;$A21,0,IF(dist_mode="Uniform",1,IF(G$4&lt;=nA,shareA/nA,IF(G$4&lt;=nA+nB,shareB/nB,IF($A21-nA-nB&gt;0,shareC/($A21-nA-nB),0)))))</f>
        <v>0.05</v>
      </c>
      <c r="H21" s="1" t="n">
        <f aca="false">IF(H$4&gt;$A21,0,IF(dist_mode="Uniform",1,IF(H$4&lt;=nA,shareA/nA,IF(H$4&lt;=nA+nB,shareB/nB,IF($A21-nA-nB&gt;0,shareC/($A21-nA-nB),0)))))</f>
        <v>0.00714285714285714</v>
      </c>
      <c r="I21" s="1" t="n">
        <f aca="false">IF(I$4&gt;$A21,0,IF(dist_mode="Uniform",1,IF(I$4&lt;=nA,shareA/nA,IF(I$4&lt;=nA+nB,shareB/nB,IF($A21-nA-nB&gt;0,shareC/($A21-nA-nB),0)))))</f>
        <v>0.00714285714285714</v>
      </c>
      <c r="J21" s="1" t="n">
        <f aca="false">IF(J$4&gt;$A21,0,IF(dist_mode="Uniform",1,IF(J$4&lt;=nA,shareA/nA,IF(J$4&lt;=nA+nB,shareB/nB,IF($A21-nA-nB&gt;0,shareC/($A21-nA-nB),0)))))</f>
        <v>0.00714285714285714</v>
      </c>
      <c r="K21" s="1" t="n">
        <f aca="false">IF(K$4&gt;$A21,0,IF(dist_mode="Uniform",1,IF(K$4&lt;=nA,shareA/nA,IF(K$4&lt;=nA+nB,shareB/nB,IF($A21-nA-nB&gt;0,shareC/($A21-nA-nB),0)))))</f>
        <v>0.00714285714285714</v>
      </c>
      <c r="L21" s="1" t="n">
        <f aca="false">IF(L$4&gt;$A21,0,IF(dist_mode="Uniform",1,IF(L$4&lt;=nA,shareA/nA,IF(L$4&lt;=nA+nB,shareB/nB,IF($A21-nA-nB&gt;0,shareC/($A21-nA-nB),0)))))</f>
        <v>0.00714285714285714</v>
      </c>
      <c r="M21" s="1" t="n">
        <f aca="false">IF(M$4&gt;$A21,0,IF(dist_mode="Uniform",1,IF(M$4&lt;=nA,shareA/nA,IF(M$4&lt;=nA+nB,shareB/nB,IF($A21-nA-nB&gt;0,shareC/($A21-nA-nB),0)))))</f>
        <v>0.00714285714285714</v>
      </c>
      <c r="N21" s="1" t="n">
        <f aca="false">IF(N$4&gt;$A21,0,IF(dist_mode="Uniform",1,IF(N$4&lt;=nA,shareA/nA,IF(N$4&lt;=nA+nB,shareB/nB,IF($A21-nA-nB&gt;0,shareC/($A21-nA-nB),0)))))</f>
        <v>0.00714285714285714</v>
      </c>
      <c r="O21" s="1" t="n">
        <f aca="false">IF(O$4&gt;$A21,0,IF(dist_mode="Uniform",1,IF(O$4&lt;=nA,shareA/nA,IF(O$4&lt;=nA+nB,shareB/nB,IF($A21-nA-nB&gt;0,shareC/($A21-nA-nB),0)))))</f>
        <v>0</v>
      </c>
      <c r="P21" s="1" t="n">
        <f aca="false">IF(P$4&gt;$A21,0,IF(dist_mode="Uniform",1,IF(P$4&lt;=nA,shareA/nA,IF(P$4&lt;=nA+nB,shareB/nB,IF($A21-nA-nB&gt;0,shareC/($A21-nA-nB),0)))))</f>
        <v>0</v>
      </c>
      <c r="Q21" s="1" t="n">
        <f aca="false">IF(Q$4&gt;$A21,0,IF(dist_mode="Uniform",1,IF(Q$4&lt;=nA,shareA/nA,IF(Q$4&lt;=nA+nB,shareB/nB,IF($A21-nA-nB&gt;0,shareC/($A21-nA-nB),0)))))</f>
        <v>0</v>
      </c>
      <c r="R21" s="1" t="n">
        <f aca="false">IF(R$4&gt;$A21,0,IF(dist_mode="Uniform",1,IF(R$4&lt;=nA,shareA/nA,IF(R$4&lt;=nA+nB,shareB/nB,IF($A21-nA-nB&gt;0,shareC/($A21-nA-nB),0)))))</f>
        <v>0</v>
      </c>
      <c r="S21" s="1" t="n">
        <f aca="false">IF(S$4&gt;$A21,0,IF(dist_mode="Uniform",1,IF(S$4&lt;=nA,shareA/nA,IF(S$4&lt;=nA+nB,shareB/nB,IF($A21-nA-nB&gt;0,shareC/($A21-nA-nB),0)))))</f>
        <v>0</v>
      </c>
      <c r="T21" s="1" t="n">
        <f aca="false">IF(T$4&gt;$A21,0,IF(dist_mode="Uniform",1,IF(T$4&lt;=nA,shareA/nA,IF(T$4&lt;=nA+nB,shareB/nB,IF($A21-nA-nB&gt;0,shareC/($A21-nA-nB),0)))))</f>
        <v>0</v>
      </c>
      <c r="U21" s="1" t="n">
        <f aca="false">IF(U$4&gt;$A21,0,IF(dist_mode="Uniform",1,IF(U$4&lt;=nA,shareA/nA,IF(U$4&lt;=nA+nB,shareB/nB,IF($A21-nA-nB&gt;0,shareC/($A21-nA-nB),0)))))</f>
        <v>0</v>
      </c>
      <c r="V21" s="1" t="n">
        <f aca="false">IF(V$4&gt;$A21,0,IF(dist_mode="Uniform",1,IF(V$4&lt;=nA,shareA/nA,IF(V$4&lt;=nA+nB,shareB/nB,IF($A21-nA-nB&gt;0,shareC/($A21-nA-nB),0)))))</f>
        <v>0</v>
      </c>
      <c r="X21" s="49" t="n">
        <f aca="false">SUM(C21:V21)</f>
        <v>1</v>
      </c>
      <c r="Y21" s="49" t="n">
        <f aca="false">C21/X21</f>
        <v>0.4</v>
      </c>
      <c r="Z21" s="49" t="n">
        <f aca="false">1-Y21</f>
        <v>0.6</v>
      </c>
      <c r="AA21" s="50" t="n">
        <f aca="false">IF(Z21&lt;=0.000000000001,0,SUMPRODUCT(D21:V21,D$7:V$7)/(X21-C21))</f>
        <v>45.8154761904762</v>
      </c>
      <c r="AB21" s="51" t="n">
        <f aca="false">SUMPRODUCT(C21:V21,C$5:V$5)/X21</f>
        <v>2.6875</v>
      </c>
    </row>
    <row r="22" customFormat="false" ht="15" hidden="false" customHeight="true" outlineLevel="0" collapsed="false">
      <c r="A22" s="1" t="n">
        <v>13</v>
      </c>
      <c r="C22" s="1" t="n">
        <f aca="false">IF(C$4&gt;$A22,0,IF(dist_mode="Uniform",1,IF(C$4&lt;=nA,shareA/nA,IF(C$4&lt;=nA+nB,shareB/nB,IF($A22-nA-nB&gt;0,shareC/($A22-nA-nB),0)))))</f>
        <v>0.4</v>
      </c>
      <c r="D22" s="1" t="n">
        <f aca="false">IF(D$4&gt;$A22,0,IF(dist_mode="Uniform",1,IF(D$4&lt;=nA,shareA/nA,IF(D$4&lt;=nA+nB,shareB/nB,IF($A22-nA-nB&gt;0,shareC/($A22-nA-nB),0)))))</f>
        <v>0.4</v>
      </c>
      <c r="E22" s="1" t="n">
        <f aca="false">IF(E$4&gt;$A22,0,IF(dist_mode="Uniform",1,IF(E$4&lt;=nA,shareA/nA,IF(E$4&lt;=nA+nB,shareB/nB,IF($A22-nA-nB&gt;0,shareC/($A22-nA-nB),0)))))</f>
        <v>0.05</v>
      </c>
      <c r="F22" s="1" t="n">
        <f aca="false">IF(F$4&gt;$A22,0,IF(dist_mode="Uniform",1,IF(F$4&lt;=nA,shareA/nA,IF(F$4&lt;=nA+nB,shareB/nB,IF($A22-nA-nB&gt;0,shareC/($A22-nA-nB),0)))))</f>
        <v>0.05</v>
      </c>
      <c r="G22" s="1" t="n">
        <f aca="false">IF(G$4&gt;$A22,0,IF(dist_mode="Uniform",1,IF(G$4&lt;=nA,shareA/nA,IF(G$4&lt;=nA+nB,shareB/nB,IF($A22-nA-nB&gt;0,shareC/($A22-nA-nB),0)))))</f>
        <v>0.05</v>
      </c>
      <c r="H22" s="1" t="n">
        <f aca="false">IF(H$4&gt;$A22,0,IF(dist_mode="Uniform",1,IF(H$4&lt;=nA,shareA/nA,IF(H$4&lt;=nA+nB,shareB/nB,IF($A22-nA-nB&gt;0,shareC/($A22-nA-nB),0)))))</f>
        <v>0.00625</v>
      </c>
      <c r="I22" s="1" t="n">
        <f aca="false">IF(I$4&gt;$A22,0,IF(dist_mode="Uniform",1,IF(I$4&lt;=nA,shareA/nA,IF(I$4&lt;=nA+nB,shareB/nB,IF($A22-nA-nB&gt;0,shareC/($A22-nA-nB),0)))))</f>
        <v>0.00625</v>
      </c>
      <c r="J22" s="1" t="n">
        <f aca="false">IF(J$4&gt;$A22,0,IF(dist_mode="Uniform",1,IF(J$4&lt;=nA,shareA/nA,IF(J$4&lt;=nA+nB,shareB/nB,IF($A22-nA-nB&gt;0,shareC/($A22-nA-nB),0)))))</f>
        <v>0.00625</v>
      </c>
      <c r="K22" s="1" t="n">
        <f aca="false">IF(K$4&gt;$A22,0,IF(dist_mode="Uniform",1,IF(K$4&lt;=nA,shareA/nA,IF(K$4&lt;=nA+nB,shareB/nB,IF($A22-nA-nB&gt;0,shareC/($A22-nA-nB),0)))))</f>
        <v>0.00625</v>
      </c>
      <c r="L22" s="1" t="n">
        <f aca="false">IF(L$4&gt;$A22,0,IF(dist_mode="Uniform",1,IF(L$4&lt;=nA,shareA/nA,IF(L$4&lt;=nA+nB,shareB/nB,IF($A22-nA-nB&gt;0,shareC/($A22-nA-nB),0)))))</f>
        <v>0.00625</v>
      </c>
      <c r="M22" s="1" t="n">
        <f aca="false">IF(M$4&gt;$A22,0,IF(dist_mode="Uniform",1,IF(M$4&lt;=nA,shareA/nA,IF(M$4&lt;=nA+nB,shareB/nB,IF($A22-nA-nB&gt;0,shareC/($A22-nA-nB),0)))))</f>
        <v>0.00625</v>
      </c>
      <c r="N22" s="1" t="n">
        <f aca="false">IF(N$4&gt;$A22,0,IF(dist_mode="Uniform",1,IF(N$4&lt;=nA,shareA/nA,IF(N$4&lt;=nA+nB,shareB/nB,IF($A22-nA-nB&gt;0,shareC/($A22-nA-nB),0)))))</f>
        <v>0.00625</v>
      </c>
      <c r="O22" s="1" t="n">
        <f aca="false">IF(O$4&gt;$A22,0,IF(dist_mode="Uniform",1,IF(O$4&lt;=nA,shareA/nA,IF(O$4&lt;=nA+nB,shareB/nB,IF($A22-nA-nB&gt;0,shareC/($A22-nA-nB),0)))))</f>
        <v>0.00625</v>
      </c>
      <c r="P22" s="1" t="n">
        <f aca="false">IF(P$4&gt;$A22,0,IF(dist_mode="Uniform",1,IF(P$4&lt;=nA,shareA/nA,IF(P$4&lt;=nA+nB,shareB/nB,IF($A22-nA-nB&gt;0,shareC/($A22-nA-nB),0)))))</f>
        <v>0</v>
      </c>
      <c r="Q22" s="1" t="n">
        <f aca="false">IF(Q$4&gt;$A22,0,IF(dist_mode="Uniform",1,IF(Q$4&lt;=nA,shareA/nA,IF(Q$4&lt;=nA+nB,shareB/nB,IF($A22-nA-nB&gt;0,shareC/($A22-nA-nB),0)))))</f>
        <v>0</v>
      </c>
      <c r="R22" s="1" t="n">
        <f aca="false">IF(R$4&gt;$A22,0,IF(dist_mode="Uniform",1,IF(R$4&lt;=nA,shareA/nA,IF(R$4&lt;=nA+nB,shareB/nB,IF($A22-nA-nB&gt;0,shareC/($A22-nA-nB),0)))))</f>
        <v>0</v>
      </c>
      <c r="S22" s="1" t="n">
        <f aca="false">IF(S$4&gt;$A22,0,IF(dist_mode="Uniform",1,IF(S$4&lt;=nA,shareA/nA,IF(S$4&lt;=nA+nB,shareB/nB,IF($A22-nA-nB&gt;0,shareC/($A22-nA-nB),0)))))</f>
        <v>0</v>
      </c>
      <c r="T22" s="1" t="n">
        <f aca="false">IF(T$4&gt;$A22,0,IF(dist_mode="Uniform",1,IF(T$4&lt;=nA,shareA/nA,IF(T$4&lt;=nA+nB,shareB/nB,IF($A22-nA-nB&gt;0,shareC/($A22-nA-nB),0)))))</f>
        <v>0</v>
      </c>
      <c r="U22" s="1" t="n">
        <f aca="false">IF(U$4&gt;$A22,0,IF(dist_mode="Uniform",1,IF(U$4&lt;=nA,shareA/nA,IF(U$4&lt;=nA+nB,shareB/nB,IF($A22-nA-nB&gt;0,shareC/($A22-nA-nB),0)))))</f>
        <v>0</v>
      </c>
      <c r="V22" s="1" t="n">
        <f aca="false">IF(V$4&gt;$A22,0,IF(dist_mode="Uniform",1,IF(V$4&lt;=nA,shareA/nA,IF(V$4&lt;=nA+nB,shareB/nB,IF($A22-nA-nB&gt;0,shareC/($A22-nA-nB),0)))))</f>
        <v>0</v>
      </c>
      <c r="X22" s="49" t="n">
        <f aca="false">SUM(C22:V22)</f>
        <v>1</v>
      </c>
      <c r="Y22" s="49" t="n">
        <f aca="false">C22/X22</f>
        <v>0.4</v>
      </c>
      <c r="Z22" s="49" t="n">
        <f aca="false">1-Y22</f>
        <v>0.6</v>
      </c>
      <c r="AA22" s="50" t="n">
        <f aca="false">IF(Z22&lt;=0.000000000001,0,SUMPRODUCT(D22:V22,D$7:V$7)/(X22-C22))</f>
        <v>45.9946428571429</v>
      </c>
      <c r="AB22" s="51" t="n">
        <f aca="false">SUMPRODUCT(C22:V22,C$5:V$5)/X22</f>
        <v>2.74125</v>
      </c>
    </row>
    <row r="23" customFormat="false" ht="15" hidden="false" customHeight="true" outlineLevel="0" collapsed="false">
      <c r="A23" s="1" t="n">
        <v>14</v>
      </c>
      <c r="C23" s="1" t="n">
        <f aca="false">IF(C$4&gt;$A23,0,IF(dist_mode="Uniform",1,IF(C$4&lt;=nA,shareA/nA,IF(C$4&lt;=nA+nB,shareB/nB,IF($A23-nA-nB&gt;0,shareC/($A23-nA-nB),0)))))</f>
        <v>0.4</v>
      </c>
      <c r="D23" s="1" t="n">
        <f aca="false">IF(D$4&gt;$A23,0,IF(dist_mode="Uniform",1,IF(D$4&lt;=nA,shareA/nA,IF(D$4&lt;=nA+nB,shareB/nB,IF($A23-nA-nB&gt;0,shareC/($A23-nA-nB),0)))))</f>
        <v>0.4</v>
      </c>
      <c r="E23" s="1" t="n">
        <f aca="false">IF(E$4&gt;$A23,0,IF(dist_mode="Uniform",1,IF(E$4&lt;=nA,shareA/nA,IF(E$4&lt;=nA+nB,shareB/nB,IF($A23-nA-nB&gt;0,shareC/($A23-nA-nB),0)))))</f>
        <v>0.05</v>
      </c>
      <c r="F23" s="1" t="n">
        <f aca="false">IF(F$4&gt;$A23,0,IF(dist_mode="Uniform",1,IF(F$4&lt;=nA,shareA/nA,IF(F$4&lt;=nA+nB,shareB/nB,IF($A23-nA-nB&gt;0,shareC/($A23-nA-nB),0)))))</f>
        <v>0.05</v>
      </c>
      <c r="G23" s="1" t="n">
        <f aca="false">IF(G$4&gt;$A23,0,IF(dist_mode="Uniform",1,IF(G$4&lt;=nA,shareA/nA,IF(G$4&lt;=nA+nB,shareB/nB,IF($A23-nA-nB&gt;0,shareC/($A23-nA-nB),0)))))</f>
        <v>0.05</v>
      </c>
      <c r="H23" s="1" t="n">
        <f aca="false">IF(H$4&gt;$A23,0,IF(dist_mode="Uniform",1,IF(H$4&lt;=nA,shareA/nA,IF(H$4&lt;=nA+nB,shareB/nB,IF($A23-nA-nB&gt;0,shareC/($A23-nA-nB),0)))))</f>
        <v>0.00555555555555556</v>
      </c>
      <c r="I23" s="1" t="n">
        <f aca="false">IF(I$4&gt;$A23,0,IF(dist_mode="Uniform",1,IF(I$4&lt;=nA,shareA/nA,IF(I$4&lt;=nA+nB,shareB/nB,IF($A23-nA-nB&gt;0,shareC/($A23-nA-nB),0)))))</f>
        <v>0.00555555555555556</v>
      </c>
      <c r="J23" s="1" t="n">
        <f aca="false">IF(J$4&gt;$A23,0,IF(dist_mode="Uniform",1,IF(J$4&lt;=nA,shareA/nA,IF(J$4&lt;=nA+nB,shareB/nB,IF($A23-nA-nB&gt;0,shareC/($A23-nA-nB),0)))))</f>
        <v>0.00555555555555556</v>
      </c>
      <c r="K23" s="1" t="n">
        <f aca="false">IF(K$4&gt;$A23,0,IF(dist_mode="Uniform",1,IF(K$4&lt;=nA,shareA/nA,IF(K$4&lt;=nA+nB,shareB/nB,IF($A23-nA-nB&gt;0,shareC/($A23-nA-nB),0)))))</f>
        <v>0.00555555555555556</v>
      </c>
      <c r="L23" s="1" t="n">
        <f aca="false">IF(L$4&gt;$A23,0,IF(dist_mode="Uniform",1,IF(L$4&lt;=nA,shareA/nA,IF(L$4&lt;=nA+nB,shareB/nB,IF($A23-nA-nB&gt;0,shareC/($A23-nA-nB),0)))))</f>
        <v>0.00555555555555556</v>
      </c>
      <c r="M23" s="1" t="n">
        <f aca="false">IF(M$4&gt;$A23,0,IF(dist_mode="Uniform",1,IF(M$4&lt;=nA,shareA/nA,IF(M$4&lt;=nA+nB,shareB/nB,IF($A23-nA-nB&gt;0,shareC/($A23-nA-nB),0)))))</f>
        <v>0.00555555555555556</v>
      </c>
      <c r="N23" s="1" t="n">
        <f aca="false">IF(N$4&gt;$A23,0,IF(dist_mode="Uniform",1,IF(N$4&lt;=nA,shareA/nA,IF(N$4&lt;=nA+nB,shareB/nB,IF($A23-nA-nB&gt;0,shareC/($A23-nA-nB),0)))))</f>
        <v>0.00555555555555556</v>
      </c>
      <c r="O23" s="1" t="n">
        <f aca="false">IF(O$4&gt;$A23,0,IF(dist_mode="Uniform",1,IF(O$4&lt;=nA,shareA/nA,IF(O$4&lt;=nA+nB,shareB/nB,IF($A23-nA-nB&gt;0,shareC/($A23-nA-nB),0)))))</f>
        <v>0.00555555555555556</v>
      </c>
      <c r="P23" s="1" t="n">
        <f aca="false">IF(P$4&gt;$A23,0,IF(dist_mode="Uniform",1,IF(P$4&lt;=nA,shareA/nA,IF(P$4&lt;=nA+nB,shareB/nB,IF($A23-nA-nB&gt;0,shareC/($A23-nA-nB),0)))))</f>
        <v>0.00555555555555556</v>
      </c>
      <c r="Q23" s="1" t="n">
        <f aca="false">IF(Q$4&gt;$A23,0,IF(dist_mode="Uniform",1,IF(Q$4&lt;=nA,shareA/nA,IF(Q$4&lt;=nA+nB,shareB/nB,IF($A23-nA-nB&gt;0,shareC/($A23-nA-nB),0)))))</f>
        <v>0</v>
      </c>
      <c r="R23" s="1" t="n">
        <f aca="false">IF(R$4&gt;$A23,0,IF(dist_mode="Uniform",1,IF(R$4&lt;=nA,shareA/nA,IF(R$4&lt;=nA+nB,shareB/nB,IF($A23-nA-nB&gt;0,shareC/($A23-nA-nB),0)))))</f>
        <v>0</v>
      </c>
      <c r="S23" s="1" t="n">
        <f aca="false">IF(S$4&gt;$A23,0,IF(dist_mode="Uniform",1,IF(S$4&lt;=nA,shareA/nA,IF(S$4&lt;=nA+nB,shareB/nB,IF($A23-nA-nB&gt;0,shareC/($A23-nA-nB),0)))))</f>
        <v>0</v>
      </c>
      <c r="T23" s="1" t="n">
        <f aca="false">IF(T$4&gt;$A23,0,IF(dist_mode="Uniform",1,IF(T$4&lt;=nA,shareA/nA,IF(T$4&lt;=nA+nB,shareB/nB,IF($A23-nA-nB&gt;0,shareC/($A23-nA-nB),0)))))</f>
        <v>0</v>
      </c>
      <c r="U23" s="1" t="n">
        <f aca="false">IF(U$4&gt;$A23,0,IF(dist_mode="Uniform",1,IF(U$4&lt;=nA,shareA/nA,IF(U$4&lt;=nA+nB,shareB/nB,IF($A23-nA-nB&gt;0,shareC/($A23-nA-nB),0)))))</f>
        <v>0</v>
      </c>
      <c r="V23" s="1" t="n">
        <f aca="false">IF(V$4&gt;$A23,0,IF(dist_mode="Uniform",1,IF(V$4&lt;=nA,shareA/nA,IF(V$4&lt;=nA+nB,shareB/nB,IF($A23-nA-nB&gt;0,shareC/($A23-nA-nB),0)))))</f>
        <v>0</v>
      </c>
      <c r="X23" s="49" t="n">
        <f aca="false">SUM(C23:V23)</f>
        <v>1</v>
      </c>
      <c r="Y23" s="49" t="n">
        <f aca="false">C23/X23</f>
        <v>0.4</v>
      </c>
      <c r="Z23" s="49" t="n">
        <f aca="false">1-Y23</f>
        <v>0.6</v>
      </c>
      <c r="AA23" s="50" t="n">
        <f aca="false">IF(Z23&lt;=0.000000000001,0,SUMPRODUCT(D23:V23,D$7:V$7)/(X23-C23))</f>
        <v>46.1738095238095</v>
      </c>
      <c r="AB23" s="51" t="n">
        <f aca="false">SUMPRODUCT(C23:V23,C$5:V$5)/X23</f>
        <v>2.795</v>
      </c>
    </row>
    <row r="24" customFormat="false" ht="15" hidden="false" customHeight="true" outlineLevel="0" collapsed="false">
      <c r="A24" s="1" t="n">
        <v>15</v>
      </c>
      <c r="C24" s="1" t="n">
        <f aca="false">IF(C$4&gt;$A24,0,IF(dist_mode="Uniform",1,IF(C$4&lt;=nA,shareA/nA,IF(C$4&lt;=nA+nB,shareB/nB,IF($A24-nA-nB&gt;0,shareC/($A24-nA-nB),0)))))</f>
        <v>0.4</v>
      </c>
      <c r="D24" s="1" t="n">
        <f aca="false">IF(D$4&gt;$A24,0,IF(dist_mode="Uniform",1,IF(D$4&lt;=nA,shareA/nA,IF(D$4&lt;=nA+nB,shareB/nB,IF($A24-nA-nB&gt;0,shareC/($A24-nA-nB),0)))))</f>
        <v>0.4</v>
      </c>
      <c r="E24" s="1" t="n">
        <f aca="false">IF(E$4&gt;$A24,0,IF(dist_mode="Uniform",1,IF(E$4&lt;=nA,shareA/nA,IF(E$4&lt;=nA+nB,shareB/nB,IF($A24-nA-nB&gt;0,shareC/($A24-nA-nB),0)))))</f>
        <v>0.05</v>
      </c>
      <c r="F24" s="1" t="n">
        <f aca="false">IF(F$4&gt;$A24,0,IF(dist_mode="Uniform",1,IF(F$4&lt;=nA,shareA/nA,IF(F$4&lt;=nA+nB,shareB/nB,IF($A24-nA-nB&gt;0,shareC/($A24-nA-nB),0)))))</f>
        <v>0.05</v>
      </c>
      <c r="G24" s="1" t="n">
        <f aca="false">IF(G$4&gt;$A24,0,IF(dist_mode="Uniform",1,IF(G$4&lt;=nA,shareA/nA,IF(G$4&lt;=nA+nB,shareB/nB,IF($A24-nA-nB&gt;0,shareC/($A24-nA-nB),0)))))</f>
        <v>0.05</v>
      </c>
      <c r="H24" s="1" t="n">
        <f aca="false">IF(H$4&gt;$A24,0,IF(dist_mode="Uniform",1,IF(H$4&lt;=nA,shareA/nA,IF(H$4&lt;=nA+nB,shareB/nB,IF($A24-nA-nB&gt;0,shareC/($A24-nA-nB),0)))))</f>
        <v>0.005</v>
      </c>
      <c r="I24" s="1" t="n">
        <f aca="false">IF(I$4&gt;$A24,0,IF(dist_mode="Uniform",1,IF(I$4&lt;=nA,shareA/nA,IF(I$4&lt;=nA+nB,shareB/nB,IF($A24-nA-nB&gt;0,shareC/($A24-nA-nB),0)))))</f>
        <v>0.005</v>
      </c>
      <c r="J24" s="1" t="n">
        <f aca="false">IF(J$4&gt;$A24,0,IF(dist_mode="Uniform",1,IF(J$4&lt;=nA,shareA/nA,IF(J$4&lt;=nA+nB,shareB/nB,IF($A24-nA-nB&gt;0,shareC/($A24-nA-nB),0)))))</f>
        <v>0.005</v>
      </c>
      <c r="K24" s="1" t="n">
        <f aca="false">IF(K$4&gt;$A24,0,IF(dist_mode="Uniform",1,IF(K$4&lt;=nA,shareA/nA,IF(K$4&lt;=nA+nB,shareB/nB,IF($A24-nA-nB&gt;0,shareC/($A24-nA-nB),0)))))</f>
        <v>0.005</v>
      </c>
      <c r="L24" s="1" t="n">
        <f aca="false">IF(L$4&gt;$A24,0,IF(dist_mode="Uniform",1,IF(L$4&lt;=nA,shareA/nA,IF(L$4&lt;=nA+nB,shareB/nB,IF($A24-nA-nB&gt;0,shareC/($A24-nA-nB),0)))))</f>
        <v>0.005</v>
      </c>
      <c r="M24" s="1" t="n">
        <f aca="false">IF(M$4&gt;$A24,0,IF(dist_mode="Uniform",1,IF(M$4&lt;=nA,shareA/nA,IF(M$4&lt;=nA+nB,shareB/nB,IF($A24-nA-nB&gt;0,shareC/($A24-nA-nB),0)))))</f>
        <v>0.005</v>
      </c>
      <c r="N24" s="1" t="n">
        <f aca="false">IF(N$4&gt;$A24,0,IF(dist_mode="Uniform",1,IF(N$4&lt;=nA,shareA/nA,IF(N$4&lt;=nA+nB,shareB/nB,IF($A24-nA-nB&gt;0,shareC/($A24-nA-nB),0)))))</f>
        <v>0.005</v>
      </c>
      <c r="O24" s="1" t="n">
        <f aca="false">IF(O$4&gt;$A24,0,IF(dist_mode="Uniform",1,IF(O$4&lt;=nA,shareA/nA,IF(O$4&lt;=nA+nB,shareB/nB,IF($A24-nA-nB&gt;0,shareC/($A24-nA-nB),0)))))</f>
        <v>0.005</v>
      </c>
      <c r="P24" s="1" t="n">
        <f aca="false">IF(P$4&gt;$A24,0,IF(dist_mode="Uniform",1,IF(P$4&lt;=nA,shareA/nA,IF(P$4&lt;=nA+nB,shareB/nB,IF($A24-nA-nB&gt;0,shareC/($A24-nA-nB),0)))))</f>
        <v>0.005</v>
      </c>
      <c r="Q24" s="1" t="n">
        <f aca="false">IF(Q$4&gt;$A24,0,IF(dist_mode="Uniform",1,IF(Q$4&lt;=nA,shareA/nA,IF(Q$4&lt;=nA+nB,shareB/nB,IF($A24-nA-nB&gt;0,shareC/($A24-nA-nB),0)))))</f>
        <v>0.005</v>
      </c>
      <c r="R24" s="1" t="n">
        <f aca="false">IF(R$4&gt;$A24,0,IF(dist_mode="Uniform",1,IF(R$4&lt;=nA,shareA/nA,IF(R$4&lt;=nA+nB,shareB/nB,IF($A24-nA-nB&gt;0,shareC/($A24-nA-nB),0)))))</f>
        <v>0</v>
      </c>
      <c r="S24" s="1" t="n">
        <f aca="false">IF(S$4&gt;$A24,0,IF(dist_mode="Uniform",1,IF(S$4&lt;=nA,shareA/nA,IF(S$4&lt;=nA+nB,shareB/nB,IF($A24-nA-nB&gt;0,shareC/($A24-nA-nB),0)))))</f>
        <v>0</v>
      </c>
      <c r="T24" s="1" t="n">
        <f aca="false">IF(T$4&gt;$A24,0,IF(dist_mode="Uniform",1,IF(T$4&lt;=nA,shareA/nA,IF(T$4&lt;=nA+nB,shareB/nB,IF($A24-nA-nB&gt;0,shareC/($A24-nA-nB),0)))))</f>
        <v>0</v>
      </c>
      <c r="U24" s="1" t="n">
        <f aca="false">IF(U$4&gt;$A24,0,IF(dist_mode="Uniform",1,IF(U$4&lt;=nA,shareA/nA,IF(U$4&lt;=nA+nB,shareB/nB,IF($A24-nA-nB&gt;0,shareC/($A24-nA-nB),0)))))</f>
        <v>0</v>
      </c>
      <c r="V24" s="1" t="n">
        <f aca="false">IF(V$4&gt;$A24,0,IF(dist_mode="Uniform",1,IF(V$4&lt;=nA,shareA/nA,IF(V$4&lt;=nA+nB,shareB/nB,IF($A24-nA-nB&gt;0,shareC/($A24-nA-nB),0)))))</f>
        <v>0</v>
      </c>
      <c r="X24" s="49" t="n">
        <f aca="false">SUM(C24:V24)</f>
        <v>1</v>
      </c>
      <c r="Y24" s="49" t="n">
        <f aca="false">C24/X24</f>
        <v>0.4</v>
      </c>
      <c r="Z24" s="49" t="n">
        <f aca="false">1-Y24</f>
        <v>0.6</v>
      </c>
      <c r="AA24" s="50" t="n">
        <f aca="false">IF(Z24&lt;=0.000000000001,0,SUMPRODUCT(D24:V24,D$7:V$7)/(X24-C24))</f>
        <v>46.3529761904762</v>
      </c>
      <c r="AB24" s="51" t="n">
        <f aca="false">SUMPRODUCT(C24:V24,C$5:V$5)/X24</f>
        <v>2.84875</v>
      </c>
    </row>
    <row r="25" customFormat="false" ht="15" hidden="false" customHeight="true" outlineLevel="0" collapsed="false">
      <c r="A25" s="1" t="n">
        <v>16</v>
      </c>
      <c r="C25" s="1" t="n">
        <f aca="false">IF(C$4&gt;$A25,0,IF(dist_mode="Uniform",1,IF(C$4&lt;=nA,shareA/nA,IF(C$4&lt;=nA+nB,shareB/nB,IF($A25-nA-nB&gt;0,shareC/($A25-nA-nB),0)))))</f>
        <v>0.4</v>
      </c>
      <c r="D25" s="1" t="n">
        <f aca="false">IF(D$4&gt;$A25,0,IF(dist_mode="Uniform",1,IF(D$4&lt;=nA,shareA/nA,IF(D$4&lt;=nA+nB,shareB/nB,IF($A25-nA-nB&gt;0,shareC/($A25-nA-nB),0)))))</f>
        <v>0.4</v>
      </c>
      <c r="E25" s="1" t="n">
        <f aca="false">IF(E$4&gt;$A25,0,IF(dist_mode="Uniform",1,IF(E$4&lt;=nA,shareA/nA,IF(E$4&lt;=nA+nB,shareB/nB,IF($A25-nA-nB&gt;0,shareC/($A25-nA-nB),0)))))</f>
        <v>0.05</v>
      </c>
      <c r="F25" s="1" t="n">
        <f aca="false">IF(F$4&gt;$A25,0,IF(dist_mode="Uniform",1,IF(F$4&lt;=nA,shareA/nA,IF(F$4&lt;=nA+nB,shareB/nB,IF($A25-nA-nB&gt;0,shareC/($A25-nA-nB),0)))))</f>
        <v>0.05</v>
      </c>
      <c r="G25" s="1" t="n">
        <f aca="false">IF(G$4&gt;$A25,0,IF(dist_mode="Uniform",1,IF(G$4&lt;=nA,shareA/nA,IF(G$4&lt;=nA+nB,shareB/nB,IF($A25-nA-nB&gt;0,shareC/($A25-nA-nB),0)))))</f>
        <v>0.05</v>
      </c>
      <c r="H25" s="1" t="n">
        <f aca="false">IF(H$4&gt;$A25,0,IF(dist_mode="Uniform",1,IF(H$4&lt;=nA,shareA/nA,IF(H$4&lt;=nA+nB,shareB/nB,IF($A25-nA-nB&gt;0,shareC/($A25-nA-nB),0)))))</f>
        <v>0.00454545454545455</v>
      </c>
      <c r="I25" s="1" t="n">
        <f aca="false">IF(I$4&gt;$A25,0,IF(dist_mode="Uniform",1,IF(I$4&lt;=nA,shareA/nA,IF(I$4&lt;=nA+nB,shareB/nB,IF($A25-nA-nB&gt;0,shareC/($A25-nA-nB),0)))))</f>
        <v>0.00454545454545455</v>
      </c>
      <c r="J25" s="1" t="n">
        <f aca="false">IF(J$4&gt;$A25,0,IF(dist_mode="Uniform",1,IF(J$4&lt;=nA,shareA/nA,IF(J$4&lt;=nA+nB,shareB/nB,IF($A25-nA-nB&gt;0,shareC/($A25-nA-nB),0)))))</f>
        <v>0.00454545454545455</v>
      </c>
      <c r="K25" s="1" t="n">
        <f aca="false">IF(K$4&gt;$A25,0,IF(dist_mode="Uniform",1,IF(K$4&lt;=nA,shareA/nA,IF(K$4&lt;=nA+nB,shareB/nB,IF($A25-nA-nB&gt;0,shareC/($A25-nA-nB),0)))))</f>
        <v>0.00454545454545455</v>
      </c>
      <c r="L25" s="1" t="n">
        <f aca="false">IF(L$4&gt;$A25,0,IF(dist_mode="Uniform",1,IF(L$4&lt;=nA,shareA/nA,IF(L$4&lt;=nA+nB,shareB/nB,IF($A25-nA-nB&gt;0,shareC/($A25-nA-nB),0)))))</f>
        <v>0.00454545454545455</v>
      </c>
      <c r="M25" s="1" t="n">
        <f aca="false">IF(M$4&gt;$A25,0,IF(dist_mode="Uniform",1,IF(M$4&lt;=nA,shareA/nA,IF(M$4&lt;=nA+nB,shareB/nB,IF($A25-nA-nB&gt;0,shareC/($A25-nA-nB),0)))))</f>
        <v>0.00454545454545455</v>
      </c>
      <c r="N25" s="1" t="n">
        <f aca="false">IF(N$4&gt;$A25,0,IF(dist_mode="Uniform",1,IF(N$4&lt;=nA,shareA/nA,IF(N$4&lt;=nA+nB,shareB/nB,IF($A25-nA-nB&gt;0,shareC/($A25-nA-nB),0)))))</f>
        <v>0.00454545454545455</v>
      </c>
      <c r="O25" s="1" t="n">
        <f aca="false">IF(O$4&gt;$A25,0,IF(dist_mode="Uniform",1,IF(O$4&lt;=nA,shareA/nA,IF(O$4&lt;=nA+nB,shareB/nB,IF($A25-nA-nB&gt;0,shareC/($A25-nA-nB),0)))))</f>
        <v>0.00454545454545455</v>
      </c>
      <c r="P25" s="1" t="n">
        <f aca="false">IF(P$4&gt;$A25,0,IF(dist_mode="Uniform",1,IF(P$4&lt;=nA,shareA/nA,IF(P$4&lt;=nA+nB,shareB/nB,IF($A25-nA-nB&gt;0,shareC/($A25-nA-nB),0)))))</f>
        <v>0.00454545454545455</v>
      </c>
      <c r="Q25" s="1" t="n">
        <f aca="false">IF(Q$4&gt;$A25,0,IF(dist_mode="Uniform",1,IF(Q$4&lt;=nA,shareA/nA,IF(Q$4&lt;=nA+nB,shareB/nB,IF($A25-nA-nB&gt;0,shareC/($A25-nA-nB),0)))))</f>
        <v>0.00454545454545455</v>
      </c>
      <c r="R25" s="1" t="n">
        <f aca="false">IF(R$4&gt;$A25,0,IF(dist_mode="Uniform",1,IF(R$4&lt;=nA,shareA/nA,IF(R$4&lt;=nA+nB,shareB/nB,IF($A25-nA-nB&gt;0,shareC/($A25-nA-nB),0)))))</f>
        <v>0.00454545454545455</v>
      </c>
      <c r="S25" s="1" t="n">
        <f aca="false">IF(S$4&gt;$A25,0,IF(dist_mode="Uniform",1,IF(S$4&lt;=nA,shareA/nA,IF(S$4&lt;=nA+nB,shareB/nB,IF($A25-nA-nB&gt;0,shareC/($A25-nA-nB),0)))))</f>
        <v>0</v>
      </c>
      <c r="T25" s="1" t="n">
        <f aca="false">IF(T$4&gt;$A25,0,IF(dist_mode="Uniform",1,IF(T$4&lt;=nA,shareA/nA,IF(T$4&lt;=nA+nB,shareB/nB,IF($A25-nA-nB&gt;0,shareC/($A25-nA-nB),0)))))</f>
        <v>0</v>
      </c>
      <c r="U25" s="1" t="n">
        <f aca="false">IF(U$4&gt;$A25,0,IF(dist_mode="Uniform",1,IF(U$4&lt;=nA,shareA/nA,IF(U$4&lt;=nA+nB,shareB/nB,IF($A25-nA-nB&gt;0,shareC/($A25-nA-nB),0)))))</f>
        <v>0</v>
      </c>
      <c r="V25" s="1" t="n">
        <f aca="false">IF(V$4&gt;$A25,0,IF(dist_mode="Uniform",1,IF(V$4&lt;=nA,shareA/nA,IF(V$4&lt;=nA+nB,shareB/nB,IF($A25-nA-nB&gt;0,shareC/($A25-nA-nB),0)))))</f>
        <v>0</v>
      </c>
      <c r="X25" s="49" t="n">
        <f aca="false">SUM(C25:V25)</f>
        <v>1</v>
      </c>
      <c r="Y25" s="49" t="n">
        <f aca="false">C25/X25</f>
        <v>0.4</v>
      </c>
      <c r="Z25" s="49" t="n">
        <f aca="false">1-Y25</f>
        <v>0.6</v>
      </c>
      <c r="AA25" s="50" t="n">
        <f aca="false">IF(Z25&lt;=0.000000000001,0,SUMPRODUCT(D25:V25,D$7:V$7)/(X25-C25))</f>
        <v>46.5321428571429</v>
      </c>
      <c r="AB25" s="51" t="n">
        <f aca="false">SUMPRODUCT(C25:V25,C$5:V$5)/X25</f>
        <v>2.9025</v>
      </c>
    </row>
    <row r="26" customFormat="false" ht="15" hidden="false" customHeight="true" outlineLevel="0" collapsed="false">
      <c r="A26" s="1" t="n">
        <v>17</v>
      </c>
      <c r="C26" s="1" t="n">
        <f aca="false">IF(C$4&gt;$A26,0,IF(dist_mode="Uniform",1,IF(C$4&lt;=nA,shareA/nA,IF(C$4&lt;=nA+nB,shareB/nB,IF($A26-nA-nB&gt;0,shareC/($A26-nA-nB),0)))))</f>
        <v>0.4</v>
      </c>
      <c r="D26" s="1" t="n">
        <f aca="false">IF(D$4&gt;$A26,0,IF(dist_mode="Uniform",1,IF(D$4&lt;=nA,shareA/nA,IF(D$4&lt;=nA+nB,shareB/nB,IF($A26-nA-nB&gt;0,shareC/($A26-nA-nB),0)))))</f>
        <v>0.4</v>
      </c>
      <c r="E26" s="1" t="n">
        <f aca="false">IF(E$4&gt;$A26,0,IF(dist_mode="Uniform",1,IF(E$4&lt;=nA,shareA/nA,IF(E$4&lt;=nA+nB,shareB/nB,IF($A26-nA-nB&gt;0,shareC/($A26-nA-nB),0)))))</f>
        <v>0.05</v>
      </c>
      <c r="F26" s="1" t="n">
        <f aca="false">IF(F$4&gt;$A26,0,IF(dist_mode="Uniform",1,IF(F$4&lt;=nA,shareA/nA,IF(F$4&lt;=nA+nB,shareB/nB,IF($A26-nA-nB&gt;0,shareC/($A26-nA-nB),0)))))</f>
        <v>0.05</v>
      </c>
      <c r="G26" s="1" t="n">
        <f aca="false">IF(G$4&gt;$A26,0,IF(dist_mode="Uniform",1,IF(G$4&lt;=nA,shareA/nA,IF(G$4&lt;=nA+nB,shareB/nB,IF($A26-nA-nB&gt;0,shareC/($A26-nA-nB),0)))))</f>
        <v>0.05</v>
      </c>
      <c r="H26" s="1" t="n">
        <f aca="false">IF(H$4&gt;$A26,0,IF(dist_mode="Uniform",1,IF(H$4&lt;=nA,shareA/nA,IF(H$4&lt;=nA+nB,shareB/nB,IF($A26-nA-nB&gt;0,shareC/($A26-nA-nB),0)))))</f>
        <v>0.00416666666666667</v>
      </c>
      <c r="I26" s="1" t="n">
        <f aca="false">IF(I$4&gt;$A26,0,IF(dist_mode="Uniform",1,IF(I$4&lt;=nA,shareA/nA,IF(I$4&lt;=nA+nB,shareB/nB,IF($A26-nA-nB&gt;0,shareC/($A26-nA-nB),0)))))</f>
        <v>0.00416666666666667</v>
      </c>
      <c r="J26" s="1" t="n">
        <f aca="false">IF(J$4&gt;$A26,0,IF(dist_mode="Uniform",1,IF(J$4&lt;=nA,shareA/nA,IF(J$4&lt;=nA+nB,shareB/nB,IF($A26-nA-nB&gt;0,shareC/($A26-nA-nB),0)))))</f>
        <v>0.00416666666666667</v>
      </c>
      <c r="K26" s="1" t="n">
        <f aca="false">IF(K$4&gt;$A26,0,IF(dist_mode="Uniform",1,IF(K$4&lt;=nA,shareA/nA,IF(K$4&lt;=nA+nB,shareB/nB,IF($A26-nA-nB&gt;0,shareC/($A26-nA-nB),0)))))</f>
        <v>0.00416666666666667</v>
      </c>
      <c r="L26" s="1" t="n">
        <f aca="false">IF(L$4&gt;$A26,0,IF(dist_mode="Uniform",1,IF(L$4&lt;=nA,shareA/nA,IF(L$4&lt;=nA+nB,shareB/nB,IF($A26-nA-nB&gt;0,shareC/($A26-nA-nB),0)))))</f>
        <v>0.00416666666666667</v>
      </c>
      <c r="M26" s="1" t="n">
        <f aca="false">IF(M$4&gt;$A26,0,IF(dist_mode="Uniform",1,IF(M$4&lt;=nA,shareA/nA,IF(M$4&lt;=nA+nB,shareB/nB,IF($A26-nA-nB&gt;0,shareC/($A26-nA-nB),0)))))</f>
        <v>0.00416666666666667</v>
      </c>
      <c r="N26" s="1" t="n">
        <f aca="false">IF(N$4&gt;$A26,0,IF(dist_mode="Uniform",1,IF(N$4&lt;=nA,shareA/nA,IF(N$4&lt;=nA+nB,shareB/nB,IF($A26-nA-nB&gt;0,shareC/($A26-nA-nB),0)))))</f>
        <v>0.00416666666666667</v>
      </c>
      <c r="O26" s="1" t="n">
        <f aca="false">IF(O$4&gt;$A26,0,IF(dist_mode="Uniform",1,IF(O$4&lt;=nA,shareA/nA,IF(O$4&lt;=nA+nB,shareB/nB,IF($A26-nA-nB&gt;0,shareC/($A26-nA-nB),0)))))</f>
        <v>0.00416666666666667</v>
      </c>
      <c r="P26" s="1" t="n">
        <f aca="false">IF(P$4&gt;$A26,0,IF(dist_mode="Uniform",1,IF(P$4&lt;=nA,shareA/nA,IF(P$4&lt;=nA+nB,shareB/nB,IF($A26-nA-nB&gt;0,shareC/($A26-nA-nB),0)))))</f>
        <v>0.00416666666666667</v>
      </c>
      <c r="Q26" s="1" t="n">
        <f aca="false">IF(Q$4&gt;$A26,0,IF(dist_mode="Uniform",1,IF(Q$4&lt;=nA,shareA/nA,IF(Q$4&lt;=nA+nB,shareB/nB,IF($A26-nA-nB&gt;0,shareC/($A26-nA-nB),0)))))</f>
        <v>0.00416666666666667</v>
      </c>
      <c r="R26" s="1" t="n">
        <f aca="false">IF(R$4&gt;$A26,0,IF(dist_mode="Uniform",1,IF(R$4&lt;=nA,shareA/nA,IF(R$4&lt;=nA+nB,shareB/nB,IF($A26-nA-nB&gt;0,shareC/($A26-nA-nB),0)))))</f>
        <v>0.00416666666666667</v>
      </c>
      <c r="S26" s="1" t="n">
        <f aca="false">IF(S$4&gt;$A26,0,IF(dist_mode="Uniform",1,IF(S$4&lt;=nA,shareA/nA,IF(S$4&lt;=nA+nB,shareB/nB,IF($A26-nA-nB&gt;0,shareC/($A26-nA-nB),0)))))</f>
        <v>0.00416666666666667</v>
      </c>
      <c r="T26" s="1" t="n">
        <f aca="false">IF(T$4&gt;$A26,0,IF(dist_mode="Uniform",1,IF(T$4&lt;=nA,shareA/nA,IF(T$4&lt;=nA+nB,shareB/nB,IF($A26-nA-nB&gt;0,shareC/($A26-nA-nB),0)))))</f>
        <v>0</v>
      </c>
      <c r="U26" s="1" t="n">
        <f aca="false">IF(U$4&gt;$A26,0,IF(dist_mode="Uniform",1,IF(U$4&lt;=nA,shareA/nA,IF(U$4&lt;=nA+nB,shareB/nB,IF($A26-nA-nB&gt;0,shareC/($A26-nA-nB),0)))))</f>
        <v>0</v>
      </c>
      <c r="V26" s="1" t="n">
        <f aca="false">IF(V$4&gt;$A26,0,IF(dist_mode="Uniform",1,IF(V$4&lt;=nA,shareA/nA,IF(V$4&lt;=nA+nB,shareB/nB,IF($A26-nA-nB&gt;0,shareC/($A26-nA-nB),0)))))</f>
        <v>0</v>
      </c>
      <c r="X26" s="49" t="n">
        <f aca="false">SUM(C26:V26)</f>
        <v>1</v>
      </c>
      <c r="Y26" s="49" t="n">
        <f aca="false">C26/X26</f>
        <v>0.4</v>
      </c>
      <c r="Z26" s="49" t="n">
        <f aca="false">1-Y26</f>
        <v>0.6</v>
      </c>
      <c r="AA26" s="50" t="n">
        <f aca="false">IF(Z26&lt;=0.000000000001,0,SUMPRODUCT(D26:V26,D$7:V$7)/(X26-C26))</f>
        <v>46.7113095238095</v>
      </c>
      <c r="AB26" s="51" t="n">
        <f aca="false">SUMPRODUCT(C26:V26,C$5:V$5)/X26</f>
        <v>2.95625</v>
      </c>
    </row>
    <row r="27" customFormat="false" ht="15" hidden="false" customHeight="true" outlineLevel="0" collapsed="false">
      <c r="A27" s="1" t="n">
        <v>18</v>
      </c>
      <c r="C27" s="1" t="n">
        <f aca="false">IF(C$4&gt;$A27,0,IF(dist_mode="Uniform",1,IF(C$4&lt;=nA,shareA/nA,IF(C$4&lt;=nA+nB,shareB/nB,IF($A27-nA-nB&gt;0,shareC/($A27-nA-nB),0)))))</f>
        <v>0.4</v>
      </c>
      <c r="D27" s="1" t="n">
        <f aca="false">IF(D$4&gt;$A27,0,IF(dist_mode="Uniform",1,IF(D$4&lt;=nA,shareA/nA,IF(D$4&lt;=nA+nB,shareB/nB,IF($A27-nA-nB&gt;0,shareC/($A27-nA-nB),0)))))</f>
        <v>0.4</v>
      </c>
      <c r="E27" s="1" t="n">
        <f aca="false">IF(E$4&gt;$A27,0,IF(dist_mode="Uniform",1,IF(E$4&lt;=nA,shareA/nA,IF(E$4&lt;=nA+nB,shareB/nB,IF($A27-nA-nB&gt;0,shareC/($A27-nA-nB),0)))))</f>
        <v>0.05</v>
      </c>
      <c r="F27" s="1" t="n">
        <f aca="false">IF(F$4&gt;$A27,0,IF(dist_mode="Uniform",1,IF(F$4&lt;=nA,shareA/nA,IF(F$4&lt;=nA+nB,shareB/nB,IF($A27-nA-nB&gt;0,shareC/($A27-nA-nB),0)))))</f>
        <v>0.05</v>
      </c>
      <c r="G27" s="1" t="n">
        <f aca="false">IF(G$4&gt;$A27,0,IF(dist_mode="Uniform",1,IF(G$4&lt;=nA,shareA/nA,IF(G$4&lt;=nA+nB,shareB/nB,IF($A27-nA-nB&gt;0,shareC/($A27-nA-nB),0)))))</f>
        <v>0.05</v>
      </c>
      <c r="H27" s="1" t="n">
        <f aca="false">IF(H$4&gt;$A27,0,IF(dist_mode="Uniform",1,IF(H$4&lt;=nA,shareA/nA,IF(H$4&lt;=nA+nB,shareB/nB,IF($A27-nA-nB&gt;0,shareC/($A27-nA-nB),0)))))</f>
        <v>0.00384615384615385</v>
      </c>
      <c r="I27" s="1" t="n">
        <f aca="false">IF(I$4&gt;$A27,0,IF(dist_mode="Uniform",1,IF(I$4&lt;=nA,shareA/nA,IF(I$4&lt;=nA+nB,shareB/nB,IF($A27-nA-nB&gt;0,shareC/($A27-nA-nB),0)))))</f>
        <v>0.00384615384615385</v>
      </c>
      <c r="J27" s="1" t="n">
        <f aca="false">IF(J$4&gt;$A27,0,IF(dist_mode="Uniform",1,IF(J$4&lt;=nA,shareA/nA,IF(J$4&lt;=nA+nB,shareB/nB,IF($A27-nA-nB&gt;0,shareC/($A27-nA-nB),0)))))</f>
        <v>0.00384615384615385</v>
      </c>
      <c r="K27" s="1" t="n">
        <f aca="false">IF(K$4&gt;$A27,0,IF(dist_mode="Uniform",1,IF(K$4&lt;=nA,shareA/nA,IF(K$4&lt;=nA+nB,shareB/nB,IF($A27-nA-nB&gt;0,shareC/($A27-nA-nB),0)))))</f>
        <v>0.00384615384615385</v>
      </c>
      <c r="L27" s="1" t="n">
        <f aca="false">IF(L$4&gt;$A27,0,IF(dist_mode="Uniform",1,IF(L$4&lt;=nA,shareA/nA,IF(L$4&lt;=nA+nB,shareB/nB,IF($A27-nA-nB&gt;0,shareC/($A27-nA-nB),0)))))</f>
        <v>0.00384615384615385</v>
      </c>
      <c r="M27" s="1" t="n">
        <f aca="false">IF(M$4&gt;$A27,0,IF(dist_mode="Uniform",1,IF(M$4&lt;=nA,shareA/nA,IF(M$4&lt;=nA+nB,shareB/nB,IF($A27-nA-nB&gt;0,shareC/($A27-nA-nB),0)))))</f>
        <v>0.00384615384615385</v>
      </c>
      <c r="N27" s="1" t="n">
        <f aca="false">IF(N$4&gt;$A27,0,IF(dist_mode="Uniform",1,IF(N$4&lt;=nA,shareA/nA,IF(N$4&lt;=nA+nB,shareB/nB,IF($A27-nA-nB&gt;0,shareC/($A27-nA-nB),0)))))</f>
        <v>0.00384615384615385</v>
      </c>
      <c r="O27" s="1" t="n">
        <f aca="false">IF(O$4&gt;$A27,0,IF(dist_mode="Uniform",1,IF(O$4&lt;=nA,shareA/nA,IF(O$4&lt;=nA+nB,shareB/nB,IF($A27-nA-nB&gt;0,shareC/($A27-nA-nB),0)))))</f>
        <v>0.00384615384615385</v>
      </c>
      <c r="P27" s="1" t="n">
        <f aca="false">IF(P$4&gt;$A27,0,IF(dist_mode="Uniform",1,IF(P$4&lt;=nA,shareA/nA,IF(P$4&lt;=nA+nB,shareB/nB,IF($A27-nA-nB&gt;0,shareC/($A27-nA-nB),0)))))</f>
        <v>0.00384615384615385</v>
      </c>
      <c r="Q27" s="1" t="n">
        <f aca="false">IF(Q$4&gt;$A27,0,IF(dist_mode="Uniform",1,IF(Q$4&lt;=nA,shareA/nA,IF(Q$4&lt;=nA+nB,shareB/nB,IF($A27-nA-nB&gt;0,shareC/($A27-nA-nB),0)))))</f>
        <v>0.00384615384615385</v>
      </c>
      <c r="R27" s="1" t="n">
        <f aca="false">IF(R$4&gt;$A27,0,IF(dist_mode="Uniform",1,IF(R$4&lt;=nA,shareA/nA,IF(R$4&lt;=nA+nB,shareB/nB,IF($A27-nA-nB&gt;0,shareC/($A27-nA-nB),0)))))</f>
        <v>0.00384615384615385</v>
      </c>
      <c r="S27" s="1" t="n">
        <f aca="false">IF(S$4&gt;$A27,0,IF(dist_mode="Uniform",1,IF(S$4&lt;=nA,shareA/nA,IF(S$4&lt;=nA+nB,shareB/nB,IF($A27-nA-nB&gt;0,shareC/($A27-nA-nB),0)))))</f>
        <v>0.00384615384615385</v>
      </c>
      <c r="T27" s="1" t="n">
        <f aca="false">IF(T$4&gt;$A27,0,IF(dist_mode="Uniform",1,IF(T$4&lt;=nA,shareA/nA,IF(T$4&lt;=nA+nB,shareB/nB,IF($A27-nA-nB&gt;0,shareC/($A27-nA-nB),0)))))</f>
        <v>0.00384615384615385</v>
      </c>
      <c r="U27" s="1" t="n">
        <f aca="false">IF(U$4&gt;$A27,0,IF(dist_mode="Uniform",1,IF(U$4&lt;=nA,shareA/nA,IF(U$4&lt;=nA+nB,shareB/nB,IF($A27-nA-nB&gt;0,shareC/($A27-nA-nB),0)))))</f>
        <v>0</v>
      </c>
      <c r="V27" s="1" t="n">
        <f aca="false">IF(V$4&gt;$A27,0,IF(dist_mode="Uniform",1,IF(V$4&lt;=nA,shareA/nA,IF(V$4&lt;=nA+nB,shareB/nB,IF($A27-nA-nB&gt;0,shareC/($A27-nA-nB),0)))))</f>
        <v>0</v>
      </c>
      <c r="X27" s="49" t="n">
        <f aca="false">SUM(C27:V27)</f>
        <v>1</v>
      </c>
      <c r="Y27" s="49" t="n">
        <f aca="false">C27/X27</f>
        <v>0.4</v>
      </c>
      <c r="Z27" s="49" t="n">
        <f aca="false">1-Y27</f>
        <v>0.6</v>
      </c>
      <c r="AA27" s="50" t="n">
        <f aca="false">IF(Z27&lt;=0.000000000001,0,SUMPRODUCT(D27:V27,D$7:V$7)/(X27-C27))</f>
        <v>46.8904761904762</v>
      </c>
      <c r="AB27" s="51" t="n">
        <f aca="false">SUMPRODUCT(C27:V27,C$5:V$5)/X27</f>
        <v>3.01</v>
      </c>
    </row>
    <row r="28" customFormat="false" ht="15" hidden="false" customHeight="true" outlineLevel="0" collapsed="false">
      <c r="A28" s="1" t="n">
        <v>19</v>
      </c>
      <c r="C28" s="1" t="n">
        <f aca="false">IF(C$4&gt;$A28,0,IF(dist_mode="Uniform",1,IF(C$4&lt;=nA,shareA/nA,IF(C$4&lt;=nA+nB,shareB/nB,IF($A28-nA-nB&gt;0,shareC/($A28-nA-nB),0)))))</f>
        <v>0.4</v>
      </c>
      <c r="D28" s="1" t="n">
        <f aca="false">IF(D$4&gt;$A28,0,IF(dist_mode="Uniform",1,IF(D$4&lt;=nA,shareA/nA,IF(D$4&lt;=nA+nB,shareB/nB,IF($A28-nA-nB&gt;0,shareC/($A28-nA-nB),0)))))</f>
        <v>0.4</v>
      </c>
      <c r="E28" s="1" t="n">
        <f aca="false">IF(E$4&gt;$A28,0,IF(dist_mode="Uniform",1,IF(E$4&lt;=nA,shareA/nA,IF(E$4&lt;=nA+nB,shareB/nB,IF($A28-nA-nB&gt;0,shareC/($A28-nA-nB),0)))))</f>
        <v>0.05</v>
      </c>
      <c r="F28" s="1" t="n">
        <f aca="false">IF(F$4&gt;$A28,0,IF(dist_mode="Uniform",1,IF(F$4&lt;=nA,shareA/nA,IF(F$4&lt;=nA+nB,shareB/nB,IF($A28-nA-nB&gt;0,shareC/($A28-nA-nB),0)))))</f>
        <v>0.05</v>
      </c>
      <c r="G28" s="1" t="n">
        <f aca="false">IF(G$4&gt;$A28,0,IF(dist_mode="Uniform",1,IF(G$4&lt;=nA,shareA/nA,IF(G$4&lt;=nA+nB,shareB/nB,IF($A28-nA-nB&gt;0,shareC/($A28-nA-nB),0)))))</f>
        <v>0.05</v>
      </c>
      <c r="H28" s="1" t="n">
        <f aca="false">IF(H$4&gt;$A28,0,IF(dist_mode="Uniform",1,IF(H$4&lt;=nA,shareA/nA,IF(H$4&lt;=nA+nB,shareB/nB,IF($A28-nA-nB&gt;0,shareC/($A28-nA-nB),0)))))</f>
        <v>0.00357142857142857</v>
      </c>
      <c r="I28" s="1" t="n">
        <f aca="false">IF(I$4&gt;$A28,0,IF(dist_mode="Uniform",1,IF(I$4&lt;=nA,shareA/nA,IF(I$4&lt;=nA+nB,shareB/nB,IF($A28-nA-nB&gt;0,shareC/($A28-nA-nB),0)))))</f>
        <v>0.00357142857142857</v>
      </c>
      <c r="J28" s="1" t="n">
        <f aca="false">IF(J$4&gt;$A28,0,IF(dist_mode="Uniform",1,IF(J$4&lt;=nA,shareA/nA,IF(J$4&lt;=nA+nB,shareB/nB,IF($A28-nA-nB&gt;0,shareC/($A28-nA-nB),0)))))</f>
        <v>0.00357142857142857</v>
      </c>
      <c r="K28" s="1" t="n">
        <f aca="false">IF(K$4&gt;$A28,0,IF(dist_mode="Uniform",1,IF(K$4&lt;=nA,shareA/nA,IF(K$4&lt;=nA+nB,shareB/nB,IF($A28-nA-nB&gt;0,shareC/($A28-nA-nB),0)))))</f>
        <v>0.00357142857142857</v>
      </c>
      <c r="L28" s="1" t="n">
        <f aca="false">IF(L$4&gt;$A28,0,IF(dist_mode="Uniform",1,IF(L$4&lt;=nA,shareA/nA,IF(L$4&lt;=nA+nB,shareB/nB,IF($A28-nA-nB&gt;0,shareC/($A28-nA-nB),0)))))</f>
        <v>0.00357142857142857</v>
      </c>
      <c r="M28" s="1" t="n">
        <f aca="false">IF(M$4&gt;$A28,0,IF(dist_mode="Uniform",1,IF(M$4&lt;=nA,shareA/nA,IF(M$4&lt;=nA+nB,shareB/nB,IF($A28-nA-nB&gt;0,shareC/($A28-nA-nB),0)))))</f>
        <v>0.00357142857142857</v>
      </c>
      <c r="N28" s="1" t="n">
        <f aca="false">IF(N$4&gt;$A28,0,IF(dist_mode="Uniform",1,IF(N$4&lt;=nA,shareA/nA,IF(N$4&lt;=nA+nB,shareB/nB,IF($A28-nA-nB&gt;0,shareC/($A28-nA-nB),0)))))</f>
        <v>0.00357142857142857</v>
      </c>
      <c r="O28" s="1" t="n">
        <f aca="false">IF(O$4&gt;$A28,0,IF(dist_mode="Uniform",1,IF(O$4&lt;=nA,shareA/nA,IF(O$4&lt;=nA+nB,shareB/nB,IF($A28-nA-nB&gt;0,shareC/($A28-nA-nB),0)))))</f>
        <v>0.00357142857142857</v>
      </c>
      <c r="P28" s="1" t="n">
        <f aca="false">IF(P$4&gt;$A28,0,IF(dist_mode="Uniform",1,IF(P$4&lt;=nA,shareA/nA,IF(P$4&lt;=nA+nB,shareB/nB,IF($A28-nA-nB&gt;0,shareC/($A28-nA-nB),0)))))</f>
        <v>0.00357142857142857</v>
      </c>
      <c r="Q28" s="1" t="n">
        <f aca="false">IF(Q$4&gt;$A28,0,IF(dist_mode="Uniform",1,IF(Q$4&lt;=nA,shareA/nA,IF(Q$4&lt;=nA+nB,shareB/nB,IF($A28-nA-nB&gt;0,shareC/($A28-nA-nB),0)))))</f>
        <v>0.00357142857142857</v>
      </c>
      <c r="R28" s="1" t="n">
        <f aca="false">IF(R$4&gt;$A28,0,IF(dist_mode="Uniform",1,IF(R$4&lt;=nA,shareA/nA,IF(R$4&lt;=nA+nB,shareB/nB,IF($A28-nA-nB&gt;0,shareC/($A28-nA-nB),0)))))</f>
        <v>0.00357142857142857</v>
      </c>
      <c r="S28" s="1" t="n">
        <f aca="false">IF(S$4&gt;$A28,0,IF(dist_mode="Uniform",1,IF(S$4&lt;=nA,shareA/nA,IF(S$4&lt;=nA+nB,shareB/nB,IF($A28-nA-nB&gt;0,shareC/($A28-nA-nB),0)))))</f>
        <v>0.00357142857142857</v>
      </c>
      <c r="T28" s="1" t="n">
        <f aca="false">IF(T$4&gt;$A28,0,IF(dist_mode="Uniform",1,IF(T$4&lt;=nA,shareA/nA,IF(T$4&lt;=nA+nB,shareB/nB,IF($A28-nA-nB&gt;0,shareC/($A28-nA-nB),0)))))</f>
        <v>0.00357142857142857</v>
      </c>
      <c r="U28" s="1" t="n">
        <f aca="false">IF(U$4&gt;$A28,0,IF(dist_mode="Uniform",1,IF(U$4&lt;=nA,shareA/nA,IF(U$4&lt;=nA+nB,shareB/nB,IF($A28-nA-nB&gt;0,shareC/($A28-nA-nB),0)))))</f>
        <v>0.00357142857142857</v>
      </c>
      <c r="V28" s="1" t="n">
        <f aca="false">IF(V$4&gt;$A28,0,IF(dist_mode="Uniform",1,IF(V$4&lt;=nA,shareA/nA,IF(V$4&lt;=nA+nB,shareB/nB,IF($A28-nA-nB&gt;0,shareC/($A28-nA-nB),0)))))</f>
        <v>0</v>
      </c>
      <c r="X28" s="49" t="n">
        <f aca="false">SUM(C28:V28)</f>
        <v>1</v>
      </c>
      <c r="Y28" s="49" t="n">
        <f aca="false">C28/X28</f>
        <v>0.4</v>
      </c>
      <c r="Z28" s="49" t="n">
        <f aca="false">1-Y28</f>
        <v>0.6</v>
      </c>
      <c r="AA28" s="50" t="n">
        <f aca="false">IF(Z28&lt;=0.000000000001,0,SUMPRODUCT(D28:V28,D$7:V$7)/(X28-C28))</f>
        <v>47.0696428571429</v>
      </c>
      <c r="AB28" s="51" t="n">
        <f aca="false">SUMPRODUCT(C28:V28,C$5:V$5)/X28</f>
        <v>3.06375</v>
      </c>
    </row>
    <row r="29" customFormat="false" ht="15" hidden="false" customHeight="true" outlineLevel="0" collapsed="false">
      <c r="A29" s="1" t="n">
        <v>20</v>
      </c>
      <c r="C29" s="1" t="n">
        <f aca="false">IF(C$4&gt;$A29,0,IF(dist_mode="Uniform",1,IF(C$4&lt;=nA,shareA/nA,IF(C$4&lt;=nA+nB,shareB/nB,IF($A29-nA-nB&gt;0,shareC/($A29-nA-nB),0)))))</f>
        <v>0.4</v>
      </c>
      <c r="D29" s="1" t="n">
        <f aca="false">IF(D$4&gt;$A29,0,IF(dist_mode="Uniform",1,IF(D$4&lt;=nA,shareA/nA,IF(D$4&lt;=nA+nB,shareB/nB,IF($A29-nA-nB&gt;0,shareC/($A29-nA-nB),0)))))</f>
        <v>0.4</v>
      </c>
      <c r="E29" s="1" t="n">
        <f aca="false">IF(E$4&gt;$A29,0,IF(dist_mode="Uniform",1,IF(E$4&lt;=nA,shareA/nA,IF(E$4&lt;=nA+nB,shareB/nB,IF($A29-nA-nB&gt;0,shareC/($A29-nA-nB),0)))))</f>
        <v>0.05</v>
      </c>
      <c r="F29" s="1" t="n">
        <f aca="false">IF(F$4&gt;$A29,0,IF(dist_mode="Uniform",1,IF(F$4&lt;=nA,shareA/nA,IF(F$4&lt;=nA+nB,shareB/nB,IF($A29-nA-nB&gt;0,shareC/($A29-nA-nB),0)))))</f>
        <v>0.05</v>
      </c>
      <c r="G29" s="1" t="n">
        <f aca="false">IF(G$4&gt;$A29,0,IF(dist_mode="Uniform",1,IF(G$4&lt;=nA,shareA/nA,IF(G$4&lt;=nA+nB,shareB/nB,IF($A29-nA-nB&gt;0,shareC/($A29-nA-nB),0)))))</f>
        <v>0.05</v>
      </c>
      <c r="H29" s="1" t="n">
        <f aca="false">IF(H$4&gt;$A29,0,IF(dist_mode="Uniform",1,IF(H$4&lt;=nA,shareA/nA,IF(H$4&lt;=nA+nB,shareB/nB,IF($A29-nA-nB&gt;0,shareC/($A29-nA-nB),0)))))</f>
        <v>0.00333333333333333</v>
      </c>
      <c r="I29" s="1" t="n">
        <f aca="false">IF(I$4&gt;$A29,0,IF(dist_mode="Uniform",1,IF(I$4&lt;=nA,shareA/nA,IF(I$4&lt;=nA+nB,shareB/nB,IF($A29-nA-nB&gt;0,shareC/($A29-nA-nB),0)))))</f>
        <v>0.00333333333333333</v>
      </c>
      <c r="J29" s="1" t="n">
        <f aca="false">IF(J$4&gt;$A29,0,IF(dist_mode="Uniform",1,IF(J$4&lt;=nA,shareA/nA,IF(J$4&lt;=nA+nB,shareB/nB,IF($A29-nA-nB&gt;0,shareC/($A29-nA-nB),0)))))</f>
        <v>0.00333333333333333</v>
      </c>
      <c r="K29" s="1" t="n">
        <f aca="false">IF(K$4&gt;$A29,0,IF(dist_mode="Uniform",1,IF(K$4&lt;=nA,shareA/nA,IF(K$4&lt;=nA+nB,shareB/nB,IF($A29-nA-nB&gt;0,shareC/($A29-nA-nB),0)))))</f>
        <v>0.00333333333333333</v>
      </c>
      <c r="L29" s="1" t="n">
        <f aca="false">IF(L$4&gt;$A29,0,IF(dist_mode="Uniform",1,IF(L$4&lt;=nA,shareA/nA,IF(L$4&lt;=nA+nB,shareB/nB,IF($A29-nA-nB&gt;0,shareC/($A29-nA-nB),0)))))</f>
        <v>0.00333333333333333</v>
      </c>
      <c r="M29" s="1" t="n">
        <f aca="false">IF(M$4&gt;$A29,0,IF(dist_mode="Uniform",1,IF(M$4&lt;=nA,shareA/nA,IF(M$4&lt;=nA+nB,shareB/nB,IF($A29-nA-nB&gt;0,shareC/($A29-nA-nB),0)))))</f>
        <v>0.00333333333333333</v>
      </c>
      <c r="N29" s="1" t="n">
        <f aca="false">IF(N$4&gt;$A29,0,IF(dist_mode="Uniform",1,IF(N$4&lt;=nA,shareA/nA,IF(N$4&lt;=nA+nB,shareB/nB,IF($A29-nA-nB&gt;0,shareC/($A29-nA-nB),0)))))</f>
        <v>0.00333333333333333</v>
      </c>
      <c r="O29" s="1" t="n">
        <f aca="false">IF(O$4&gt;$A29,0,IF(dist_mode="Uniform",1,IF(O$4&lt;=nA,shareA/nA,IF(O$4&lt;=nA+nB,shareB/nB,IF($A29-nA-nB&gt;0,shareC/($A29-nA-nB),0)))))</f>
        <v>0.00333333333333333</v>
      </c>
      <c r="P29" s="1" t="n">
        <f aca="false">IF(P$4&gt;$A29,0,IF(dist_mode="Uniform",1,IF(P$4&lt;=nA,shareA/nA,IF(P$4&lt;=nA+nB,shareB/nB,IF($A29-nA-nB&gt;0,shareC/($A29-nA-nB),0)))))</f>
        <v>0.00333333333333333</v>
      </c>
      <c r="Q29" s="1" t="n">
        <f aca="false">IF(Q$4&gt;$A29,0,IF(dist_mode="Uniform",1,IF(Q$4&lt;=nA,shareA/nA,IF(Q$4&lt;=nA+nB,shareB/nB,IF($A29-nA-nB&gt;0,shareC/($A29-nA-nB),0)))))</f>
        <v>0.00333333333333333</v>
      </c>
      <c r="R29" s="1" t="n">
        <f aca="false">IF(R$4&gt;$A29,0,IF(dist_mode="Uniform",1,IF(R$4&lt;=nA,shareA/nA,IF(R$4&lt;=nA+nB,shareB/nB,IF($A29-nA-nB&gt;0,shareC/($A29-nA-nB),0)))))</f>
        <v>0.00333333333333333</v>
      </c>
      <c r="S29" s="1" t="n">
        <f aca="false">IF(S$4&gt;$A29,0,IF(dist_mode="Uniform",1,IF(S$4&lt;=nA,shareA/nA,IF(S$4&lt;=nA+nB,shareB/nB,IF($A29-nA-nB&gt;0,shareC/($A29-nA-nB),0)))))</f>
        <v>0.00333333333333333</v>
      </c>
      <c r="T29" s="1" t="n">
        <f aca="false">IF(T$4&gt;$A29,0,IF(dist_mode="Uniform",1,IF(T$4&lt;=nA,shareA/nA,IF(T$4&lt;=nA+nB,shareB/nB,IF($A29-nA-nB&gt;0,shareC/($A29-nA-nB),0)))))</f>
        <v>0.00333333333333333</v>
      </c>
      <c r="U29" s="1" t="n">
        <f aca="false">IF(U$4&gt;$A29,0,IF(dist_mode="Uniform",1,IF(U$4&lt;=nA,shareA/nA,IF(U$4&lt;=nA+nB,shareB/nB,IF($A29-nA-nB&gt;0,shareC/($A29-nA-nB),0)))))</f>
        <v>0.00333333333333333</v>
      </c>
      <c r="V29" s="1" t="n">
        <f aca="false">IF(V$4&gt;$A29,0,IF(dist_mode="Uniform",1,IF(V$4&lt;=nA,shareA/nA,IF(V$4&lt;=nA+nB,shareB/nB,IF($A29-nA-nB&gt;0,shareC/($A29-nA-nB),0)))))</f>
        <v>0.00333333333333333</v>
      </c>
      <c r="X29" s="49" t="n">
        <f aca="false">SUM(C29:V29)</f>
        <v>1</v>
      </c>
      <c r="Y29" s="49" t="n">
        <f aca="false">C29/X29</f>
        <v>0.4</v>
      </c>
      <c r="Z29" s="49" t="n">
        <f aca="false">1-Y29</f>
        <v>0.6</v>
      </c>
      <c r="AA29" s="50" t="n">
        <f aca="false">IF(Z29&lt;=0.000000000001,0,SUMPRODUCT(D29:V29,D$7:V$7)/(X29-C29))</f>
        <v>47.2488095238095</v>
      </c>
      <c r="AB29" s="51" t="n">
        <f aca="false">SUMPRODUCT(C29:V29,C$5:V$5)/X29</f>
        <v>3.1175</v>
      </c>
    </row>
    <row r="32" customFormat="false" ht="15" hidden="false" customHeight="true" outlineLevel="0" collapsed="false">
      <c r="A32" s="25" t="s">
        <v>215</v>
      </c>
    </row>
    <row r="33" customFormat="false" ht="15" hidden="false" customHeight="true" outlineLevel="0" collapsed="false">
      <c r="A33" s="1" t="n">
        <v>1</v>
      </c>
      <c r="C33" s="52" t="n">
        <f aca="false">C10/$X10</f>
        <v>1</v>
      </c>
      <c r="D33" s="52" t="n">
        <f aca="false">D10/$X10</f>
        <v>0</v>
      </c>
      <c r="E33" s="52" t="n">
        <f aca="false">E10/$X10</f>
        <v>0</v>
      </c>
      <c r="F33" s="52" t="n">
        <f aca="false">F10/$X10</f>
        <v>0</v>
      </c>
      <c r="G33" s="52" t="n">
        <f aca="false">G10/$X10</f>
        <v>0</v>
      </c>
      <c r="H33" s="52" t="n">
        <f aca="false">H10/$X10</f>
        <v>0</v>
      </c>
      <c r="I33" s="52" t="n">
        <f aca="false">I10/$X10</f>
        <v>0</v>
      </c>
      <c r="J33" s="52" t="n">
        <f aca="false">J10/$X10</f>
        <v>0</v>
      </c>
      <c r="K33" s="52" t="n">
        <f aca="false">K10/$X10</f>
        <v>0</v>
      </c>
      <c r="L33" s="52" t="n">
        <f aca="false">L10/$X10</f>
        <v>0</v>
      </c>
      <c r="M33" s="52" t="n">
        <f aca="false">M10/$X10</f>
        <v>0</v>
      </c>
      <c r="N33" s="52" t="n">
        <f aca="false">N10/$X10</f>
        <v>0</v>
      </c>
      <c r="O33" s="52" t="n">
        <f aca="false">O10/$X10</f>
        <v>0</v>
      </c>
      <c r="P33" s="52" t="n">
        <f aca="false">P10/$X10</f>
        <v>0</v>
      </c>
      <c r="Q33" s="52" t="n">
        <f aca="false">Q10/$X10</f>
        <v>0</v>
      </c>
      <c r="R33" s="52" t="n">
        <f aca="false">R10/$X10</f>
        <v>0</v>
      </c>
      <c r="S33" s="52" t="n">
        <f aca="false">S10/$X10</f>
        <v>0</v>
      </c>
      <c r="T33" s="52" t="n">
        <f aca="false">T10/$X10</f>
        <v>0</v>
      </c>
      <c r="U33" s="52" t="n">
        <f aca="false">U10/$X10</f>
        <v>0</v>
      </c>
      <c r="V33" s="52" t="n">
        <f aca="false">V10/$X10</f>
        <v>0</v>
      </c>
    </row>
    <row r="34" customFormat="false" ht="15" hidden="false" customHeight="true" outlineLevel="0" collapsed="false">
      <c r="A34" s="1" t="n">
        <v>2</v>
      </c>
      <c r="C34" s="52" t="n">
        <f aca="false">C11/$X11</f>
        <v>0.5</v>
      </c>
      <c r="D34" s="52" t="n">
        <f aca="false">D11/$X11</f>
        <v>0.5</v>
      </c>
      <c r="E34" s="52" t="n">
        <f aca="false">E11/$X11</f>
        <v>0</v>
      </c>
      <c r="F34" s="52" t="n">
        <f aca="false">F11/$X11</f>
        <v>0</v>
      </c>
      <c r="G34" s="52" t="n">
        <f aca="false">G11/$X11</f>
        <v>0</v>
      </c>
      <c r="H34" s="52" t="n">
        <f aca="false">H11/$X11</f>
        <v>0</v>
      </c>
      <c r="I34" s="52" t="n">
        <f aca="false">I11/$X11</f>
        <v>0</v>
      </c>
      <c r="J34" s="52" t="n">
        <f aca="false">J11/$X11</f>
        <v>0</v>
      </c>
      <c r="K34" s="52" t="n">
        <f aca="false">K11/$X11</f>
        <v>0</v>
      </c>
      <c r="L34" s="52" t="n">
        <f aca="false">L11/$X11</f>
        <v>0</v>
      </c>
      <c r="M34" s="52" t="n">
        <f aca="false">M11/$X11</f>
        <v>0</v>
      </c>
      <c r="N34" s="52" t="n">
        <f aca="false">N11/$X11</f>
        <v>0</v>
      </c>
      <c r="O34" s="52" t="n">
        <f aca="false">O11/$X11</f>
        <v>0</v>
      </c>
      <c r="P34" s="52" t="n">
        <f aca="false">P11/$X11</f>
        <v>0</v>
      </c>
      <c r="Q34" s="52" t="n">
        <f aca="false">Q11/$X11</f>
        <v>0</v>
      </c>
      <c r="R34" s="52" t="n">
        <f aca="false">R11/$X11</f>
        <v>0</v>
      </c>
      <c r="S34" s="52" t="n">
        <f aca="false">S11/$X11</f>
        <v>0</v>
      </c>
      <c r="T34" s="52" t="n">
        <f aca="false">T11/$X11</f>
        <v>0</v>
      </c>
      <c r="U34" s="52" t="n">
        <f aca="false">U11/$X11</f>
        <v>0</v>
      </c>
      <c r="V34" s="52" t="n">
        <f aca="false">V11/$X11</f>
        <v>0</v>
      </c>
    </row>
    <row r="35" customFormat="false" ht="15" hidden="false" customHeight="true" outlineLevel="0" collapsed="false">
      <c r="A35" s="1" t="n">
        <v>3</v>
      </c>
      <c r="C35" s="52" t="n">
        <f aca="false">C12/$X12</f>
        <v>0.470588235294118</v>
      </c>
      <c r="D35" s="52" t="n">
        <f aca="false">D12/$X12</f>
        <v>0.470588235294118</v>
      </c>
      <c r="E35" s="52" t="n">
        <f aca="false">E12/$X12</f>
        <v>0.0588235294117647</v>
      </c>
      <c r="F35" s="52" t="n">
        <f aca="false">F12/$X12</f>
        <v>0</v>
      </c>
      <c r="G35" s="52" t="n">
        <f aca="false">G12/$X12</f>
        <v>0</v>
      </c>
      <c r="H35" s="52" t="n">
        <f aca="false">H12/$X12</f>
        <v>0</v>
      </c>
      <c r="I35" s="52" t="n">
        <f aca="false">I12/$X12</f>
        <v>0</v>
      </c>
      <c r="J35" s="52" t="n">
        <f aca="false">J12/$X12</f>
        <v>0</v>
      </c>
      <c r="K35" s="52" t="n">
        <f aca="false">K12/$X12</f>
        <v>0</v>
      </c>
      <c r="L35" s="52" t="n">
        <f aca="false">L12/$X12</f>
        <v>0</v>
      </c>
      <c r="M35" s="52" t="n">
        <f aca="false">M12/$X12</f>
        <v>0</v>
      </c>
      <c r="N35" s="52" t="n">
        <f aca="false">N12/$X12</f>
        <v>0</v>
      </c>
      <c r="O35" s="52" t="n">
        <f aca="false">O12/$X12</f>
        <v>0</v>
      </c>
      <c r="P35" s="52" t="n">
        <f aca="false">P12/$X12</f>
        <v>0</v>
      </c>
      <c r="Q35" s="52" t="n">
        <f aca="false">Q12/$X12</f>
        <v>0</v>
      </c>
      <c r="R35" s="52" t="n">
        <f aca="false">R12/$X12</f>
        <v>0</v>
      </c>
      <c r="S35" s="52" t="n">
        <f aca="false">S12/$X12</f>
        <v>0</v>
      </c>
      <c r="T35" s="52" t="n">
        <f aca="false">T12/$X12</f>
        <v>0</v>
      </c>
      <c r="U35" s="52" t="n">
        <f aca="false">U12/$X12</f>
        <v>0</v>
      </c>
      <c r="V35" s="52" t="n">
        <f aca="false">V12/$X12</f>
        <v>0</v>
      </c>
    </row>
    <row r="36" customFormat="false" ht="15" hidden="false" customHeight="true" outlineLevel="0" collapsed="false">
      <c r="A36" s="1" t="n">
        <v>4</v>
      </c>
      <c r="C36" s="52" t="n">
        <f aca="false">C13/$X13</f>
        <v>0.444444444444444</v>
      </c>
      <c r="D36" s="52" t="n">
        <f aca="false">D13/$X13</f>
        <v>0.444444444444444</v>
      </c>
      <c r="E36" s="52" t="n">
        <f aca="false">E13/$X13</f>
        <v>0.0555555555555555</v>
      </c>
      <c r="F36" s="52" t="n">
        <f aca="false">F13/$X13</f>
        <v>0.0555555555555555</v>
      </c>
      <c r="G36" s="52" t="n">
        <f aca="false">G13/$X13</f>
        <v>0</v>
      </c>
      <c r="H36" s="52" t="n">
        <f aca="false">H13/$X13</f>
        <v>0</v>
      </c>
      <c r="I36" s="52" t="n">
        <f aca="false">I13/$X13</f>
        <v>0</v>
      </c>
      <c r="J36" s="52" t="n">
        <f aca="false">J13/$X13</f>
        <v>0</v>
      </c>
      <c r="K36" s="52" t="n">
        <f aca="false">K13/$X13</f>
        <v>0</v>
      </c>
      <c r="L36" s="52" t="n">
        <f aca="false">L13/$X13</f>
        <v>0</v>
      </c>
      <c r="M36" s="52" t="n">
        <f aca="false">M13/$X13</f>
        <v>0</v>
      </c>
      <c r="N36" s="52" t="n">
        <f aca="false">N13/$X13</f>
        <v>0</v>
      </c>
      <c r="O36" s="52" t="n">
        <f aca="false">O13/$X13</f>
        <v>0</v>
      </c>
      <c r="P36" s="52" t="n">
        <f aca="false">P13/$X13</f>
        <v>0</v>
      </c>
      <c r="Q36" s="52" t="n">
        <f aca="false">Q13/$X13</f>
        <v>0</v>
      </c>
      <c r="R36" s="52" t="n">
        <f aca="false">R13/$X13</f>
        <v>0</v>
      </c>
      <c r="S36" s="52" t="n">
        <f aca="false">S13/$X13</f>
        <v>0</v>
      </c>
      <c r="T36" s="52" t="n">
        <f aca="false">T13/$X13</f>
        <v>0</v>
      </c>
      <c r="U36" s="52" t="n">
        <f aca="false">U13/$X13</f>
        <v>0</v>
      </c>
      <c r="V36" s="52" t="n">
        <f aca="false">V13/$X13</f>
        <v>0</v>
      </c>
    </row>
    <row r="37" customFormat="false" ht="15" hidden="false" customHeight="true" outlineLevel="0" collapsed="false">
      <c r="A37" s="1" t="n">
        <v>5</v>
      </c>
      <c r="C37" s="52" t="n">
        <f aca="false">C14/$X14</f>
        <v>0.421052631578947</v>
      </c>
      <c r="D37" s="52" t="n">
        <f aca="false">D14/$X14</f>
        <v>0.421052631578947</v>
      </c>
      <c r="E37" s="52" t="n">
        <f aca="false">E14/$X14</f>
        <v>0.0526315789473684</v>
      </c>
      <c r="F37" s="52" t="n">
        <f aca="false">F14/$X14</f>
        <v>0.0526315789473684</v>
      </c>
      <c r="G37" s="52" t="n">
        <f aca="false">G14/$X14</f>
        <v>0.0526315789473684</v>
      </c>
      <c r="H37" s="52" t="n">
        <f aca="false">H14/$X14</f>
        <v>0</v>
      </c>
      <c r="I37" s="52" t="n">
        <f aca="false">I14/$X14</f>
        <v>0</v>
      </c>
      <c r="J37" s="52" t="n">
        <f aca="false">J14/$X14</f>
        <v>0</v>
      </c>
      <c r="K37" s="52" t="n">
        <f aca="false">K14/$X14</f>
        <v>0</v>
      </c>
      <c r="L37" s="52" t="n">
        <f aca="false">L14/$X14</f>
        <v>0</v>
      </c>
      <c r="M37" s="52" t="n">
        <f aca="false">M14/$X14</f>
        <v>0</v>
      </c>
      <c r="N37" s="52" t="n">
        <f aca="false">N14/$X14</f>
        <v>0</v>
      </c>
      <c r="O37" s="52" t="n">
        <f aca="false">O14/$X14</f>
        <v>0</v>
      </c>
      <c r="P37" s="52" t="n">
        <f aca="false">P14/$X14</f>
        <v>0</v>
      </c>
      <c r="Q37" s="52" t="n">
        <f aca="false">Q14/$X14</f>
        <v>0</v>
      </c>
      <c r="R37" s="52" t="n">
        <f aca="false">R14/$X14</f>
        <v>0</v>
      </c>
      <c r="S37" s="52" t="n">
        <f aca="false">S14/$X14</f>
        <v>0</v>
      </c>
      <c r="T37" s="52" t="n">
        <f aca="false">T14/$X14</f>
        <v>0</v>
      </c>
      <c r="U37" s="52" t="n">
        <f aca="false">U14/$X14</f>
        <v>0</v>
      </c>
      <c r="V37" s="52" t="n">
        <f aca="false">V14/$X14</f>
        <v>0</v>
      </c>
    </row>
    <row r="38" customFormat="false" ht="15" hidden="false" customHeight="true" outlineLevel="0" collapsed="false">
      <c r="A38" s="1" t="n">
        <v>6</v>
      </c>
      <c r="C38" s="52" t="n">
        <f aca="false">C15/$X15</f>
        <v>0.4</v>
      </c>
      <c r="D38" s="52" t="n">
        <f aca="false">D15/$X15</f>
        <v>0.4</v>
      </c>
      <c r="E38" s="52" t="n">
        <f aca="false">E15/$X15</f>
        <v>0.05</v>
      </c>
      <c r="F38" s="52" t="n">
        <f aca="false">F15/$X15</f>
        <v>0.05</v>
      </c>
      <c r="G38" s="52" t="n">
        <f aca="false">G15/$X15</f>
        <v>0.05</v>
      </c>
      <c r="H38" s="52" t="n">
        <f aca="false">H15/$X15</f>
        <v>0.05</v>
      </c>
      <c r="I38" s="52" t="n">
        <f aca="false">I15/$X15</f>
        <v>0</v>
      </c>
      <c r="J38" s="52" t="n">
        <f aca="false">J15/$X15</f>
        <v>0</v>
      </c>
      <c r="K38" s="52" t="n">
        <f aca="false">K15/$X15</f>
        <v>0</v>
      </c>
      <c r="L38" s="52" t="n">
        <f aca="false">L15/$X15</f>
        <v>0</v>
      </c>
      <c r="M38" s="52" t="n">
        <f aca="false">M15/$X15</f>
        <v>0</v>
      </c>
      <c r="N38" s="52" t="n">
        <f aca="false">N15/$X15</f>
        <v>0</v>
      </c>
      <c r="O38" s="52" t="n">
        <f aca="false">O15/$X15</f>
        <v>0</v>
      </c>
      <c r="P38" s="52" t="n">
        <f aca="false">P15/$X15</f>
        <v>0</v>
      </c>
      <c r="Q38" s="52" t="n">
        <f aca="false">Q15/$X15</f>
        <v>0</v>
      </c>
      <c r="R38" s="52" t="n">
        <f aca="false">R15/$X15</f>
        <v>0</v>
      </c>
      <c r="S38" s="52" t="n">
        <f aca="false">S15/$X15</f>
        <v>0</v>
      </c>
      <c r="T38" s="52" t="n">
        <f aca="false">T15/$X15</f>
        <v>0</v>
      </c>
      <c r="U38" s="52" t="n">
        <f aca="false">U15/$X15</f>
        <v>0</v>
      </c>
      <c r="V38" s="52" t="n">
        <f aca="false">V15/$X15</f>
        <v>0</v>
      </c>
    </row>
    <row r="39" customFormat="false" ht="15" hidden="false" customHeight="true" outlineLevel="0" collapsed="false">
      <c r="A39" s="1" t="n">
        <v>7</v>
      </c>
      <c r="C39" s="52" t="n">
        <f aca="false">C16/$X16</f>
        <v>0.4</v>
      </c>
      <c r="D39" s="52" t="n">
        <f aca="false">D16/$X16</f>
        <v>0.4</v>
      </c>
      <c r="E39" s="52" t="n">
        <f aca="false">E16/$X16</f>
        <v>0.05</v>
      </c>
      <c r="F39" s="52" t="n">
        <f aca="false">F16/$X16</f>
        <v>0.05</v>
      </c>
      <c r="G39" s="52" t="n">
        <f aca="false">G16/$X16</f>
        <v>0.05</v>
      </c>
      <c r="H39" s="52" t="n">
        <f aca="false">H16/$X16</f>
        <v>0.025</v>
      </c>
      <c r="I39" s="52" t="n">
        <f aca="false">I16/$X16</f>
        <v>0.025</v>
      </c>
      <c r="J39" s="52" t="n">
        <f aca="false">J16/$X16</f>
        <v>0</v>
      </c>
      <c r="K39" s="52" t="n">
        <f aca="false">K16/$X16</f>
        <v>0</v>
      </c>
      <c r="L39" s="52" t="n">
        <f aca="false">L16/$X16</f>
        <v>0</v>
      </c>
      <c r="M39" s="52" t="n">
        <f aca="false">M16/$X16</f>
        <v>0</v>
      </c>
      <c r="N39" s="52" t="n">
        <f aca="false">N16/$X16</f>
        <v>0</v>
      </c>
      <c r="O39" s="52" t="n">
        <f aca="false">O16/$X16</f>
        <v>0</v>
      </c>
      <c r="P39" s="52" t="n">
        <f aca="false">P16/$X16</f>
        <v>0</v>
      </c>
      <c r="Q39" s="52" t="n">
        <f aca="false">Q16/$X16</f>
        <v>0</v>
      </c>
      <c r="R39" s="52" t="n">
        <f aca="false">R16/$X16</f>
        <v>0</v>
      </c>
      <c r="S39" s="52" t="n">
        <f aca="false">S16/$X16</f>
        <v>0</v>
      </c>
      <c r="T39" s="52" t="n">
        <f aca="false">T16/$X16</f>
        <v>0</v>
      </c>
      <c r="U39" s="52" t="n">
        <f aca="false">U16/$X16</f>
        <v>0</v>
      </c>
      <c r="V39" s="52" t="n">
        <f aca="false">V16/$X16</f>
        <v>0</v>
      </c>
    </row>
    <row r="40" customFormat="false" ht="15" hidden="false" customHeight="true" outlineLevel="0" collapsed="false">
      <c r="A40" s="1" t="n">
        <v>8</v>
      </c>
      <c r="C40" s="52" t="n">
        <f aca="false">C17/$X17</f>
        <v>0.4</v>
      </c>
      <c r="D40" s="52" t="n">
        <f aca="false">D17/$X17</f>
        <v>0.4</v>
      </c>
      <c r="E40" s="52" t="n">
        <f aca="false">E17/$X17</f>
        <v>0.05</v>
      </c>
      <c r="F40" s="52" t="n">
        <f aca="false">F17/$X17</f>
        <v>0.05</v>
      </c>
      <c r="G40" s="52" t="n">
        <f aca="false">G17/$X17</f>
        <v>0.05</v>
      </c>
      <c r="H40" s="52" t="n">
        <f aca="false">H17/$X17</f>
        <v>0.0166666666666667</v>
      </c>
      <c r="I40" s="52" t="n">
        <f aca="false">I17/$X17</f>
        <v>0.0166666666666667</v>
      </c>
      <c r="J40" s="52" t="n">
        <f aca="false">J17/$X17</f>
        <v>0.0166666666666667</v>
      </c>
      <c r="K40" s="52" t="n">
        <f aca="false">K17/$X17</f>
        <v>0</v>
      </c>
      <c r="L40" s="52" t="n">
        <f aca="false">L17/$X17</f>
        <v>0</v>
      </c>
      <c r="M40" s="52" t="n">
        <f aca="false">M17/$X17</f>
        <v>0</v>
      </c>
      <c r="N40" s="52" t="n">
        <f aca="false">N17/$X17</f>
        <v>0</v>
      </c>
      <c r="O40" s="52" t="n">
        <f aca="false">O17/$X17</f>
        <v>0</v>
      </c>
      <c r="P40" s="52" t="n">
        <f aca="false">P17/$X17</f>
        <v>0</v>
      </c>
      <c r="Q40" s="52" t="n">
        <f aca="false">Q17/$X17</f>
        <v>0</v>
      </c>
      <c r="R40" s="52" t="n">
        <f aca="false">R17/$X17</f>
        <v>0</v>
      </c>
      <c r="S40" s="52" t="n">
        <f aca="false">S17/$X17</f>
        <v>0</v>
      </c>
      <c r="T40" s="52" t="n">
        <f aca="false">T17/$X17</f>
        <v>0</v>
      </c>
      <c r="U40" s="52" t="n">
        <f aca="false">U17/$X17</f>
        <v>0</v>
      </c>
      <c r="V40" s="52" t="n">
        <f aca="false">V17/$X17</f>
        <v>0</v>
      </c>
    </row>
    <row r="41" customFormat="false" ht="15" hidden="false" customHeight="true" outlineLevel="0" collapsed="false">
      <c r="A41" s="1" t="n">
        <v>9</v>
      </c>
      <c r="C41" s="52" t="n">
        <f aca="false">C18/$X18</f>
        <v>0.4</v>
      </c>
      <c r="D41" s="52" t="n">
        <f aca="false">D18/$X18</f>
        <v>0.4</v>
      </c>
      <c r="E41" s="52" t="n">
        <f aca="false">E18/$X18</f>
        <v>0.05</v>
      </c>
      <c r="F41" s="52" t="n">
        <f aca="false">F18/$X18</f>
        <v>0.05</v>
      </c>
      <c r="G41" s="52" t="n">
        <f aca="false">G18/$X18</f>
        <v>0.05</v>
      </c>
      <c r="H41" s="52" t="n">
        <f aca="false">H18/$X18</f>
        <v>0.0125</v>
      </c>
      <c r="I41" s="52" t="n">
        <f aca="false">I18/$X18</f>
        <v>0.0125</v>
      </c>
      <c r="J41" s="52" t="n">
        <f aca="false">J18/$X18</f>
        <v>0.0125</v>
      </c>
      <c r="K41" s="52" t="n">
        <f aca="false">K18/$X18</f>
        <v>0.0125</v>
      </c>
      <c r="L41" s="52" t="n">
        <f aca="false">L18/$X18</f>
        <v>0</v>
      </c>
      <c r="M41" s="52" t="n">
        <f aca="false">M18/$X18</f>
        <v>0</v>
      </c>
      <c r="N41" s="52" t="n">
        <f aca="false">N18/$X18</f>
        <v>0</v>
      </c>
      <c r="O41" s="52" t="n">
        <f aca="false">O18/$X18</f>
        <v>0</v>
      </c>
      <c r="P41" s="52" t="n">
        <f aca="false">P18/$X18</f>
        <v>0</v>
      </c>
      <c r="Q41" s="52" t="n">
        <f aca="false">Q18/$X18</f>
        <v>0</v>
      </c>
      <c r="R41" s="52" t="n">
        <f aca="false">R18/$X18</f>
        <v>0</v>
      </c>
      <c r="S41" s="52" t="n">
        <f aca="false">S18/$X18</f>
        <v>0</v>
      </c>
      <c r="T41" s="52" t="n">
        <f aca="false">T18/$X18</f>
        <v>0</v>
      </c>
      <c r="U41" s="52" t="n">
        <f aca="false">U18/$X18</f>
        <v>0</v>
      </c>
      <c r="V41" s="52" t="n">
        <f aca="false">V18/$X18</f>
        <v>0</v>
      </c>
    </row>
    <row r="42" customFormat="false" ht="15" hidden="false" customHeight="true" outlineLevel="0" collapsed="false">
      <c r="A42" s="1" t="n">
        <v>10</v>
      </c>
      <c r="C42" s="52" t="n">
        <f aca="false">C19/$X19</f>
        <v>0.4</v>
      </c>
      <c r="D42" s="52" t="n">
        <f aca="false">D19/$X19</f>
        <v>0.4</v>
      </c>
      <c r="E42" s="52" t="n">
        <f aca="false">E19/$X19</f>
        <v>0.05</v>
      </c>
      <c r="F42" s="52" t="n">
        <f aca="false">F19/$X19</f>
        <v>0.05</v>
      </c>
      <c r="G42" s="52" t="n">
        <f aca="false">G19/$X19</f>
        <v>0.05</v>
      </c>
      <c r="H42" s="52" t="n">
        <f aca="false">H19/$X19</f>
        <v>0.01</v>
      </c>
      <c r="I42" s="52" t="n">
        <f aca="false">I19/$X19</f>
        <v>0.01</v>
      </c>
      <c r="J42" s="52" t="n">
        <f aca="false">J19/$X19</f>
        <v>0.01</v>
      </c>
      <c r="K42" s="52" t="n">
        <f aca="false">K19/$X19</f>
        <v>0.01</v>
      </c>
      <c r="L42" s="52" t="n">
        <f aca="false">L19/$X19</f>
        <v>0.01</v>
      </c>
      <c r="M42" s="52" t="n">
        <f aca="false">M19/$X19</f>
        <v>0</v>
      </c>
      <c r="N42" s="52" t="n">
        <f aca="false">N19/$X19</f>
        <v>0</v>
      </c>
      <c r="O42" s="52" t="n">
        <f aca="false">O19/$X19</f>
        <v>0</v>
      </c>
      <c r="P42" s="52" t="n">
        <f aca="false">P19/$X19</f>
        <v>0</v>
      </c>
      <c r="Q42" s="52" t="n">
        <f aca="false">Q19/$X19</f>
        <v>0</v>
      </c>
      <c r="R42" s="52" t="n">
        <f aca="false">R19/$X19</f>
        <v>0</v>
      </c>
      <c r="S42" s="52" t="n">
        <f aca="false">S19/$X19</f>
        <v>0</v>
      </c>
      <c r="T42" s="52" t="n">
        <f aca="false">T19/$X19</f>
        <v>0</v>
      </c>
      <c r="U42" s="52" t="n">
        <f aca="false">U19/$X19</f>
        <v>0</v>
      </c>
      <c r="V42" s="52" t="n">
        <f aca="false">V19/$X19</f>
        <v>0</v>
      </c>
    </row>
    <row r="43" customFormat="false" ht="15" hidden="false" customHeight="true" outlineLevel="0" collapsed="false">
      <c r="A43" s="1" t="n">
        <v>11</v>
      </c>
      <c r="C43" s="52" t="n">
        <f aca="false">C20/$X20</f>
        <v>0.4</v>
      </c>
      <c r="D43" s="52" t="n">
        <f aca="false">D20/$X20</f>
        <v>0.4</v>
      </c>
      <c r="E43" s="52" t="n">
        <f aca="false">E20/$X20</f>
        <v>0.05</v>
      </c>
      <c r="F43" s="52" t="n">
        <f aca="false">F20/$X20</f>
        <v>0.05</v>
      </c>
      <c r="G43" s="52" t="n">
        <f aca="false">G20/$X20</f>
        <v>0.05</v>
      </c>
      <c r="H43" s="52" t="n">
        <f aca="false">H20/$X20</f>
        <v>0.00833333333333333</v>
      </c>
      <c r="I43" s="52" t="n">
        <f aca="false">I20/$X20</f>
        <v>0.00833333333333333</v>
      </c>
      <c r="J43" s="52" t="n">
        <f aca="false">J20/$X20</f>
        <v>0.00833333333333333</v>
      </c>
      <c r="K43" s="52" t="n">
        <f aca="false">K20/$X20</f>
        <v>0.00833333333333333</v>
      </c>
      <c r="L43" s="52" t="n">
        <f aca="false">L20/$X20</f>
        <v>0.00833333333333333</v>
      </c>
      <c r="M43" s="52" t="n">
        <f aca="false">M20/$X20</f>
        <v>0.00833333333333333</v>
      </c>
      <c r="N43" s="52" t="n">
        <f aca="false">N20/$X20</f>
        <v>0</v>
      </c>
      <c r="O43" s="52" t="n">
        <f aca="false">O20/$X20</f>
        <v>0</v>
      </c>
      <c r="P43" s="52" t="n">
        <f aca="false">P20/$X20</f>
        <v>0</v>
      </c>
      <c r="Q43" s="52" t="n">
        <f aca="false">Q20/$X20</f>
        <v>0</v>
      </c>
      <c r="R43" s="52" t="n">
        <f aca="false">R20/$X20</f>
        <v>0</v>
      </c>
      <c r="S43" s="52" t="n">
        <f aca="false">S20/$X20</f>
        <v>0</v>
      </c>
      <c r="T43" s="52" t="n">
        <f aca="false">T20/$X20</f>
        <v>0</v>
      </c>
      <c r="U43" s="52" t="n">
        <f aca="false">U20/$X20</f>
        <v>0</v>
      </c>
      <c r="V43" s="52" t="n">
        <f aca="false">V20/$X20</f>
        <v>0</v>
      </c>
    </row>
    <row r="44" customFormat="false" ht="15" hidden="false" customHeight="true" outlineLevel="0" collapsed="false">
      <c r="A44" s="1" t="n">
        <v>12</v>
      </c>
      <c r="C44" s="52" t="n">
        <f aca="false">C21/$X21</f>
        <v>0.4</v>
      </c>
      <c r="D44" s="52" t="n">
        <f aca="false">D21/$X21</f>
        <v>0.4</v>
      </c>
      <c r="E44" s="52" t="n">
        <f aca="false">E21/$X21</f>
        <v>0.05</v>
      </c>
      <c r="F44" s="52" t="n">
        <f aca="false">F21/$X21</f>
        <v>0.05</v>
      </c>
      <c r="G44" s="52" t="n">
        <f aca="false">G21/$X21</f>
        <v>0.05</v>
      </c>
      <c r="H44" s="52" t="n">
        <f aca="false">H21/$X21</f>
        <v>0.00714285714285714</v>
      </c>
      <c r="I44" s="52" t="n">
        <f aca="false">I21/$X21</f>
        <v>0.00714285714285714</v>
      </c>
      <c r="J44" s="52" t="n">
        <f aca="false">J21/$X21</f>
        <v>0.00714285714285714</v>
      </c>
      <c r="K44" s="52" t="n">
        <f aca="false">K21/$X21</f>
        <v>0.00714285714285714</v>
      </c>
      <c r="L44" s="52" t="n">
        <f aca="false">L21/$X21</f>
        <v>0.00714285714285714</v>
      </c>
      <c r="M44" s="52" t="n">
        <f aca="false">M21/$X21</f>
        <v>0.00714285714285714</v>
      </c>
      <c r="N44" s="52" t="n">
        <f aca="false">N21/$X21</f>
        <v>0.00714285714285714</v>
      </c>
      <c r="O44" s="52" t="n">
        <f aca="false">O21/$X21</f>
        <v>0</v>
      </c>
      <c r="P44" s="52" t="n">
        <f aca="false">P21/$X21</f>
        <v>0</v>
      </c>
      <c r="Q44" s="52" t="n">
        <f aca="false">Q21/$X21</f>
        <v>0</v>
      </c>
      <c r="R44" s="52" t="n">
        <f aca="false">R21/$X21</f>
        <v>0</v>
      </c>
      <c r="S44" s="52" t="n">
        <f aca="false">S21/$X21</f>
        <v>0</v>
      </c>
      <c r="T44" s="52" t="n">
        <f aca="false">T21/$X21</f>
        <v>0</v>
      </c>
      <c r="U44" s="52" t="n">
        <f aca="false">U21/$X21</f>
        <v>0</v>
      </c>
      <c r="V44" s="52" t="n">
        <f aca="false">V21/$X21</f>
        <v>0</v>
      </c>
    </row>
    <row r="45" customFormat="false" ht="15" hidden="false" customHeight="true" outlineLevel="0" collapsed="false">
      <c r="A45" s="1" t="n">
        <v>13</v>
      </c>
      <c r="C45" s="52" t="n">
        <f aca="false">C22/$X22</f>
        <v>0.4</v>
      </c>
      <c r="D45" s="52" t="n">
        <f aca="false">D22/$X22</f>
        <v>0.4</v>
      </c>
      <c r="E45" s="52" t="n">
        <f aca="false">E22/$X22</f>
        <v>0.05</v>
      </c>
      <c r="F45" s="52" t="n">
        <f aca="false">F22/$X22</f>
        <v>0.05</v>
      </c>
      <c r="G45" s="52" t="n">
        <f aca="false">G22/$X22</f>
        <v>0.05</v>
      </c>
      <c r="H45" s="52" t="n">
        <f aca="false">H22/$X22</f>
        <v>0.00625</v>
      </c>
      <c r="I45" s="52" t="n">
        <f aca="false">I22/$X22</f>
        <v>0.00625</v>
      </c>
      <c r="J45" s="52" t="n">
        <f aca="false">J22/$X22</f>
        <v>0.00625</v>
      </c>
      <c r="K45" s="52" t="n">
        <f aca="false">K22/$X22</f>
        <v>0.00625</v>
      </c>
      <c r="L45" s="52" t="n">
        <f aca="false">L22/$X22</f>
        <v>0.00625</v>
      </c>
      <c r="M45" s="52" t="n">
        <f aca="false">M22/$X22</f>
        <v>0.00625</v>
      </c>
      <c r="N45" s="52" t="n">
        <f aca="false">N22/$X22</f>
        <v>0.00625</v>
      </c>
      <c r="O45" s="52" t="n">
        <f aca="false">O22/$X22</f>
        <v>0.00625</v>
      </c>
      <c r="P45" s="52" t="n">
        <f aca="false">P22/$X22</f>
        <v>0</v>
      </c>
      <c r="Q45" s="52" t="n">
        <f aca="false">Q22/$X22</f>
        <v>0</v>
      </c>
      <c r="R45" s="52" t="n">
        <f aca="false">R22/$X22</f>
        <v>0</v>
      </c>
      <c r="S45" s="52" t="n">
        <f aca="false">S22/$X22</f>
        <v>0</v>
      </c>
      <c r="T45" s="52" t="n">
        <f aca="false">T22/$X22</f>
        <v>0</v>
      </c>
      <c r="U45" s="52" t="n">
        <f aca="false">U22/$X22</f>
        <v>0</v>
      </c>
      <c r="V45" s="52" t="n">
        <f aca="false">V22/$X22</f>
        <v>0</v>
      </c>
    </row>
    <row r="46" customFormat="false" ht="15" hidden="false" customHeight="true" outlineLevel="0" collapsed="false">
      <c r="A46" s="1" t="n">
        <v>14</v>
      </c>
      <c r="C46" s="52" t="n">
        <f aca="false">C23/$X23</f>
        <v>0.4</v>
      </c>
      <c r="D46" s="52" t="n">
        <f aca="false">D23/$X23</f>
        <v>0.4</v>
      </c>
      <c r="E46" s="52" t="n">
        <f aca="false">E23/$X23</f>
        <v>0.05</v>
      </c>
      <c r="F46" s="52" t="n">
        <f aca="false">F23/$X23</f>
        <v>0.05</v>
      </c>
      <c r="G46" s="52" t="n">
        <f aca="false">G23/$X23</f>
        <v>0.05</v>
      </c>
      <c r="H46" s="52" t="n">
        <f aca="false">H23/$X23</f>
        <v>0.00555555555555556</v>
      </c>
      <c r="I46" s="52" t="n">
        <f aca="false">I23/$X23</f>
        <v>0.00555555555555556</v>
      </c>
      <c r="J46" s="52" t="n">
        <f aca="false">J23/$X23</f>
        <v>0.00555555555555556</v>
      </c>
      <c r="K46" s="52" t="n">
        <f aca="false">K23/$X23</f>
        <v>0.00555555555555556</v>
      </c>
      <c r="L46" s="52" t="n">
        <f aca="false">L23/$X23</f>
        <v>0.00555555555555556</v>
      </c>
      <c r="M46" s="52" t="n">
        <f aca="false">M23/$X23</f>
        <v>0.00555555555555556</v>
      </c>
      <c r="N46" s="52" t="n">
        <f aca="false">N23/$X23</f>
        <v>0.00555555555555556</v>
      </c>
      <c r="O46" s="52" t="n">
        <f aca="false">O23/$X23</f>
        <v>0.00555555555555556</v>
      </c>
      <c r="P46" s="52" t="n">
        <f aca="false">P23/$X23</f>
        <v>0.00555555555555556</v>
      </c>
      <c r="Q46" s="52" t="n">
        <f aca="false">Q23/$X23</f>
        <v>0</v>
      </c>
      <c r="R46" s="52" t="n">
        <f aca="false">R23/$X23</f>
        <v>0</v>
      </c>
      <c r="S46" s="52" t="n">
        <f aca="false">S23/$X23</f>
        <v>0</v>
      </c>
      <c r="T46" s="52" t="n">
        <f aca="false">T23/$X23</f>
        <v>0</v>
      </c>
      <c r="U46" s="52" t="n">
        <f aca="false">U23/$X23</f>
        <v>0</v>
      </c>
      <c r="V46" s="52" t="n">
        <f aca="false">V23/$X23</f>
        <v>0</v>
      </c>
    </row>
    <row r="47" customFormat="false" ht="15" hidden="false" customHeight="true" outlineLevel="0" collapsed="false">
      <c r="A47" s="1" t="n">
        <v>15</v>
      </c>
      <c r="C47" s="52" t="n">
        <f aca="false">C24/$X24</f>
        <v>0.4</v>
      </c>
      <c r="D47" s="52" t="n">
        <f aca="false">D24/$X24</f>
        <v>0.4</v>
      </c>
      <c r="E47" s="52" t="n">
        <f aca="false">E24/$X24</f>
        <v>0.05</v>
      </c>
      <c r="F47" s="52" t="n">
        <f aca="false">F24/$X24</f>
        <v>0.05</v>
      </c>
      <c r="G47" s="52" t="n">
        <f aca="false">G24/$X24</f>
        <v>0.05</v>
      </c>
      <c r="H47" s="52" t="n">
        <f aca="false">H24/$X24</f>
        <v>0.005</v>
      </c>
      <c r="I47" s="52" t="n">
        <f aca="false">I24/$X24</f>
        <v>0.005</v>
      </c>
      <c r="J47" s="52" t="n">
        <f aca="false">J24/$X24</f>
        <v>0.005</v>
      </c>
      <c r="K47" s="52" t="n">
        <f aca="false">K24/$X24</f>
        <v>0.005</v>
      </c>
      <c r="L47" s="52" t="n">
        <f aca="false">L24/$X24</f>
        <v>0.005</v>
      </c>
      <c r="M47" s="52" t="n">
        <f aca="false">M24/$X24</f>
        <v>0.005</v>
      </c>
      <c r="N47" s="52" t="n">
        <f aca="false">N24/$X24</f>
        <v>0.005</v>
      </c>
      <c r="O47" s="52" t="n">
        <f aca="false">O24/$X24</f>
        <v>0.005</v>
      </c>
      <c r="P47" s="52" t="n">
        <f aca="false">P24/$X24</f>
        <v>0.005</v>
      </c>
      <c r="Q47" s="52" t="n">
        <f aca="false">Q24/$X24</f>
        <v>0.005</v>
      </c>
      <c r="R47" s="52" t="n">
        <f aca="false">R24/$X24</f>
        <v>0</v>
      </c>
      <c r="S47" s="52" t="n">
        <f aca="false">S24/$X24</f>
        <v>0</v>
      </c>
      <c r="T47" s="52" t="n">
        <f aca="false">T24/$X24</f>
        <v>0</v>
      </c>
      <c r="U47" s="52" t="n">
        <f aca="false">U24/$X24</f>
        <v>0</v>
      </c>
      <c r="V47" s="52" t="n">
        <f aca="false">V24/$X24</f>
        <v>0</v>
      </c>
    </row>
    <row r="48" customFormat="false" ht="15" hidden="false" customHeight="true" outlineLevel="0" collapsed="false">
      <c r="A48" s="1" t="n">
        <v>16</v>
      </c>
      <c r="C48" s="52" t="n">
        <f aca="false">C25/$X25</f>
        <v>0.4</v>
      </c>
      <c r="D48" s="52" t="n">
        <f aca="false">D25/$X25</f>
        <v>0.4</v>
      </c>
      <c r="E48" s="52" t="n">
        <f aca="false">E25/$X25</f>
        <v>0.05</v>
      </c>
      <c r="F48" s="52" t="n">
        <f aca="false">F25/$X25</f>
        <v>0.05</v>
      </c>
      <c r="G48" s="52" t="n">
        <f aca="false">G25/$X25</f>
        <v>0.05</v>
      </c>
      <c r="H48" s="52" t="n">
        <f aca="false">H25/$X25</f>
        <v>0.00454545454545455</v>
      </c>
      <c r="I48" s="52" t="n">
        <f aca="false">I25/$X25</f>
        <v>0.00454545454545455</v>
      </c>
      <c r="J48" s="52" t="n">
        <f aca="false">J25/$X25</f>
        <v>0.00454545454545455</v>
      </c>
      <c r="K48" s="52" t="n">
        <f aca="false">K25/$X25</f>
        <v>0.00454545454545455</v>
      </c>
      <c r="L48" s="52" t="n">
        <f aca="false">L25/$X25</f>
        <v>0.00454545454545455</v>
      </c>
      <c r="M48" s="52" t="n">
        <f aca="false">M25/$X25</f>
        <v>0.00454545454545455</v>
      </c>
      <c r="N48" s="52" t="n">
        <f aca="false">N25/$X25</f>
        <v>0.00454545454545455</v>
      </c>
      <c r="O48" s="52" t="n">
        <f aca="false">O25/$X25</f>
        <v>0.00454545454545455</v>
      </c>
      <c r="P48" s="52" t="n">
        <f aca="false">P25/$X25</f>
        <v>0.00454545454545455</v>
      </c>
      <c r="Q48" s="52" t="n">
        <f aca="false">Q25/$X25</f>
        <v>0.00454545454545455</v>
      </c>
      <c r="R48" s="52" t="n">
        <f aca="false">R25/$X25</f>
        <v>0.00454545454545455</v>
      </c>
      <c r="S48" s="52" t="n">
        <f aca="false">S25/$X25</f>
        <v>0</v>
      </c>
      <c r="T48" s="52" t="n">
        <f aca="false">T25/$X25</f>
        <v>0</v>
      </c>
      <c r="U48" s="52" t="n">
        <f aca="false">U25/$X25</f>
        <v>0</v>
      </c>
      <c r="V48" s="52" t="n">
        <f aca="false">V25/$X25</f>
        <v>0</v>
      </c>
    </row>
    <row r="49" customFormat="false" ht="15" hidden="false" customHeight="true" outlineLevel="0" collapsed="false">
      <c r="A49" s="1" t="n">
        <v>17</v>
      </c>
      <c r="C49" s="52" t="n">
        <f aca="false">C26/$X26</f>
        <v>0.4</v>
      </c>
      <c r="D49" s="52" t="n">
        <f aca="false">D26/$X26</f>
        <v>0.4</v>
      </c>
      <c r="E49" s="52" t="n">
        <f aca="false">E26/$X26</f>
        <v>0.05</v>
      </c>
      <c r="F49" s="52" t="n">
        <f aca="false">F26/$X26</f>
        <v>0.05</v>
      </c>
      <c r="G49" s="52" t="n">
        <f aca="false">G26/$X26</f>
        <v>0.05</v>
      </c>
      <c r="H49" s="52" t="n">
        <f aca="false">H26/$X26</f>
        <v>0.00416666666666667</v>
      </c>
      <c r="I49" s="52" t="n">
        <f aca="false">I26/$X26</f>
        <v>0.00416666666666667</v>
      </c>
      <c r="J49" s="52" t="n">
        <f aca="false">J26/$X26</f>
        <v>0.00416666666666667</v>
      </c>
      <c r="K49" s="52" t="n">
        <f aca="false">K26/$X26</f>
        <v>0.00416666666666667</v>
      </c>
      <c r="L49" s="52" t="n">
        <f aca="false">L26/$X26</f>
        <v>0.00416666666666667</v>
      </c>
      <c r="M49" s="52" t="n">
        <f aca="false">M26/$X26</f>
        <v>0.00416666666666667</v>
      </c>
      <c r="N49" s="52" t="n">
        <f aca="false">N26/$X26</f>
        <v>0.00416666666666667</v>
      </c>
      <c r="O49" s="52" t="n">
        <f aca="false">O26/$X26</f>
        <v>0.00416666666666667</v>
      </c>
      <c r="P49" s="52" t="n">
        <f aca="false">P26/$X26</f>
        <v>0.00416666666666667</v>
      </c>
      <c r="Q49" s="52" t="n">
        <f aca="false">Q26/$X26</f>
        <v>0.00416666666666667</v>
      </c>
      <c r="R49" s="52" t="n">
        <f aca="false">R26/$X26</f>
        <v>0.00416666666666667</v>
      </c>
      <c r="S49" s="52" t="n">
        <f aca="false">S26/$X26</f>
        <v>0.00416666666666667</v>
      </c>
      <c r="T49" s="52" t="n">
        <f aca="false">T26/$X26</f>
        <v>0</v>
      </c>
      <c r="U49" s="52" t="n">
        <f aca="false">U26/$X26</f>
        <v>0</v>
      </c>
      <c r="V49" s="52" t="n">
        <f aca="false">V26/$X26</f>
        <v>0</v>
      </c>
    </row>
    <row r="50" customFormat="false" ht="15" hidden="false" customHeight="true" outlineLevel="0" collapsed="false">
      <c r="A50" s="1" t="n">
        <v>18</v>
      </c>
      <c r="C50" s="52" t="n">
        <f aca="false">C27/$X27</f>
        <v>0.4</v>
      </c>
      <c r="D50" s="52" t="n">
        <f aca="false">D27/$X27</f>
        <v>0.4</v>
      </c>
      <c r="E50" s="52" t="n">
        <f aca="false">E27/$X27</f>
        <v>0.05</v>
      </c>
      <c r="F50" s="52" t="n">
        <f aca="false">F27/$X27</f>
        <v>0.05</v>
      </c>
      <c r="G50" s="52" t="n">
        <f aca="false">G27/$X27</f>
        <v>0.05</v>
      </c>
      <c r="H50" s="52" t="n">
        <f aca="false">H27/$X27</f>
        <v>0.00384615384615385</v>
      </c>
      <c r="I50" s="52" t="n">
        <f aca="false">I27/$X27</f>
        <v>0.00384615384615385</v>
      </c>
      <c r="J50" s="52" t="n">
        <f aca="false">J27/$X27</f>
        <v>0.00384615384615385</v>
      </c>
      <c r="K50" s="52" t="n">
        <f aca="false">K27/$X27</f>
        <v>0.00384615384615385</v>
      </c>
      <c r="L50" s="52" t="n">
        <f aca="false">L27/$X27</f>
        <v>0.00384615384615385</v>
      </c>
      <c r="M50" s="52" t="n">
        <f aca="false">M27/$X27</f>
        <v>0.00384615384615385</v>
      </c>
      <c r="N50" s="52" t="n">
        <f aca="false">N27/$X27</f>
        <v>0.00384615384615385</v>
      </c>
      <c r="O50" s="52" t="n">
        <f aca="false">O27/$X27</f>
        <v>0.00384615384615385</v>
      </c>
      <c r="P50" s="52" t="n">
        <f aca="false">P27/$X27</f>
        <v>0.00384615384615385</v>
      </c>
      <c r="Q50" s="52" t="n">
        <f aca="false">Q27/$X27</f>
        <v>0.00384615384615385</v>
      </c>
      <c r="R50" s="52" t="n">
        <f aca="false">R27/$X27</f>
        <v>0.00384615384615385</v>
      </c>
      <c r="S50" s="52" t="n">
        <f aca="false">S27/$X27</f>
        <v>0.00384615384615385</v>
      </c>
      <c r="T50" s="52" t="n">
        <f aca="false">T27/$X27</f>
        <v>0.00384615384615385</v>
      </c>
      <c r="U50" s="52" t="n">
        <f aca="false">U27/$X27</f>
        <v>0</v>
      </c>
      <c r="V50" s="52" t="n">
        <f aca="false">V27/$X27</f>
        <v>0</v>
      </c>
    </row>
    <row r="51" customFormat="false" ht="15" hidden="false" customHeight="true" outlineLevel="0" collapsed="false">
      <c r="A51" s="1" t="n">
        <v>19</v>
      </c>
      <c r="C51" s="52" t="n">
        <f aca="false">C28/$X28</f>
        <v>0.4</v>
      </c>
      <c r="D51" s="52" t="n">
        <f aca="false">D28/$X28</f>
        <v>0.4</v>
      </c>
      <c r="E51" s="52" t="n">
        <f aca="false">E28/$X28</f>
        <v>0.05</v>
      </c>
      <c r="F51" s="52" t="n">
        <f aca="false">F28/$X28</f>
        <v>0.05</v>
      </c>
      <c r="G51" s="52" t="n">
        <f aca="false">G28/$X28</f>
        <v>0.05</v>
      </c>
      <c r="H51" s="52" t="n">
        <f aca="false">H28/$X28</f>
        <v>0.00357142857142857</v>
      </c>
      <c r="I51" s="52" t="n">
        <f aca="false">I28/$X28</f>
        <v>0.00357142857142857</v>
      </c>
      <c r="J51" s="52" t="n">
        <f aca="false">J28/$X28</f>
        <v>0.00357142857142857</v>
      </c>
      <c r="K51" s="52" t="n">
        <f aca="false">K28/$X28</f>
        <v>0.00357142857142857</v>
      </c>
      <c r="L51" s="52" t="n">
        <f aca="false">L28/$X28</f>
        <v>0.00357142857142857</v>
      </c>
      <c r="M51" s="52" t="n">
        <f aca="false">M28/$X28</f>
        <v>0.00357142857142857</v>
      </c>
      <c r="N51" s="52" t="n">
        <f aca="false">N28/$X28</f>
        <v>0.00357142857142857</v>
      </c>
      <c r="O51" s="52" t="n">
        <f aca="false">O28/$X28</f>
        <v>0.00357142857142857</v>
      </c>
      <c r="P51" s="52" t="n">
        <f aca="false">P28/$X28</f>
        <v>0.00357142857142857</v>
      </c>
      <c r="Q51" s="52" t="n">
        <f aca="false">Q28/$X28</f>
        <v>0.00357142857142857</v>
      </c>
      <c r="R51" s="52" t="n">
        <f aca="false">R28/$X28</f>
        <v>0.00357142857142857</v>
      </c>
      <c r="S51" s="52" t="n">
        <f aca="false">S28/$X28</f>
        <v>0.00357142857142857</v>
      </c>
      <c r="T51" s="52" t="n">
        <f aca="false">T28/$X28</f>
        <v>0.00357142857142857</v>
      </c>
      <c r="U51" s="52" t="n">
        <f aca="false">U28/$X28</f>
        <v>0.00357142857142857</v>
      </c>
      <c r="V51" s="52" t="n">
        <f aca="false">V28/$X28</f>
        <v>0</v>
      </c>
    </row>
    <row r="52" customFormat="false" ht="15" hidden="false" customHeight="true" outlineLevel="0" collapsed="false">
      <c r="A52" s="1" t="n">
        <v>20</v>
      </c>
      <c r="C52" s="52" t="n">
        <f aca="false">C29/$X29</f>
        <v>0.4</v>
      </c>
      <c r="D52" s="52" t="n">
        <f aca="false">D29/$X29</f>
        <v>0.4</v>
      </c>
      <c r="E52" s="52" t="n">
        <f aca="false">E29/$X29</f>
        <v>0.05</v>
      </c>
      <c r="F52" s="52" t="n">
        <f aca="false">F29/$X29</f>
        <v>0.05</v>
      </c>
      <c r="G52" s="52" t="n">
        <f aca="false">G29/$X29</f>
        <v>0.05</v>
      </c>
      <c r="H52" s="52" t="n">
        <f aca="false">H29/$X29</f>
        <v>0.00333333333333333</v>
      </c>
      <c r="I52" s="52" t="n">
        <f aca="false">I29/$X29</f>
        <v>0.00333333333333333</v>
      </c>
      <c r="J52" s="52" t="n">
        <f aca="false">J29/$X29</f>
        <v>0.00333333333333333</v>
      </c>
      <c r="K52" s="52" t="n">
        <f aca="false">K29/$X29</f>
        <v>0.00333333333333333</v>
      </c>
      <c r="L52" s="52" t="n">
        <f aca="false">L29/$X29</f>
        <v>0.00333333333333333</v>
      </c>
      <c r="M52" s="52" t="n">
        <f aca="false">M29/$X29</f>
        <v>0.00333333333333333</v>
      </c>
      <c r="N52" s="52" t="n">
        <f aca="false">N29/$X29</f>
        <v>0.00333333333333333</v>
      </c>
      <c r="O52" s="52" t="n">
        <f aca="false">O29/$X29</f>
        <v>0.00333333333333333</v>
      </c>
      <c r="P52" s="52" t="n">
        <f aca="false">P29/$X29</f>
        <v>0.00333333333333333</v>
      </c>
      <c r="Q52" s="52" t="n">
        <f aca="false">Q29/$X29</f>
        <v>0.00333333333333333</v>
      </c>
      <c r="R52" s="52" t="n">
        <f aca="false">R29/$X29</f>
        <v>0.00333333333333333</v>
      </c>
      <c r="S52" s="52" t="n">
        <f aca="false">S29/$X29</f>
        <v>0.00333333333333333</v>
      </c>
      <c r="T52" s="52" t="n">
        <f aca="false">T29/$X29</f>
        <v>0.00333333333333333</v>
      </c>
      <c r="U52" s="52" t="n">
        <f aca="false">U29/$X29</f>
        <v>0.00333333333333333</v>
      </c>
      <c r="V52" s="52" t="n">
        <f aca="false">V29/$X29</f>
        <v>0.00333333333333333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4" min="1" style="1" width="14"/>
  </cols>
  <sheetData>
    <row r="1" customFormat="false" ht="18" hidden="false" customHeight="true" outlineLevel="0" collapsed="false">
      <c r="A1" s="2" t="s">
        <v>216</v>
      </c>
    </row>
    <row r="3" customFormat="false" ht="15" hidden="false" customHeight="true" outlineLevel="0" collapsed="false">
      <c r="A3" s="3" t="s">
        <v>217</v>
      </c>
      <c r="B3" s="3" t="n">
        <f aca="false">INDEX(Optimizer!$C$8:$C$227,best_i)</f>
        <v>8</v>
      </c>
    </row>
    <row r="4" customFormat="false" ht="15" hidden="false" customHeight="true" outlineLevel="0" collapsed="false">
      <c r="A4" s="3" t="s">
        <v>218</v>
      </c>
      <c r="B4" s="47" t="n">
        <f aca="false">INDEX(Optimizer!$O$8:$O$227,best_i)</f>
        <v>87.7810072723084</v>
      </c>
    </row>
    <row r="6" customFormat="false" ht="15" hidden="false" customHeight="true" outlineLevel="0" collapsed="false">
      <c r="A6" s="25" t="s">
        <v>219</v>
      </c>
    </row>
    <row r="7" customFormat="false" ht="30" hidden="false" customHeight="true" outlineLevel="0" collapsed="false">
      <c r="A7" s="4" t="s">
        <v>58</v>
      </c>
      <c r="B7" s="4" t="s">
        <v>220</v>
      </c>
      <c r="C7" s="4" t="s">
        <v>27</v>
      </c>
      <c r="D7" s="4" t="s">
        <v>37</v>
      </c>
      <c r="E7" s="4" t="s">
        <v>49</v>
      </c>
      <c r="F7" s="4" t="s">
        <v>200</v>
      </c>
    </row>
    <row r="8" customFormat="false" ht="15" hidden="false" customHeight="true" outlineLevel="0" collapsed="false">
      <c r="A8" s="3" t="n">
        <f aca="false">Optimizer!B3</f>
        <v>2</v>
      </c>
      <c r="B8" s="3" t="n">
        <f aca="false">0+best_NT</f>
        <v>8</v>
      </c>
      <c r="C8" s="34" t="n">
        <f aca="false">INDEX(Optimizer!$AA$8:$AA$227,B8)</f>
        <v>0.0172185430463576</v>
      </c>
      <c r="D8" s="47" t="n">
        <f aca="false">INDEX(Optimizer!$O$8:$O$227,B8)</f>
        <v>100.559691426333</v>
      </c>
      <c r="E8" s="45" t="e">
        <f aca="false">IF(INDEX(Optimizer!$AE$8:$AE$227,B8)=1,INDEX(Optimizer!$Z$8:$Z$227,B8),NA())</f>
        <v>#N/A</v>
      </c>
      <c r="F8" s="3" t="n">
        <f aca="false">INDEX(Optimizer!$AE$8:$AE$227,B8)</f>
        <v>0</v>
      </c>
    </row>
    <row r="9" customFormat="false" ht="15" hidden="false" customHeight="true" outlineLevel="0" collapsed="false">
      <c r="A9" s="3" t="n">
        <f aca="false">Optimizer!C3</f>
        <v>3</v>
      </c>
      <c r="B9" s="3" t="n">
        <f aca="false">20+best_NT</f>
        <v>28</v>
      </c>
      <c r="C9" s="34" t="n">
        <f aca="false">INDEX(Optimizer!$AA$8:$AA$227,B9)</f>
        <v>0.0382352941176471</v>
      </c>
      <c r="D9" s="47" t="n">
        <f aca="false">INDEX(Optimizer!$O$8:$O$227,B9)</f>
        <v>93.2081800738178</v>
      </c>
      <c r="E9" s="45" t="e">
        <f aca="false">IF(INDEX(Optimizer!$AE$8:$AE$227,B9)=1,INDEX(Optimizer!$Z$8:$Z$227,B9),NA())</f>
        <v>#N/A</v>
      </c>
      <c r="F9" s="3" t="n">
        <f aca="false">INDEX(Optimizer!$AE$8:$AE$227,B9)</f>
        <v>0</v>
      </c>
    </row>
    <row r="10" customFormat="false" ht="15" hidden="false" customHeight="true" outlineLevel="0" collapsed="false">
      <c r="A10" s="3" t="n">
        <f aca="false">Optimizer!D3</f>
        <v>4</v>
      </c>
      <c r="B10" s="3" t="n">
        <f aca="false">40+best_NT</f>
        <v>48</v>
      </c>
      <c r="C10" s="34" t="n">
        <f aca="false">INDEX(Optimizer!$AA$8:$AA$227,B10)</f>
        <v>0.0675324675324675</v>
      </c>
      <c r="D10" s="47" t="n">
        <f aca="false">INDEX(Optimizer!$O$8:$O$227,B10)</f>
        <v>89.9601819545678</v>
      </c>
      <c r="E10" s="45" t="e">
        <f aca="false">IF(INDEX(Optimizer!$AE$8:$AE$227,B10)=1,INDEX(Optimizer!$Z$8:$Z$227,B10),NA())</f>
        <v>#N/A</v>
      </c>
      <c r="F10" s="3" t="n">
        <f aca="false">INDEX(Optimizer!$AE$8:$AE$227,B10)</f>
        <v>0</v>
      </c>
    </row>
    <row r="11" customFormat="false" ht="15" hidden="false" customHeight="true" outlineLevel="0" collapsed="false">
      <c r="A11" s="3" t="n">
        <f aca="false">Optimizer!E3</f>
        <v>5</v>
      </c>
      <c r="B11" s="3" t="n">
        <f aca="false">60+best_NT</f>
        <v>68</v>
      </c>
      <c r="C11" s="34" t="n">
        <f aca="false">INDEX(Optimizer!$AA$8:$AA$227,B11)</f>
        <v>0.104838709677419</v>
      </c>
      <c r="D11" s="47" t="n">
        <f aca="false">INDEX(Optimizer!$O$8:$O$227,B11)</f>
        <v>88.3937374107059</v>
      </c>
      <c r="E11" s="45" t="e">
        <f aca="false">IF(INDEX(Optimizer!$AE$8:$AE$227,B11)=1,INDEX(Optimizer!$Z$8:$Z$227,B11),NA())</f>
        <v>#N/A</v>
      </c>
      <c r="F11" s="3" t="n">
        <f aca="false">INDEX(Optimizer!$AE$8:$AE$227,B11)</f>
        <v>0</v>
      </c>
    </row>
    <row r="12" customFormat="false" ht="15" hidden="false" customHeight="true" outlineLevel="0" collapsed="false">
      <c r="A12" s="3" t="n">
        <f aca="false">Optimizer!F3</f>
        <v>6</v>
      </c>
      <c r="B12" s="3" t="n">
        <f aca="false">80+best_NT</f>
        <v>88</v>
      </c>
      <c r="C12" s="34" t="n">
        <f aca="false">INDEX(Optimizer!$AA$8:$AA$227,B12)</f>
        <v>0.147169811320755</v>
      </c>
      <c r="D12" s="47" t="n">
        <f aca="false">INDEX(Optimizer!$O$8:$O$227,B12)</f>
        <v>87.8925391812571</v>
      </c>
      <c r="E12" s="45" t="e">
        <f aca="false">IF(INDEX(Optimizer!$AE$8:$AE$227,B12)=1,INDEX(Optimizer!$Z$8:$Z$227,B12),NA())</f>
        <v>#N/A</v>
      </c>
      <c r="F12" s="3" t="n">
        <f aca="false">INDEX(Optimizer!$AE$8:$AE$227,B12)</f>
        <v>0</v>
      </c>
    </row>
    <row r="13" customFormat="false" ht="15" hidden="false" customHeight="true" outlineLevel="0" collapsed="false">
      <c r="A13" s="3" t="n">
        <f aca="false">Optimizer!G3</f>
        <v>8</v>
      </c>
      <c r="B13" s="3" t="n">
        <f aca="false">100+best_NT</f>
        <v>108</v>
      </c>
      <c r="C13" s="34" t="n">
        <f aca="false">INDEX(Optimizer!$AA$8:$AA$227,B13)</f>
        <v>0.26</v>
      </c>
      <c r="D13" s="47" t="n">
        <f aca="false">INDEX(Optimizer!$O$8:$O$227,B13)</f>
        <v>87.7810072723084</v>
      </c>
      <c r="E13" s="45" t="n">
        <f aca="false">IF(INDEX(Optimizer!$AE$8:$AE$227,B13)=1,INDEX(Optimizer!$Z$8:$Z$227,B13),NA())</f>
        <v>2223124</v>
      </c>
      <c r="F13" s="3" t="n">
        <f aca="false">INDEX(Optimizer!$AE$8:$AE$227,B13)</f>
        <v>1</v>
      </c>
    </row>
    <row r="14" customFormat="false" ht="15" hidden="false" customHeight="true" outlineLevel="0" collapsed="false">
      <c r="A14" s="3" t="n">
        <f aca="false">Optimizer!H3</f>
        <v>10</v>
      </c>
      <c r="B14" s="3" t="n">
        <f aca="false">120+best_NT</f>
        <v>128</v>
      </c>
      <c r="C14" s="34" t="n">
        <f aca="false">INDEX(Optimizer!$AA$8:$AA$227,B14)</f>
        <v>0.393939393939394</v>
      </c>
      <c r="D14" s="47" t="n">
        <f aca="false">INDEX(Optimizer!$O$8:$O$227,B14)</f>
        <v>88.7434287283392</v>
      </c>
      <c r="E14" s="45" t="n">
        <f aca="false">IF(INDEX(Optimizer!$AE$8:$AE$227,B14)=1,INDEX(Optimizer!$Z$8:$Z$227,B14),NA())</f>
        <v>2245764.9</v>
      </c>
      <c r="F14" s="3" t="n">
        <f aca="false">INDEX(Optimizer!$AE$8:$AE$227,B14)</f>
        <v>1</v>
      </c>
    </row>
    <row r="15" customFormat="false" ht="15" hidden="false" customHeight="true" outlineLevel="0" collapsed="false">
      <c r="A15" s="3" t="n">
        <f aca="false">Optimizer!I3</f>
        <v>12</v>
      </c>
      <c r="B15" s="3" t="n">
        <f aca="false">140+best_NT</f>
        <v>148</v>
      </c>
      <c r="C15" s="34" t="n">
        <f aca="false">INDEX(Optimizer!$AA$8:$AA$227,B15)</f>
        <v>0.557142857142857</v>
      </c>
      <c r="D15" s="47" t="n">
        <f aca="false">INDEX(Optimizer!$O$8:$O$227,B15)</f>
        <v>90.0626634502366</v>
      </c>
      <c r="E15" s="45" t="n">
        <f aca="false">IF(INDEX(Optimizer!$AE$8:$AE$227,B15)=1,INDEX(Optimizer!$Z$8:$Z$227,B15),NA())</f>
        <v>2254510</v>
      </c>
      <c r="F15" s="3" t="n">
        <f aca="false">INDEX(Optimizer!$AE$8:$AE$227,B15)</f>
        <v>1</v>
      </c>
    </row>
    <row r="16" customFormat="false" ht="15" hidden="false" customHeight="true" outlineLevel="0" collapsed="false">
      <c r="A16" s="3" t="n">
        <f aca="false">Optimizer!J3</f>
        <v>16</v>
      </c>
      <c r="B16" s="3" t="n">
        <f aca="false">160+best_NT</f>
        <v>168</v>
      </c>
      <c r="C16" s="34" t="n">
        <f aca="false">INDEX(Optimizer!$AA$8:$AA$227,B16)</f>
        <v>0.945454545454545</v>
      </c>
      <c r="D16" s="47" t="n">
        <f aca="false">INDEX(Optimizer!$O$8:$O$227,B16)</f>
        <v>93.4187145210803</v>
      </c>
      <c r="E16" s="45" t="n">
        <f aca="false">IF(INDEX(Optimizer!$AE$8:$AE$227,B16)=1,INDEX(Optimizer!$Z$8:$Z$227,B16),NA())</f>
        <v>2293391.8</v>
      </c>
      <c r="F16" s="3" t="n">
        <f aca="false">INDEX(Optimizer!$AE$8:$AE$227,B16)</f>
        <v>1</v>
      </c>
    </row>
    <row r="17" customFormat="false" ht="15" hidden="false" customHeight="true" outlineLevel="0" collapsed="false">
      <c r="A17" s="3" t="n">
        <f aca="false">Optimizer!K3</f>
        <v>20</v>
      </c>
      <c r="B17" s="3" t="n">
        <f aca="false">180+best_NT</f>
        <v>188</v>
      </c>
      <c r="C17" s="34" t="n">
        <f aca="false">INDEX(Optimizer!$AA$8:$AA$227,B17)</f>
        <v>1.44444444444444</v>
      </c>
      <c r="D17" s="47" t="n">
        <f aca="false">INDEX(Optimizer!$O$8:$O$227,B17)</f>
        <v>97.1308098114791</v>
      </c>
      <c r="E17" s="45" t="e">
        <f aca="false">IF(INDEX(Optimizer!$AE$8:$AE$227,B17)=1,INDEX(Optimizer!$Z$8:$Z$227,B17),NA())</f>
        <v>#N/A</v>
      </c>
      <c r="F17" s="3" t="n">
        <f aca="false">INDEX(Optimizer!$AE$8:$AE$227,B17)</f>
        <v>0</v>
      </c>
    </row>
    <row r="18" customFormat="false" ht="15" hidden="false" customHeight="true" outlineLevel="0" collapsed="false">
      <c r="A18" s="3" t="n">
        <f aca="false">Optimizer!L3</f>
        <v>24</v>
      </c>
      <c r="B18" s="3" t="n">
        <f aca="false">200+best_NT</f>
        <v>208</v>
      </c>
      <c r="C18" s="34" t="n">
        <f aca="false">INDEX(Optimizer!$AA$8:$AA$227,B18)</f>
        <v>1.95</v>
      </c>
      <c r="D18" s="47" t="n">
        <f aca="false">INDEX(Optimizer!$O$8:$O$227,B18)</f>
        <v>101.209661037914</v>
      </c>
      <c r="E18" s="45" t="e">
        <f aca="false">IF(INDEX(Optimizer!$AE$8:$AE$227,B18)=1,INDEX(Optimizer!$Z$8:$Z$227,B18),NA())</f>
        <v>#N/A</v>
      </c>
      <c r="F18" s="3" t="n">
        <f aca="false">INDEX(Optimizer!$AE$8:$AE$227,B18)</f>
        <v>0</v>
      </c>
    </row>
    <row r="20" customFormat="false" ht="15" hidden="false" customHeight="true" outlineLevel="0" collapsed="false">
      <c r="A20" s="3" t="s">
        <v>221</v>
      </c>
      <c r="C20" s="34" t="n">
        <f aca="false">INDEX(Optimizer!$AA$8:$AA$227,best_i)</f>
        <v>0.26</v>
      </c>
      <c r="D20" s="47" t="n">
        <f aca="false">INDEX(Optimizer!$O$8:$O$227,best_i)</f>
        <v>87.7810072723084</v>
      </c>
      <c r="E20" s="45" t="n">
        <f aca="false">INDEX(Optimizer!$Z$8:$Z$227,best_i)</f>
        <v>2223124</v>
      </c>
    </row>
    <row r="23" customFormat="false" ht="15" hidden="false" customHeight="true" outlineLevel="0" collapsed="false">
      <c r="A23" s="25" t="s">
        <v>222</v>
      </c>
    </row>
    <row r="24" customFormat="false" ht="30" hidden="false" customHeight="true" outlineLevel="0" collapsed="false">
      <c r="A24" s="4" t="s">
        <v>185</v>
      </c>
      <c r="B24" s="4" t="s">
        <v>223</v>
      </c>
      <c r="C24" s="4" t="s">
        <v>224</v>
      </c>
      <c r="D24" s="4" t="s">
        <v>225</v>
      </c>
      <c r="E24" s="4" t="s">
        <v>226</v>
      </c>
    </row>
    <row r="25" customFormat="false" ht="15" hidden="false" customHeight="true" outlineLevel="0" collapsed="false">
      <c r="A25" s="3" t="n">
        <v>1</v>
      </c>
      <c r="B25" s="53" t="n">
        <f aca="false">INDEX(Optimizer!$F$8:$F$227,best_i)/A25</f>
        <v>0.751646825396826</v>
      </c>
      <c r="C25" s="53" t="e">
        <f aca="false">IF(A25&gt;1,INDEX(Optimizer!$F$8:$F$227,best_i)/(A25-1),NA())</f>
        <v>#N/A</v>
      </c>
      <c r="D25" s="53" t="n">
        <f aca="false">rho_max</f>
        <v>0.75</v>
      </c>
      <c r="E25" s="53" t="n">
        <f aca="false">rho_fail</f>
        <v>0.95</v>
      </c>
    </row>
    <row r="26" customFormat="false" ht="15" hidden="false" customHeight="true" outlineLevel="0" collapsed="false">
      <c r="A26" s="3" t="n">
        <v>2</v>
      </c>
      <c r="B26" s="53" t="n">
        <f aca="false">INDEX(Optimizer!$F$8:$F$227,best_i)/A26</f>
        <v>0.375823412698413</v>
      </c>
      <c r="C26" s="53" t="n">
        <f aca="false">IF(A26&gt;1,INDEX(Optimizer!$F$8:$F$227,best_i)/(A26-1),NA())</f>
        <v>0.751646825396826</v>
      </c>
      <c r="D26" s="53" t="n">
        <f aca="false">rho_max</f>
        <v>0.75</v>
      </c>
      <c r="E26" s="53" t="n">
        <f aca="false">rho_fail</f>
        <v>0.95</v>
      </c>
    </row>
    <row r="27" customFormat="false" ht="15" hidden="false" customHeight="true" outlineLevel="0" collapsed="false">
      <c r="A27" s="3" t="n">
        <v>3</v>
      </c>
      <c r="B27" s="53" t="n">
        <f aca="false">INDEX(Optimizer!$F$8:$F$227,best_i)/A27</f>
        <v>0.250548941798942</v>
      </c>
      <c r="C27" s="53" t="n">
        <f aca="false">IF(A27&gt;1,INDEX(Optimizer!$F$8:$F$227,best_i)/(A27-1),NA())</f>
        <v>0.375823412698413</v>
      </c>
      <c r="D27" s="53" t="n">
        <f aca="false">rho_max</f>
        <v>0.75</v>
      </c>
      <c r="E27" s="53" t="n">
        <f aca="false">rho_fail</f>
        <v>0.95</v>
      </c>
    </row>
    <row r="28" customFormat="false" ht="15" hidden="false" customHeight="true" outlineLevel="0" collapsed="false">
      <c r="A28" s="3" t="n">
        <v>4</v>
      </c>
      <c r="B28" s="53" t="n">
        <f aca="false">INDEX(Optimizer!$F$8:$F$227,best_i)/A28</f>
        <v>0.187911706349206</v>
      </c>
      <c r="C28" s="53" t="n">
        <f aca="false">IF(A28&gt;1,INDEX(Optimizer!$F$8:$F$227,best_i)/(A28-1),NA())</f>
        <v>0.250548941798942</v>
      </c>
      <c r="D28" s="53" t="n">
        <f aca="false">rho_max</f>
        <v>0.75</v>
      </c>
      <c r="E28" s="53" t="n">
        <f aca="false">rho_fail</f>
        <v>0.95</v>
      </c>
    </row>
    <row r="29" customFormat="false" ht="15" hidden="false" customHeight="true" outlineLevel="0" collapsed="false">
      <c r="A29" s="3" t="n">
        <v>5</v>
      </c>
      <c r="B29" s="53" t="n">
        <f aca="false">INDEX(Optimizer!$F$8:$F$227,best_i)/A29</f>
        <v>0.150329365079365</v>
      </c>
      <c r="C29" s="53" t="n">
        <f aca="false">IF(A29&gt;1,INDEX(Optimizer!$F$8:$F$227,best_i)/(A29-1),NA())</f>
        <v>0.187911706349206</v>
      </c>
      <c r="D29" s="53" t="n">
        <f aca="false">rho_max</f>
        <v>0.75</v>
      </c>
      <c r="E29" s="53" t="n">
        <f aca="false">rho_fail</f>
        <v>0.95</v>
      </c>
    </row>
    <row r="30" customFormat="false" ht="15" hidden="false" customHeight="true" outlineLevel="0" collapsed="false">
      <c r="A30" s="3" t="n">
        <v>6</v>
      </c>
      <c r="B30" s="53" t="n">
        <f aca="false">INDEX(Optimizer!$F$8:$F$227,best_i)/A30</f>
        <v>0.125274470899471</v>
      </c>
      <c r="C30" s="53" t="n">
        <f aca="false">IF(A30&gt;1,INDEX(Optimizer!$F$8:$F$227,best_i)/(A30-1),NA())</f>
        <v>0.150329365079365</v>
      </c>
      <c r="D30" s="53" t="n">
        <f aca="false">rho_max</f>
        <v>0.75</v>
      </c>
      <c r="E30" s="53" t="n">
        <f aca="false">rho_fail</f>
        <v>0.95</v>
      </c>
    </row>
    <row r="33" customFormat="false" ht="15" hidden="false" customHeight="true" outlineLevel="0" collapsed="false">
      <c r="A33" s="25" t="s">
        <v>227</v>
      </c>
    </row>
    <row r="34" customFormat="false" ht="30" hidden="false" customHeight="true" outlineLevel="0" collapsed="false">
      <c r="A34" s="4" t="s">
        <v>228</v>
      </c>
      <c r="B34" s="4" t="s">
        <v>229</v>
      </c>
      <c r="C34" s="4" t="s">
        <v>230</v>
      </c>
      <c r="D34" s="4" t="s">
        <v>231</v>
      </c>
      <c r="E34" s="4" t="s">
        <v>232</v>
      </c>
      <c r="F34" s="4" t="s">
        <v>233</v>
      </c>
    </row>
    <row r="35" customFormat="false" ht="15" hidden="false" customHeight="true" outlineLevel="0" collapsed="false">
      <c r="A35" s="3" t="n">
        <v>1</v>
      </c>
      <c r="B35" s="46" t="n">
        <f aca="false">INDEX(Tc_P,best_NT,A35)</f>
        <v>0.4</v>
      </c>
      <c r="C35" s="47" t="n">
        <f aca="false">lam_total*B35</f>
        <v>40</v>
      </c>
      <c r="D35" s="3" t="n">
        <f aca="false">IF(A35&lt;=best_NT,MAX(min_sh,ROUNDUP(C35*best_T/(3600*rho_max)-0.000000001,0)),NA())</f>
        <v>2</v>
      </c>
      <c r="E35" s="53" t="n">
        <f aca="false">IF(A35&lt;=best_NT,C35*best_T/3600/D35,NA())</f>
        <v>0.487672262623936</v>
      </c>
      <c r="F35" s="53" t="n">
        <f aca="false">rho_max</f>
        <v>0.75</v>
      </c>
    </row>
    <row r="36" customFormat="false" ht="15" hidden="false" customHeight="true" outlineLevel="0" collapsed="false">
      <c r="A36" s="3" t="n">
        <v>2</v>
      </c>
      <c r="B36" s="46" t="n">
        <f aca="false">INDEX(Tc_P,best_NT,A36)</f>
        <v>0.4</v>
      </c>
      <c r="C36" s="47" t="n">
        <f aca="false">lam_total*B36</f>
        <v>40</v>
      </c>
      <c r="D36" s="3" t="n">
        <f aca="false">IF(A36&lt;=best_NT,MAX(min_sh,ROUNDUP(C36*best_T/(3600*rho_max)-0.000000001,0)),NA())</f>
        <v>2</v>
      </c>
      <c r="E36" s="53" t="n">
        <f aca="false">IF(A36&lt;=best_NT,C36*best_T/3600/D36,NA())</f>
        <v>0.487672262623936</v>
      </c>
      <c r="F36" s="53" t="n">
        <f aca="false">rho_max</f>
        <v>0.75</v>
      </c>
    </row>
    <row r="37" customFormat="false" ht="15" hidden="false" customHeight="true" outlineLevel="0" collapsed="false">
      <c r="A37" s="3" t="n">
        <v>3</v>
      </c>
      <c r="B37" s="46" t="n">
        <f aca="false">INDEX(Tc_P,best_NT,A37)</f>
        <v>0.05</v>
      </c>
      <c r="C37" s="47" t="n">
        <f aca="false">lam_total*B37</f>
        <v>5</v>
      </c>
      <c r="D37" s="3" t="n">
        <f aca="false">IF(A37&lt;=best_NT,MAX(min_sh,ROUNDUP(C37*best_T/(3600*rho_max)-0.000000001,0)),NA())</f>
        <v>1</v>
      </c>
      <c r="E37" s="53" t="n">
        <f aca="false">IF(A37&lt;=best_NT,C37*best_T/3600/D37,NA())</f>
        <v>0.121918065655984</v>
      </c>
      <c r="F37" s="53" t="n">
        <f aca="false">rho_max</f>
        <v>0.75</v>
      </c>
    </row>
    <row r="38" customFormat="false" ht="15" hidden="false" customHeight="true" outlineLevel="0" collapsed="false">
      <c r="A38" s="3" t="n">
        <v>4</v>
      </c>
      <c r="B38" s="46" t="n">
        <f aca="false">INDEX(Tc_P,best_NT,A38)</f>
        <v>0.05</v>
      </c>
      <c r="C38" s="47" t="n">
        <f aca="false">lam_total*B38</f>
        <v>5</v>
      </c>
      <c r="D38" s="3" t="n">
        <f aca="false">IF(A38&lt;=best_NT,MAX(min_sh,ROUNDUP(C38*best_T/(3600*rho_max)-0.000000001,0)),NA())</f>
        <v>1</v>
      </c>
      <c r="E38" s="53" t="n">
        <f aca="false">IF(A38&lt;=best_NT,C38*best_T/3600/D38,NA())</f>
        <v>0.121918065655984</v>
      </c>
      <c r="F38" s="53" t="n">
        <f aca="false">rho_max</f>
        <v>0.75</v>
      </c>
    </row>
    <row r="39" customFormat="false" ht="15" hidden="false" customHeight="true" outlineLevel="0" collapsed="false">
      <c r="A39" s="3" t="n">
        <v>5</v>
      </c>
      <c r="B39" s="46" t="n">
        <f aca="false">INDEX(Tc_P,best_NT,A39)</f>
        <v>0.05</v>
      </c>
      <c r="C39" s="47" t="n">
        <f aca="false">lam_total*B39</f>
        <v>5</v>
      </c>
      <c r="D39" s="3" t="n">
        <f aca="false">IF(A39&lt;=best_NT,MAX(min_sh,ROUNDUP(C39*best_T/(3600*rho_max)-0.000000001,0)),NA())</f>
        <v>1</v>
      </c>
      <c r="E39" s="53" t="n">
        <f aca="false">IF(A39&lt;=best_NT,C39*best_T/3600/D39,NA())</f>
        <v>0.121918065655984</v>
      </c>
      <c r="F39" s="53" t="n">
        <f aca="false">rho_max</f>
        <v>0.75</v>
      </c>
    </row>
    <row r="40" customFormat="false" ht="15" hidden="false" customHeight="true" outlineLevel="0" collapsed="false">
      <c r="A40" s="3" t="n">
        <v>6</v>
      </c>
      <c r="B40" s="46" t="n">
        <f aca="false">INDEX(Tc_P,best_NT,A40)</f>
        <v>0.0166666666666667</v>
      </c>
      <c r="C40" s="47" t="n">
        <f aca="false">lam_total*B40</f>
        <v>1.66666666666667</v>
      </c>
      <c r="D40" s="3" t="n">
        <f aca="false">IF(A40&lt;=best_NT,MAX(min_sh,ROUNDUP(C40*best_T/(3600*rho_max)-0.000000001,0)),NA())</f>
        <v>1</v>
      </c>
      <c r="E40" s="53" t="n">
        <f aca="false">IF(A40&lt;=best_NT,C40*best_T/3600/D40,NA())</f>
        <v>0.0406393552186613</v>
      </c>
      <c r="F40" s="53" t="n">
        <f aca="false">rho_max</f>
        <v>0.75</v>
      </c>
    </row>
    <row r="41" customFormat="false" ht="15" hidden="false" customHeight="true" outlineLevel="0" collapsed="false">
      <c r="A41" s="3" t="n">
        <v>7</v>
      </c>
      <c r="B41" s="46" t="n">
        <f aca="false">INDEX(Tc_P,best_NT,A41)</f>
        <v>0.0166666666666667</v>
      </c>
      <c r="C41" s="47" t="n">
        <f aca="false">lam_total*B41</f>
        <v>1.66666666666667</v>
      </c>
      <c r="D41" s="3" t="n">
        <f aca="false">IF(A41&lt;=best_NT,MAX(min_sh,ROUNDUP(C41*best_T/(3600*rho_max)-0.000000001,0)),NA())</f>
        <v>1</v>
      </c>
      <c r="E41" s="53" t="n">
        <f aca="false">IF(A41&lt;=best_NT,C41*best_T/3600/D41,NA())</f>
        <v>0.0406393552186613</v>
      </c>
      <c r="F41" s="53" t="n">
        <f aca="false">rho_max</f>
        <v>0.75</v>
      </c>
    </row>
    <row r="42" customFormat="false" ht="15" hidden="false" customHeight="true" outlineLevel="0" collapsed="false">
      <c r="A42" s="3" t="n">
        <v>8</v>
      </c>
      <c r="B42" s="46" t="n">
        <f aca="false">INDEX(Tc_P,best_NT,A42)</f>
        <v>0.0166666666666667</v>
      </c>
      <c r="C42" s="47" t="n">
        <f aca="false">lam_total*B42</f>
        <v>1.66666666666667</v>
      </c>
      <c r="D42" s="3" t="n">
        <f aca="false">IF(A42&lt;=best_NT,MAX(min_sh,ROUNDUP(C42*best_T/(3600*rho_max)-0.000000001,0)),NA())</f>
        <v>1</v>
      </c>
      <c r="E42" s="53" t="n">
        <f aca="false">IF(A42&lt;=best_NT,C42*best_T/3600/D42,NA())</f>
        <v>0.0406393552186613</v>
      </c>
      <c r="F42" s="53" t="n">
        <f aca="false">rho_max</f>
        <v>0.75</v>
      </c>
    </row>
    <row r="43" customFormat="false" ht="15" hidden="false" customHeight="true" outlineLevel="0" collapsed="false">
      <c r="A43" s="3" t="n">
        <v>9</v>
      </c>
      <c r="B43" s="46" t="n">
        <f aca="false">INDEX(Tc_P,best_NT,A43)</f>
        <v>0</v>
      </c>
      <c r="C43" s="47" t="n">
        <f aca="false">lam_total*B43</f>
        <v>0</v>
      </c>
      <c r="D43" s="3" t="e">
        <f aca="false">IF(A43&lt;=best_NT,MAX(min_sh,ROUNDUP(C43*best_T/(3600*rho_max)-0.000000001,0)),NA())</f>
        <v>#N/A</v>
      </c>
      <c r="E43" s="53" t="e">
        <f aca="false">IF(A43&lt;=best_NT,C43*best_T/3600/D43,NA())</f>
        <v>#N/A</v>
      </c>
      <c r="F43" s="53" t="n">
        <f aca="false">rho_max</f>
        <v>0.75</v>
      </c>
    </row>
    <row r="44" customFormat="false" ht="15" hidden="false" customHeight="true" outlineLevel="0" collapsed="false">
      <c r="A44" s="3" t="n">
        <v>10</v>
      </c>
      <c r="B44" s="46" t="n">
        <f aca="false">INDEX(Tc_P,best_NT,A44)</f>
        <v>0</v>
      </c>
      <c r="C44" s="47" t="n">
        <f aca="false">lam_total*B44</f>
        <v>0</v>
      </c>
      <c r="D44" s="3" t="e">
        <f aca="false">IF(A44&lt;=best_NT,MAX(min_sh,ROUNDUP(C44*best_T/(3600*rho_max)-0.000000001,0)),NA())</f>
        <v>#N/A</v>
      </c>
      <c r="E44" s="53" t="e">
        <f aca="false">IF(A44&lt;=best_NT,C44*best_T/3600/D44,NA())</f>
        <v>#N/A</v>
      </c>
      <c r="F44" s="53" t="n">
        <f aca="false">rho_max</f>
        <v>0.75</v>
      </c>
    </row>
    <row r="45" customFormat="false" ht="15" hidden="false" customHeight="true" outlineLevel="0" collapsed="false">
      <c r="A45" s="3" t="n">
        <v>11</v>
      </c>
      <c r="B45" s="46" t="n">
        <f aca="false">INDEX(Tc_P,best_NT,A45)</f>
        <v>0</v>
      </c>
      <c r="C45" s="47" t="n">
        <f aca="false">lam_total*B45</f>
        <v>0</v>
      </c>
      <c r="D45" s="3" t="e">
        <f aca="false">IF(A45&lt;=best_NT,MAX(min_sh,ROUNDUP(C45*best_T/(3600*rho_max)-0.000000001,0)),NA())</f>
        <v>#N/A</v>
      </c>
      <c r="E45" s="53" t="e">
        <f aca="false">IF(A45&lt;=best_NT,C45*best_T/3600/D45,NA())</f>
        <v>#N/A</v>
      </c>
      <c r="F45" s="53" t="n">
        <f aca="false">rho_max</f>
        <v>0.75</v>
      </c>
    </row>
    <row r="46" customFormat="false" ht="15" hidden="false" customHeight="true" outlineLevel="0" collapsed="false">
      <c r="A46" s="3" t="n">
        <v>12</v>
      </c>
      <c r="B46" s="46" t="n">
        <f aca="false">INDEX(Tc_P,best_NT,A46)</f>
        <v>0</v>
      </c>
      <c r="C46" s="47" t="n">
        <f aca="false">lam_total*B46</f>
        <v>0</v>
      </c>
      <c r="D46" s="3" t="e">
        <f aca="false">IF(A46&lt;=best_NT,MAX(min_sh,ROUNDUP(C46*best_T/(3600*rho_max)-0.000000001,0)),NA())</f>
        <v>#N/A</v>
      </c>
      <c r="E46" s="53" t="e">
        <f aca="false">IF(A46&lt;=best_NT,C46*best_T/3600/D46,NA())</f>
        <v>#N/A</v>
      </c>
      <c r="F46" s="53" t="n">
        <f aca="false">rho_max</f>
        <v>0.75</v>
      </c>
    </row>
    <row r="47" customFormat="false" ht="15" hidden="false" customHeight="true" outlineLevel="0" collapsed="false">
      <c r="A47" s="3" t="n">
        <v>13</v>
      </c>
      <c r="B47" s="46" t="n">
        <f aca="false">INDEX(Tc_P,best_NT,A47)</f>
        <v>0</v>
      </c>
      <c r="C47" s="47" t="n">
        <f aca="false">lam_total*B47</f>
        <v>0</v>
      </c>
      <c r="D47" s="3" t="e">
        <f aca="false">IF(A47&lt;=best_NT,MAX(min_sh,ROUNDUP(C47*best_T/(3600*rho_max)-0.000000001,0)),NA())</f>
        <v>#N/A</v>
      </c>
      <c r="E47" s="53" t="e">
        <f aca="false">IF(A47&lt;=best_NT,C47*best_T/3600/D47,NA())</f>
        <v>#N/A</v>
      </c>
      <c r="F47" s="53" t="n">
        <f aca="false">rho_max</f>
        <v>0.75</v>
      </c>
    </row>
    <row r="48" customFormat="false" ht="15" hidden="false" customHeight="true" outlineLevel="0" collapsed="false">
      <c r="A48" s="3" t="n">
        <v>14</v>
      </c>
      <c r="B48" s="46" t="n">
        <f aca="false">INDEX(Tc_P,best_NT,A48)</f>
        <v>0</v>
      </c>
      <c r="C48" s="47" t="n">
        <f aca="false">lam_total*B48</f>
        <v>0</v>
      </c>
      <c r="D48" s="3" t="e">
        <f aca="false">IF(A48&lt;=best_NT,MAX(min_sh,ROUNDUP(C48*best_T/(3600*rho_max)-0.000000001,0)),NA())</f>
        <v>#N/A</v>
      </c>
      <c r="E48" s="53" t="e">
        <f aca="false">IF(A48&lt;=best_NT,C48*best_T/3600/D48,NA())</f>
        <v>#N/A</v>
      </c>
      <c r="F48" s="53" t="n">
        <f aca="false">rho_max</f>
        <v>0.75</v>
      </c>
    </row>
    <row r="49" customFormat="false" ht="15" hidden="false" customHeight="true" outlineLevel="0" collapsed="false">
      <c r="A49" s="3" t="n">
        <v>15</v>
      </c>
      <c r="B49" s="46" t="n">
        <f aca="false">INDEX(Tc_P,best_NT,A49)</f>
        <v>0</v>
      </c>
      <c r="C49" s="47" t="n">
        <f aca="false">lam_total*B49</f>
        <v>0</v>
      </c>
      <c r="D49" s="3" t="e">
        <f aca="false">IF(A49&lt;=best_NT,MAX(min_sh,ROUNDUP(C49*best_T/(3600*rho_max)-0.000000001,0)),NA())</f>
        <v>#N/A</v>
      </c>
      <c r="E49" s="53" t="e">
        <f aca="false">IF(A49&lt;=best_NT,C49*best_T/3600/D49,NA())</f>
        <v>#N/A</v>
      </c>
      <c r="F49" s="53" t="n">
        <f aca="false">rho_max</f>
        <v>0.75</v>
      </c>
    </row>
    <row r="50" customFormat="false" ht="15" hidden="false" customHeight="true" outlineLevel="0" collapsed="false">
      <c r="A50" s="3" t="n">
        <v>16</v>
      </c>
      <c r="B50" s="46" t="n">
        <f aca="false">INDEX(Tc_P,best_NT,A50)</f>
        <v>0</v>
      </c>
      <c r="C50" s="47" t="n">
        <f aca="false">lam_total*B50</f>
        <v>0</v>
      </c>
      <c r="D50" s="3" t="e">
        <f aca="false">IF(A50&lt;=best_NT,MAX(min_sh,ROUNDUP(C50*best_T/(3600*rho_max)-0.000000001,0)),NA())</f>
        <v>#N/A</v>
      </c>
      <c r="E50" s="53" t="e">
        <f aca="false">IF(A50&lt;=best_NT,C50*best_T/3600/D50,NA())</f>
        <v>#N/A</v>
      </c>
      <c r="F50" s="53" t="n">
        <f aca="false">rho_max</f>
        <v>0.75</v>
      </c>
    </row>
    <row r="51" customFormat="false" ht="15" hidden="false" customHeight="true" outlineLevel="0" collapsed="false">
      <c r="A51" s="3" t="n">
        <v>17</v>
      </c>
      <c r="B51" s="46" t="n">
        <f aca="false">INDEX(Tc_P,best_NT,A51)</f>
        <v>0</v>
      </c>
      <c r="C51" s="47" t="n">
        <f aca="false">lam_total*B51</f>
        <v>0</v>
      </c>
      <c r="D51" s="3" t="e">
        <f aca="false">IF(A51&lt;=best_NT,MAX(min_sh,ROUNDUP(C51*best_T/(3600*rho_max)-0.000000001,0)),NA())</f>
        <v>#N/A</v>
      </c>
      <c r="E51" s="53" t="e">
        <f aca="false">IF(A51&lt;=best_NT,C51*best_T/3600/D51,NA())</f>
        <v>#N/A</v>
      </c>
      <c r="F51" s="53" t="n">
        <f aca="false">rho_max</f>
        <v>0.75</v>
      </c>
    </row>
    <row r="52" customFormat="false" ht="15" hidden="false" customHeight="true" outlineLevel="0" collapsed="false">
      <c r="A52" s="3" t="n">
        <v>18</v>
      </c>
      <c r="B52" s="46" t="n">
        <f aca="false">INDEX(Tc_P,best_NT,A52)</f>
        <v>0</v>
      </c>
      <c r="C52" s="47" t="n">
        <f aca="false">lam_total*B52</f>
        <v>0</v>
      </c>
      <c r="D52" s="3" t="e">
        <f aca="false">IF(A52&lt;=best_NT,MAX(min_sh,ROUNDUP(C52*best_T/(3600*rho_max)-0.000000001,0)),NA())</f>
        <v>#N/A</v>
      </c>
      <c r="E52" s="53" t="e">
        <f aca="false">IF(A52&lt;=best_NT,C52*best_T/3600/D52,NA())</f>
        <v>#N/A</v>
      </c>
      <c r="F52" s="53" t="n">
        <f aca="false">rho_max</f>
        <v>0.75</v>
      </c>
    </row>
    <row r="53" customFormat="false" ht="15" hidden="false" customHeight="true" outlineLevel="0" collapsed="false">
      <c r="A53" s="3" t="n">
        <v>19</v>
      </c>
      <c r="B53" s="46" t="n">
        <f aca="false">INDEX(Tc_P,best_NT,A53)</f>
        <v>0</v>
      </c>
      <c r="C53" s="47" t="n">
        <f aca="false">lam_total*B53</f>
        <v>0</v>
      </c>
      <c r="D53" s="3" t="e">
        <f aca="false">IF(A53&lt;=best_NT,MAX(min_sh,ROUNDUP(C53*best_T/(3600*rho_max)-0.000000001,0)),NA())</f>
        <v>#N/A</v>
      </c>
      <c r="E53" s="53" t="e">
        <f aca="false">IF(A53&lt;=best_NT,C53*best_T/3600/D53,NA())</f>
        <v>#N/A</v>
      </c>
      <c r="F53" s="53" t="n">
        <f aca="false">rho_max</f>
        <v>0.75</v>
      </c>
    </row>
    <row r="54" customFormat="false" ht="15" hidden="false" customHeight="true" outlineLevel="0" collapsed="false">
      <c r="A54" s="3" t="n">
        <v>20</v>
      </c>
      <c r="B54" s="46" t="n">
        <f aca="false">INDEX(Tc_P,best_NT,A54)</f>
        <v>0</v>
      </c>
      <c r="C54" s="47" t="n">
        <f aca="false">lam_total*B54</f>
        <v>0</v>
      </c>
      <c r="D54" s="3" t="e">
        <f aca="false">IF(A54&lt;=best_NT,MAX(min_sh,ROUNDUP(C54*best_T/(3600*rho_max)-0.000000001,0)),NA())</f>
        <v>#N/A</v>
      </c>
      <c r="E54" s="53" t="e">
        <f aca="false">IF(A54&lt;=best_NT,C54*best_T/3600/D54,NA())</f>
        <v>#N/A</v>
      </c>
      <c r="F54" s="53" t="n">
        <f aca="false">rho_max</f>
        <v>0.75</v>
      </c>
    </row>
    <row r="57" customFormat="false" ht="15" hidden="false" customHeight="true" outlineLevel="0" collapsed="false">
      <c r="A57" s="25" t="s">
        <v>234</v>
      </c>
    </row>
    <row r="58" customFormat="false" ht="24" hidden="false" customHeight="true" outlineLevel="0" collapsed="false">
      <c r="A58" s="4" t="s">
        <v>235</v>
      </c>
      <c r="B58" s="4" t="s">
        <v>236</v>
      </c>
      <c r="C58" s="4" t="s">
        <v>237</v>
      </c>
    </row>
    <row r="59" customFormat="false" ht="15" hidden="false" customHeight="true" outlineLevel="0" collapsed="false">
      <c r="A59" s="3" t="s">
        <v>14</v>
      </c>
      <c r="B59" s="45" t="n">
        <f aca="false">INDEX(Optimizer!$V$8:$V$227,best_i)</f>
        <v>300000</v>
      </c>
      <c r="C59" s="45" t="n">
        <f aca="false">Optimizer!V7</f>
        <v>300000</v>
      </c>
    </row>
    <row r="60" customFormat="false" ht="15" hidden="false" customHeight="true" outlineLevel="0" collapsed="false">
      <c r="A60" s="3" t="s">
        <v>61</v>
      </c>
      <c r="B60" s="45" t="n">
        <f aca="false">INDEX(Optimizer!$W$8:$W$227,best_i)</f>
        <v>600000</v>
      </c>
      <c r="C60" s="45" t="n">
        <f aca="false">Optimizer!W7</f>
        <v>600000</v>
      </c>
    </row>
    <row r="61" customFormat="false" ht="15" hidden="false" customHeight="true" outlineLevel="0" collapsed="false">
      <c r="A61" s="3" t="s">
        <v>238</v>
      </c>
      <c r="B61" s="45" t="n">
        <f aca="false">INDEX(Optimizer!$X$8:$X$227,best_i)</f>
        <v>473600</v>
      </c>
      <c r="C61" s="45" t="n">
        <f aca="false">Optimizer!X7</f>
        <v>473600</v>
      </c>
    </row>
    <row r="62" customFormat="false" ht="15" hidden="false" customHeight="true" outlineLevel="0" collapsed="false">
      <c r="A62" s="3" t="s">
        <v>239</v>
      </c>
      <c r="B62" s="45" t="n">
        <f aca="false">INDEX(Optimizer!$Y$8:$Y$227,best_i)</f>
        <v>849524</v>
      </c>
      <c r="C62" s="45" t="n">
        <f aca="false">Optimizer!Y7</f>
        <v>849524</v>
      </c>
    </row>
    <row r="66" customFormat="false" ht="15" hidden="false" customHeight="true" outlineLevel="0" collapsed="false">
      <c r="A66" s="25" t="s">
        <v>240</v>
      </c>
    </row>
    <row r="67" customFormat="false" ht="15" hidden="false" customHeight="true" outlineLevel="0" collapsed="false">
      <c r="A67" s="3" t="s">
        <v>241</v>
      </c>
      <c r="B67" s="47" t="n">
        <f aca="false">x0_b</f>
        <v>2.5</v>
      </c>
    </row>
    <row r="68" customFormat="false" ht="15" hidden="false" customHeight="true" outlineLevel="0" collapsed="false">
      <c r="A68" s="3" t="s">
        <v>242</v>
      </c>
      <c r="B68" s="47" t="n">
        <f aca="false">D_b</f>
        <v>22.1</v>
      </c>
    </row>
    <row r="69" customFormat="false" ht="15" hidden="false" customHeight="true" outlineLevel="0" collapsed="false">
      <c r="A69" s="3" t="s">
        <v>243</v>
      </c>
      <c r="B69" s="47" t="n">
        <f aca="false">L_b</f>
        <v>40</v>
      </c>
    </row>
    <row r="70" customFormat="false" ht="15" hidden="false" customHeight="true" outlineLevel="0" collapsed="false">
      <c r="A70" s="1" t="s">
        <v>244</v>
      </c>
      <c r="B70" s="50" t="n">
        <f aca="false">bay_dy</f>
        <v>5</v>
      </c>
    </row>
    <row r="71" customFormat="false" ht="24" hidden="false" customHeight="true" outlineLevel="0" collapsed="false">
      <c r="A71" s="4" t="s">
        <v>245</v>
      </c>
      <c r="B71" s="4" t="s">
        <v>246</v>
      </c>
      <c r="C71" s="4" t="s">
        <v>247</v>
      </c>
      <c r="D71" s="4" t="s">
        <v>248</v>
      </c>
      <c r="E71" s="4" t="s">
        <v>249</v>
      </c>
      <c r="F71" s="4" t="s">
        <v>250</v>
      </c>
      <c r="G71" s="4" t="s">
        <v>251</v>
      </c>
      <c r="H71" s="4" t="s">
        <v>252</v>
      </c>
      <c r="I71" s="4" t="s">
        <v>253</v>
      </c>
      <c r="J71" s="4" t="s">
        <v>254</v>
      </c>
      <c r="K71" s="4" t="s">
        <v>255</v>
      </c>
      <c r="L71" s="4" t="s">
        <v>256</v>
      </c>
    </row>
    <row r="72" customFormat="false" ht="15" hidden="false" customHeight="true" outlineLevel="0" collapsed="false">
      <c r="A72" s="47" t="n">
        <f aca="false">$B$67</f>
        <v>2.5</v>
      </c>
      <c r="B72" s="47" t="n">
        <f aca="false">$B$70</f>
        <v>5</v>
      </c>
      <c r="C72" s="47" t="n">
        <f aca="false">$B$67</f>
        <v>2.5</v>
      </c>
      <c r="D72" s="3" t="n">
        <f aca="false">$B$70+$B$68/2</f>
        <v>16.05</v>
      </c>
      <c r="E72" s="47" t="n">
        <f aca="false">IF(1&lt;=n_b,INDEX(x_rng,1),NA())</f>
        <v>12.5</v>
      </c>
      <c r="F72" s="3" t="n">
        <f aca="false">IF(1&lt;=n_b,$B$70+$B$68/2,NA())</f>
        <v>16.05</v>
      </c>
      <c r="G72" s="3" t="n">
        <f aca="false">0</f>
        <v>0</v>
      </c>
      <c r="H72" s="3" t="n">
        <f aca="false">0</f>
        <v>0</v>
      </c>
      <c r="I72" s="47" t="n">
        <f aca="false">bay_in_x</f>
        <v>5</v>
      </c>
      <c r="J72" s="3" t="n">
        <f aca="false">0</f>
        <v>0</v>
      </c>
      <c r="K72" s="47" t="n">
        <f aca="false">bay_out_x</f>
        <v>40</v>
      </c>
      <c r="L72" s="3" t="n">
        <f aca="false">0</f>
        <v>0</v>
      </c>
    </row>
    <row r="73" customFormat="false" ht="15" hidden="false" customHeight="true" outlineLevel="0" collapsed="false">
      <c r="A73" s="47" t="n">
        <f aca="false">$B$67+$B$69</f>
        <v>42.5</v>
      </c>
      <c r="B73" s="47" t="n">
        <f aca="false">$B$70</f>
        <v>5</v>
      </c>
      <c r="C73" s="47" t="n">
        <f aca="false">$B$67+$B$69</f>
        <v>42.5</v>
      </c>
      <c r="D73" s="3" t="n">
        <f aca="false">$B$70+$B$68/2</f>
        <v>16.05</v>
      </c>
      <c r="E73" s="47" t="n">
        <f aca="false">IF(2&lt;=n_b,INDEX(x_rng,2),NA())</f>
        <v>32.5</v>
      </c>
      <c r="F73" s="3" t="n">
        <f aca="false">IF(2&lt;=n_b,$B$70+$B$68/2,NA())</f>
        <v>16.05</v>
      </c>
      <c r="G73" s="47" t="n">
        <f aca="false">L_bldg</f>
        <v>45</v>
      </c>
      <c r="H73" s="3" t="n">
        <f aca="false">0</f>
        <v>0</v>
      </c>
      <c r="I73" s="3"/>
      <c r="J73" s="3"/>
      <c r="K73" s="3"/>
      <c r="L73" s="3"/>
    </row>
    <row r="74" customFormat="false" ht="15" hidden="false" customHeight="true" outlineLevel="0" collapsed="false">
      <c r="A74" s="47" t="n">
        <f aca="false">$B$67+$B$69</f>
        <v>42.5</v>
      </c>
      <c r="B74" s="47" t="n">
        <f aca="false">$B$70+$B$68</f>
        <v>27.1</v>
      </c>
      <c r="C74" s="3"/>
      <c r="D74" s="3"/>
      <c r="E74" s="3" t="e">
        <f aca="false">IF(3&lt;=n_b,INDEX(x_rng,3),NA())</f>
        <v>#N/A</v>
      </c>
      <c r="F74" s="3" t="e">
        <f aca="false">IF(3&lt;=n_b,$B$70+$B$68/2,NA())</f>
        <v>#N/A</v>
      </c>
      <c r="G74" s="47" t="n">
        <f aca="false">L_bldg</f>
        <v>45</v>
      </c>
      <c r="H74" s="47" t="n">
        <f aca="false">W_bldg</f>
        <v>30</v>
      </c>
      <c r="I74" s="3"/>
      <c r="J74" s="3"/>
      <c r="K74" s="3"/>
      <c r="L74" s="3"/>
    </row>
    <row r="75" customFormat="false" ht="15" hidden="false" customHeight="true" outlineLevel="0" collapsed="false">
      <c r="A75" s="47" t="n">
        <f aca="false">$B$67</f>
        <v>2.5</v>
      </c>
      <c r="B75" s="47" t="n">
        <f aca="false">$B$70+$B$68</f>
        <v>27.1</v>
      </c>
      <c r="C75" s="3"/>
      <c r="D75" s="3"/>
      <c r="E75" s="3" t="e">
        <f aca="false">IF(4&lt;=n_b,INDEX(x_rng,4),NA())</f>
        <v>#N/A</v>
      </c>
      <c r="F75" s="3" t="e">
        <f aca="false">IF(4&lt;=n_b,$B$70+$B$68/2,NA())</f>
        <v>#N/A</v>
      </c>
      <c r="G75" s="3" t="n">
        <f aca="false">0</f>
        <v>0</v>
      </c>
      <c r="H75" s="47" t="n">
        <f aca="false">W_bldg</f>
        <v>30</v>
      </c>
      <c r="I75" s="3"/>
      <c r="J75" s="3"/>
      <c r="K75" s="3"/>
      <c r="L75" s="3"/>
    </row>
    <row r="76" customFormat="false" ht="15" hidden="false" customHeight="true" outlineLevel="0" collapsed="false">
      <c r="A76" s="47" t="n">
        <f aca="false">$B$67</f>
        <v>2.5</v>
      </c>
      <c r="B76" s="47" t="n">
        <f aca="false">$B$70</f>
        <v>5</v>
      </c>
      <c r="C76" s="3"/>
      <c r="D76" s="3"/>
      <c r="E76" s="3" t="e">
        <f aca="false">IF(5&lt;=n_b,INDEX(x_rng,5),NA())</f>
        <v>#N/A</v>
      </c>
      <c r="F76" s="3" t="e">
        <f aca="false">IF(5&lt;=n_b,$B$70+$B$68/2,NA())</f>
        <v>#N/A</v>
      </c>
      <c r="G76" s="3" t="n">
        <f aca="false">0</f>
        <v>0</v>
      </c>
      <c r="H76" s="3" t="n">
        <f aca="false">0</f>
        <v>0</v>
      </c>
      <c r="I76" s="3"/>
      <c r="J76" s="3"/>
      <c r="K76" s="3"/>
      <c r="L76" s="3"/>
    </row>
    <row r="77" customFormat="false" ht="15" hidden="false" customHeight="true" outlineLevel="0" collapsed="false">
      <c r="A77" s="3"/>
      <c r="B77" s="3"/>
      <c r="C77" s="3"/>
      <c r="D77" s="3"/>
      <c r="E77" s="3" t="e">
        <f aca="false">IF(6&lt;=n_b,INDEX(x_rng,6),NA())</f>
        <v>#N/A</v>
      </c>
      <c r="F77" s="3" t="e">
        <f aca="false">IF(6&lt;=n_b,$B$70+$B$68/2,NA())</f>
        <v>#N/A</v>
      </c>
      <c r="G77" s="3"/>
      <c r="H77" s="3"/>
      <c r="I77" s="3"/>
      <c r="J77" s="3"/>
      <c r="K77" s="3"/>
      <c r="L77" s="3"/>
    </row>
    <row r="80" customFormat="false" ht="15" hidden="false" customHeight="true" outlineLevel="0" collapsed="false">
      <c r="A80" s="25" t="s">
        <v>257</v>
      </c>
    </row>
    <row r="81" customFormat="false" ht="30" hidden="false" customHeight="true" outlineLevel="0" collapsed="false">
      <c r="A81" s="4" t="s">
        <v>258</v>
      </c>
      <c r="B81" s="4" t="s">
        <v>220</v>
      </c>
      <c r="C81" s="4" t="s">
        <v>58</v>
      </c>
      <c r="D81" s="4" t="s">
        <v>59</v>
      </c>
      <c r="E81" s="4" t="s">
        <v>14</v>
      </c>
      <c r="F81" s="4" t="s">
        <v>60</v>
      </c>
      <c r="G81" s="4" t="s">
        <v>61</v>
      </c>
      <c r="H81" s="4" t="s">
        <v>259</v>
      </c>
      <c r="I81" s="4" t="s">
        <v>260</v>
      </c>
      <c r="J81" s="4" t="s">
        <v>261</v>
      </c>
      <c r="K81" s="4" t="s">
        <v>27</v>
      </c>
      <c r="L81" s="4" t="s">
        <v>62</v>
      </c>
      <c r="M81" s="4" t="s">
        <v>63</v>
      </c>
      <c r="N81" s="4" t="s">
        <v>35</v>
      </c>
    </row>
    <row r="82" customFormat="false" ht="15" hidden="false" customHeight="true" outlineLevel="0" collapsed="false">
      <c r="A82" s="3" t="n">
        <v>1</v>
      </c>
      <c r="B82" s="3" t="n">
        <f aca="false">IF(SMALL(Optimizer!$AG$8:$AG$227,A82)&gt;=1E+098,"",MATCH(SMALL(Optimizer!$AG$8:$AG$227,A82),Optimizer!$AG$8:$AG$227,0))</f>
        <v>108</v>
      </c>
      <c r="C82" s="54" t="n">
        <f aca="false">IF($B82="","",INDEX(Optimizer!$B$8:$B$227,$B82))</f>
        <v>8</v>
      </c>
      <c r="D82" s="54" t="n">
        <f aca="false">IF($B82="","",INDEX(Optimizer!$C$8:$C$227,$B82))</f>
        <v>8</v>
      </c>
      <c r="E82" s="54" t="n">
        <f aca="false">IF($B82="","",INDEX(Optimizer!$G$8:$G$227,$B82))</f>
        <v>2</v>
      </c>
      <c r="F82" s="54" t="n">
        <f aca="false">IF($B82="","",INDEX(Optimizer!$H$8:$H$227,$B82))</f>
        <v>40</v>
      </c>
      <c r="G82" s="54" t="n">
        <f aca="false">IF($B82="","",INDEX(Optimizer!$Q$8:$Q$227,$B82))</f>
        <v>12</v>
      </c>
      <c r="H82" s="47" t="n">
        <f aca="false">IF($B82="","",INDEX(Optimizer!$I$8:$I$227,$B82))</f>
        <v>40</v>
      </c>
      <c r="I82" s="47" t="n">
        <f aca="false">IF($B82="","",INDEX(Optimizer!$J$8:$J$227,$B82))</f>
        <v>22.1</v>
      </c>
      <c r="J82" s="47" t="n">
        <f aca="false">IF($B82="","",INDEX(Optimizer!$K$8:$K$227,$B82))</f>
        <v>17.2</v>
      </c>
      <c r="K82" s="34" t="n">
        <f aca="false">IF($B82="","",INDEX(Optimizer!$AA$8:$AA$227,$B82))</f>
        <v>0.26</v>
      </c>
      <c r="L82" s="47" t="n">
        <f aca="false">IF($B82="","",INDEX(Optimizer!$O$8:$O$227,$B82))</f>
        <v>87.7810072723084</v>
      </c>
      <c r="M82" s="45" t="n">
        <f aca="false">IF($B82="","",INDEX(Optimizer!$Z$8:$Z$227,$B82))</f>
        <v>2223124</v>
      </c>
      <c r="N82" s="45" t="n">
        <f aca="false">IF($B82="","",INDEX(Optimizer!$T$8:$T$227,$B82))</f>
        <v>884</v>
      </c>
    </row>
    <row r="83" customFormat="false" ht="15" hidden="false" customHeight="true" outlineLevel="0" collapsed="false">
      <c r="A83" s="3" t="n">
        <v>2</v>
      </c>
      <c r="B83" s="3" t="n">
        <f aca="false">IF(SMALL(Optimizer!$AG$8:$AG$227,A83)&gt;=1E+098,"",MATCH(SMALL(Optimizer!$AG$8:$AG$227,A83),Optimizer!$AG$8:$AG$227,0))</f>
        <v>127</v>
      </c>
      <c r="C83" s="54" t="n">
        <f aca="false">IF($B83="","",INDEX(Optimizer!$B$8:$B$227,$B83))</f>
        <v>10</v>
      </c>
      <c r="D83" s="54" t="n">
        <f aca="false">IF($B83="","",INDEX(Optimizer!$C$8:$C$227,$B83))</f>
        <v>7</v>
      </c>
      <c r="E83" s="54" t="n">
        <f aca="false">IF($B83="","",INDEX(Optimizer!$G$8:$G$227,$B83))</f>
        <v>2</v>
      </c>
      <c r="F83" s="54" t="n">
        <f aca="false">IF($B83="","",INDEX(Optimizer!$H$8:$H$227,$B83))</f>
        <v>37</v>
      </c>
      <c r="G83" s="54" t="n">
        <f aca="false">IF($B83="","",INDEX(Optimizer!$Q$8:$Q$227,$B83))</f>
        <v>11</v>
      </c>
      <c r="H83" s="47" t="n">
        <f aca="false">IF($B83="","",INDEX(Optimizer!$I$8:$I$227,$B83))</f>
        <v>37</v>
      </c>
      <c r="I83" s="47" t="n">
        <f aca="false">IF($B83="","",INDEX(Optimizer!$J$8:$J$227,$B83))</f>
        <v>27.3</v>
      </c>
      <c r="J83" s="47" t="n">
        <f aca="false">IF($B83="","",INDEX(Optimizer!$K$8:$K$227,$B83))</f>
        <v>15.05</v>
      </c>
      <c r="K83" s="34" t="n">
        <f aca="false">IF($B83="","",INDEX(Optimizer!$AA$8:$AA$227,$B83))</f>
        <v>0.351351351351351</v>
      </c>
      <c r="L83" s="47" t="n">
        <f aca="false">IF($B83="","",INDEX(Optimizer!$O$8:$O$227,$B83))</f>
        <v>89.4676912596385</v>
      </c>
      <c r="M83" s="45" t="n">
        <f aca="false">IF($B83="","",INDEX(Optimizer!$Z$8:$Z$227,$B83))</f>
        <v>2231554.65</v>
      </c>
      <c r="N83" s="45" t="n">
        <f aca="false">IF($B83="","",INDEX(Optimizer!$T$8:$T$227,$B83))</f>
        <v>1010.1</v>
      </c>
    </row>
    <row r="84" customFormat="false" ht="15" hidden="false" customHeight="true" outlineLevel="0" collapsed="false">
      <c r="A84" s="3" t="n">
        <v>3</v>
      </c>
      <c r="B84" s="3" t="n">
        <f aca="false">IF(SMALL(Optimizer!$AG$8:$AG$227,A84)&gt;=1E+098,"",MATCH(SMALL(Optimizer!$AG$8:$AG$227,A84),Optimizer!$AG$8:$AG$227,0))</f>
        <v>109</v>
      </c>
      <c r="C84" s="54" t="n">
        <f aca="false">IF($B84="","",INDEX(Optimizer!$B$8:$B$227,$B84))</f>
        <v>8</v>
      </c>
      <c r="D84" s="54" t="n">
        <f aca="false">IF($B84="","",INDEX(Optimizer!$C$8:$C$227,$B84))</f>
        <v>9</v>
      </c>
      <c r="E84" s="54" t="n">
        <f aca="false">IF($B84="","",INDEX(Optimizer!$G$8:$G$227,$B84))</f>
        <v>2</v>
      </c>
      <c r="F84" s="54" t="n">
        <f aca="false">IF($B84="","",INDEX(Optimizer!$H$8:$H$227,$B84))</f>
        <v>36</v>
      </c>
      <c r="G84" s="54" t="n">
        <f aca="false">IF($B84="","",INDEX(Optimizer!$Q$8:$Q$227,$B84))</f>
        <v>13</v>
      </c>
      <c r="H84" s="47" t="n">
        <f aca="false">IF($B84="","",INDEX(Optimizer!$I$8:$I$227,$B84))</f>
        <v>36</v>
      </c>
      <c r="I84" s="47" t="n">
        <f aca="false">IF($B84="","",INDEX(Optimizer!$J$8:$J$227,$B84))</f>
        <v>22.1</v>
      </c>
      <c r="J84" s="47" t="n">
        <f aca="false">IF($B84="","",INDEX(Optimizer!$K$8:$K$227,$B84))</f>
        <v>19.35</v>
      </c>
      <c r="K84" s="34" t="n">
        <f aca="false">IF($B84="","",INDEX(Optimizer!$AA$8:$AA$227,$B84))</f>
        <v>0.288888888888889</v>
      </c>
      <c r="L84" s="47" t="n">
        <f aca="false">IF($B84="","",INDEX(Optimizer!$O$8:$O$227,$B84))</f>
        <v>87.0582620485967</v>
      </c>
      <c r="M84" s="45" t="n">
        <f aca="false">IF($B84="","",INDEX(Optimizer!$Z$8:$Z$227,$B84))</f>
        <v>2241087.8</v>
      </c>
      <c r="N84" s="45" t="n">
        <f aca="false">IF($B84="","",INDEX(Optimizer!$T$8:$T$227,$B84))</f>
        <v>795.6</v>
      </c>
    </row>
    <row r="85" customFormat="false" ht="15" hidden="false" customHeight="true" outlineLevel="0" collapsed="false">
      <c r="A85" s="3" t="n">
        <v>4</v>
      </c>
      <c r="B85" s="3" t="n">
        <f aca="false">IF(SMALL(Optimizer!$AG$8:$AG$227,A85)&gt;=1E+098,"",MATCH(SMALL(Optimizer!$AG$8:$AG$227,A85),Optimizer!$AG$8:$AG$227,0))</f>
        <v>128</v>
      </c>
      <c r="C85" s="54" t="n">
        <f aca="false">IF($B85="","",INDEX(Optimizer!$B$8:$B$227,$B85))</f>
        <v>10</v>
      </c>
      <c r="D85" s="54" t="n">
        <f aca="false">IF($B85="","",INDEX(Optimizer!$C$8:$C$227,$B85))</f>
        <v>8</v>
      </c>
      <c r="E85" s="54" t="n">
        <f aca="false">IF($B85="","",INDEX(Optimizer!$G$8:$G$227,$B85))</f>
        <v>2</v>
      </c>
      <c r="F85" s="54" t="n">
        <f aca="false">IF($B85="","",INDEX(Optimizer!$H$8:$H$227,$B85))</f>
        <v>33</v>
      </c>
      <c r="G85" s="54" t="n">
        <f aca="false">IF($B85="","",INDEX(Optimizer!$Q$8:$Q$227,$B85))</f>
        <v>12</v>
      </c>
      <c r="H85" s="47" t="n">
        <f aca="false">IF($B85="","",INDEX(Optimizer!$I$8:$I$227,$B85))</f>
        <v>33</v>
      </c>
      <c r="I85" s="47" t="n">
        <f aca="false">IF($B85="","",INDEX(Optimizer!$J$8:$J$227,$B85))</f>
        <v>27.3</v>
      </c>
      <c r="J85" s="47" t="n">
        <f aca="false">IF($B85="","",INDEX(Optimizer!$K$8:$K$227,$B85))</f>
        <v>17.2</v>
      </c>
      <c r="K85" s="34" t="n">
        <f aca="false">IF($B85="","",INDEX(Optimizer!$AA$8:$AA$227,$B85))</f>
        <v>0.393939393939394</v>
      </c>
      <c r="L85" s="47" t="n">
        <f aca="false">IF($B85="","",INDEX(Optimizer!$O$8:$O$227,$B85))</f>
        <v>88.7434287283392</v>
      </c>
      <c r="M85" s="45" t="n">
        <f aca="false">IF($B85="","",INDEX(Optimizer!$Z$8:$Z$227,$B85))</f>
        <v>2245764.9</v>
      </c>
      <c r="N85" s="45" t="n">
        <f aca="false">IF($B85="","",INDEX(Optimizer!$T$8:$T$227,$B85))</f>
        <v>900.9</v>
      </c>
    </row>
    <row r="86" customFormat="false" ht="15" hidden="false" customHeight="true" outlineLevel="0" collapsed="false">
      <c r="A86" s="3" t="n">
        <v>5</v>
      </c>
      <c r="B86" s="3" t="n">
        <f aca="false">IF(SMALL(Optimizer!$AG$8:$AG$227,A86)&gt;=1E+098,"",MATCH(SMALL(Optimizer!$AG$8:$AG$227,A86),Optimizer!$AG$8:$AG$227,0))</f>
        <v>148</v>
      </c>
      <c r="C86" s="54" t="n">
        <f aca="false">IF($B86="","",INDEX(Optimizer!$B$8:$B$227,$B86))</f>
        <v>12</v>
      </c>
      <c r="D86" s="54" t="n">
        <f aca="false">IF($B86="","",INDEX(Optimizer!$C$8:$C$227,$B86))</f>
        <v>8</v>
      </c>
      <c r="E86" s="54" t="n">
        <f aca="false">IF($B86="","",INDEX(Optimizer!$G$8:$G$227,$B86))</f>
        <v>2</v>
      </c>
      <c r="F86" s="54" t="n">
        <f aca="false">IF($B86="","",INDEX(Optimizer!$H$8:$H$227,$B86))</f>
        <v>28</v>
      </c>
      <c r="G86" s="54" t="n">
        <f aca="false">IF($B86="","",INDEX(Optimizer!$Q$8:$Q$227,$B86))</f>
        <v>12</v>
      </c>
      <c r="H86" s="47" t="n">
        <f aca="false">IF($B86="","",INDEX(Optimizer!$I$8:$I$227,$B86))</f>
        <v>28</v>
      </c>
      <c r="I86" s="47" t="n">
        <f aca="false">IF($B86="","",INDEX(Optimizer!$J$8:$J$227,$B86))</f>
        <v>32.5</v>
      </c>
      <c r="J86" s="47" t="n">
        <f aca="false">IF($B86="","",INDEX(Optimizer!$K$8:$K$227,$B86))</f>
        <v>17.2</v>
      </c>
      <c r="K86" s="34" t="n">
        <f aca="false">IF($B86="","",INDEX(Optimizer!$AA$8:$AA$227,$B86))</f>
        <v>0.557142857142857</v>
      </c>
      <c r="L86" s="47" t="n">
        <f aca="false">IF($B86="","",INDEX(Optimizer!$O$8:$O$227,$B86))</f>
        <v>90.0626634502366</v>
      </c>
      <c r="M86" s="45" t="n">
        <f aca="false">IF($B86="","",INDEX(Optimizer!$Z$8:$Z$227,$B86))</f>
        <v>2254510</v>
      </c>
      <c r="N86" s="45" t="n">
        <f aca="false">IF($B86="","",INDEX(Optimizer!$T$8:$T$227,$B86))</f>
        <v>910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0" topLeftCell="A2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7" min="2" style="1" width="13"/>
  </cols>
  <sheetData>
    <row r="1" customFormat="false" ht="18" hidden="false" customHeight="true" outlineLevel="0" collapsed="false">
      <c r="A1" s="2" t="s">
        <v>262</v>
      </c>
    </row>
    <row r="2" customFormat="false" ht="15" hidden="false" customHeight="true" outlineLevel="0" collapsed="false">
      <c r="A2" s="3" t="s">
        <v>263</v>
      </c>
    </row>
    <row r="4" customFormat="false" ht="15" hidden="false" customHeight="true" outlineLevel="0" collapsed="false">
      <c r="A4" s="3" t="s">
        <v>264</v>
      </c>
      <c r="B4" s="54" t="n">
        <f aca="false">INDEX(Optimizer!$H$8:$H$227,best_i)</f>
        <v>40</v>
      </c>
      <c r="G4" s="25" t="s">
        <v>265</v>
      </c>
    </row>
    <row r="5" customFormat="false" ht="15" hidden="false" customHeight="true" outlineLevel="0" collapsed="false">
      <c r="A5" s="3" t="s">
        <v>266</v>
      </c>
      <c r="B5" s="54" t="n">
        <f aca="false">MAX(1,INDEX(Optimizer!$G$8:$G$227,best_i))</f>
        <v>2</v>
      </c>
      <c r="G5" s="3" t="s">
        <v>267</v>
      </c>
      <c r="J5" s="55" t="n">
        <f aca="false">AVERAGE(O21:O320)</f>
        <v>39.6514575896179</v>
      </c>
    </row>
    <row r="6" customFormat="false" ht="15" hidden="false" customHeight="true" outlineLevel="0" collapsed="false">
      <c r="A6" s="3" t="s">
        <v>19</v>
      </c>
      <c r="B6" s="47" t="n">
        <f aca="false">INDEX(Optimizer!$I$8:$I$227,best_i)</f>
        <v>40</v>
      </c>
      <c r="G6" s="3" t="s">
        <v>80</v>
      </c>
      <c r="J6" s="56" t="n">
        <f aca="false">AVERAGE(P21:P320)</f>
        <v>7.28197879480893</v>
      </c>
    </row>
    <row r="7" customFormat="false" ht="15" hidden="false" customHeight="true" outlineLevel="0" collapsed="false">
      <c r="A7" s="3" t="s">
        <v>22</v>
      </c>
      <c r="B7" s="47" t="n">
        <f aca="false">INDEX(Optimizer!$J$8:$J$227,best_i)</f>
        <v>22.1</v>
      </c>
      <c r="G7" s="3" t="s">
        <v>268</v>
      </c>
      <c r="J7" s="55" t="n">
        <f aca="false">AVERAGE(Q21:Q320)</f>
        <v>33.45</v>
      </c>
    </row>
    <row r="8" customFormat="false" ht="15" hidden="false" customHeight="true" outlineLevel="0" collapsed="false">
      <c r="A8" s="3" t="s">
        <v>269</v>
      </c>
      <c r="B8" s="47" t="n">
        <f aca="false">MAX(0,(L_bldg-L_b)/2)</f>
        <v>2.5</v>
      </c>
      <c r="G8" s="3" t="s">
        <v>87</v>
      </c>
      <c r="J8" s="55" t="n">
        <f aca="false">sum_cv/v_conv</f>
        <v>83.625</v>
      </c>
    </row>
    <row r="9" customFormat="false" ht="15" hidden="false" customHeight="true" outlineLevel="0" collapsed="false">
      <c r="A9" s="3" t="s">
        <v>270</v>
      </c>
      <c r="B9" s="47" t="n">
        <f aca="false">bay_dy+D_b/2</f>
        <v>16.05</v>
      </c>
      <c r="G9" s="3" t="s">
        <v>89</v>
      </c>
      <c r="J9" s="55" t="n">
        <f aca="false">(MAX(bay_in_x,x_rng)-MIN(bay_in_x,x_rng)+n_b*dy_b)+(MAX(bay_out_x,x_rng)-MIN(bay_out_x,x_rng)+n_b*dy_b)</f>
        <v>119.2</v>
      </c>
    </row>
    <row r="10" customFormat="false" ht="15" hidden="false" customHeight="true" outlineLevel="0" collapsed="false">
      <c r="G10" s="3" t="s">
        <v>271</v>
      </c>
      <c r="J10" s="57" t="n">
        <f aca="false">sum_trunk*c_conv</f>
        <v>71520</v>
      </c>
    </row>
    <row r="11" customFormat="false" ht="39.75" hidden="false" customHeight="true" outlineLevel="0" collapsed="false">
      <c r="A11" s="4" t="s">
        <v>272</v>
      </c>
      <c r="B11" s="4" t="s">
        <v>273</v>
      </c>
      <c r="C11" s="4" t="s">
        <v>274</v>
      </c>
      <c r="D11" s="4" t="s">
        <v>275</v>
      </c>
      <c r="E11" s="4" t="s">
        <v>276</v>
      </c>
      <c r="G11" s="3" t="s">
        <v>82</v>
      </c>
      <c r="J11" s="55" t="n">
        <f aca="false">2*t_sh+2*t_turn+2*sum_ta+2*INDEX(Optimizer!$N$8:$N$227,best_i)</f>
        <v>87.8211004467607</v>
      </c>
    </row>
    <row r="12" customFormat="false" ht="15" hidden="false" customHeight="true" outlineLevel="0" collapsed="false">
      <c r="A12" s="58" t="n">
        <v>1</v>
      </c>
      <c r="B12" s="27" t="n">
        <f aca="false">IF(A12&gt;n_b,"",IF(lift_layout="Equispaced",(2*A12-1)*L_b/(2*n_b),MIN(L_b,MAX(0,INDEX(Dashboard!$B$1:$B$200,ROW(lift_x1)+A12-1)))))</f>
        <v>10</v>
      </c>
      <c r="C12" s="27" t="n">
        <f aca="false">IF(B12="","",x0_b+B12)</f>
        <v>12.5</v>
      </c>
      <c r="D12" s="27" t="n">
        <f aca="false">IF(B12="","",(lam_in*ABS(bay_in_x-C12)+lam_out*ABS(bay_out_x-C12))/(lam_in+lam_out)+dy_b)</f>
        <v>35.55</v>
      </c>
      <c r="E12" s="27" t="n">
        <f aca="false">IF(B12="","",D12/v_conv)</f>
        <v>88.875</v>
      </c>
      <c r="G12" s="3" t="s">
        <v>277</v>
      </c>
      <c r="J12" s="55" t="n">
        <f aca="false">INDEX(Optimizer!$O$8:$O$227,best_i)</f>
        <v>87.7810072723084</v>
      </c>
    </row>
    <row r="13" customFormat="false" ht="15" hidden="false" customHeight="true" outlineLevel="0" collapsed="false">
      <c r="A13" s="58" t="n">
        <v>2</v>
      </c>
      <c r="B13" s="27" t="n">
        <f aca="false">IF(A13&gt;n_b,"",IF(lift_layout="Equispaced",(2*A13-1)*L_b/(2*n_b),MIN(L_b,MAX(0,INDEX(Dashboard!$B$1:$B$200,ROW(lift_x1)+A13-1)))))</f>
        <v>30</v>
      </c>
      <c r="C13" s="27" t="n">
        <f aca="false">IF(B13="","",x0_b+B13)</f>
        <v>32.5</v>
      </c>
      <c r="D13" s="27" t="n">
        <f aca="false">IF(B13="","",(lam_in*ABS(bay_in_x-C13)+lam_out*ABS(bay_out_x-C13))/(lam_in+lam_out)+dy_b)</f>
        <v>31.55</v>
      </c>
      <c r="E13" s="27" t="n">
        <f aca="false">IF(B13="","",D13/v_conv)</f>
        <v>78.875</v>
      </c>
    </row>
    <row r="14" customFormat="false" ht="15" hidden="false" customHeight="true" outlineLevel="0" collapsed="false">
      <c r="A14" s="58" t="n">
        <v>3</v>
      </c>
      <c r="B14" s="27" t="str">
        <f aca="false">IF(A14&gt;n_b,"",IF(lift_layout="Equispaced",(2*A14-1)*L_b/(2*n_b),MIN(L_b,MAX(0,INDEX(Dashboard!$B$1:$B$200,ROW(lift_x1)+A14-1)))))</f>
        <v/>
      </c>
      <c r="C14" s="27" t="str">
        <f aca="false">IF(B14="","",x0_b+B14)</f>
        <v/>
      </c>
      <c r="D14" s="27" t="str">
        <f aca="false">IF(B14="","",(lam_in*ABS(bay_in_x-C14)+lam_out*ABS(bay_out_x-C14))/(lam_in+lam_out)+dy_b)</f>
        <v/>
      </c>
      <c r="E14" s="27" t="str">
        <f aca="false">IF(B14="","",D14/v_conv)</f>
        <v/>
      </c>
    </row>
    <row r="15" customFormat="false" ht="15" hidden="false" customHeight="true" outlineLevel="0" collapsed="false">
      <c r="A15" s="58" t="n">
        <v>4</v>
      </c>
      <c r="B15" s="27" t="str">
        <f aca="false">IF(A15&gt;n_b,"",IF(lift_layout="Equispaced",(2*A15-1)*L_b/(2*n_b),MIN(L_b,MAX(0,INDEX(Dashboard!$B$1:$B$200,ROW(lift_x1)+A15-1)))))</f>
        <v/>
      </c>
      <c r="C15" s="27" t="str">
        <f aca="false">IF(B15="","",x0_b+B15)</f>
        <v/>
      </c>
      <c r="D15" s="27" t="str">
        <f aca="false">IF(B15="","",(lam_in*ABS(bay_in_x-C15)+lam_out*ABS(bay_out_x-C15))/(lam_in+lam_out)+dy_b)</f>
        <v/>
      </c>
      <c r="E15" s="27" t="str">
        <f aca="false">IF(B15="","",D15/v_conv)</f>
        <v/>
      </c>
    </row>
    <row r="16" customFormat="false" ht="15" hidden="false" customHeight="true" outlineLevel="0" collapsed="false">
      <c r="A16" s="58" t="n">
        <v>5</v>
      </c>
      <c r="B16" s="27" t="str">
        <f aca="false">IF(A16&gt;n_b,"",IF(lift_layout="Equispaced",(2*A16-1)*L_b/(2*n_b),MIN(L_b,MAX(0,INDEX(Dashboard!$B$1:$B$200,ROW(lift_x1)+A16-1)))))</f>
        <v/>
      </c>
      <c r="C16" s="27" t="str">
        <f aca="false">IF(B16="","",x0_b+B16)</f>
        <v/>
      </c>
      <c r="D16" s="27" t="str">
        <f aca="false">IF(B16="","",(lam_in*ABS(bay_in_x-C16)+lam_out*ABS(bay_out_x-C16))/(lam_in+lam_out)+dy_b)</f>
        <v/>
      </c>
      <c r="E16" s="27" t="str">
        <f aca="false">IF(B16="","",D16/v_conv)</f>
        <v/>
      </c>
    </row>
    <row r="17" customFormat="false" ht="15" hidden="false" customHeight="true" outlineLevel="0" collapsed="false">
      <c r="A17" s="58" t="n">
        <v>6</v>
      </c>
      <c r="B17" s="27" t="str">
        <f aca="false">IF(A17&gt;n_b,"",IF(lift_layout="Equispaced",(2*A17-1)*L_b/(2*n_b),MIN(L_b,MAX(0,INDEX(Dashboard!$B$1:$B$200,ROW(lift_x1)+A17-1)))))</f>
        <v/>
      </c>
      <c r="C17" s="27" t="str">
        <f aca="false">IF(B17="","",x0_b+B17)</f>
        <v/>
      </c>
      <c r="D17" s="27" t="str">
        <f aca="false">IF(B17="","",(lam_in*ABS(bay_in_x-C17)+lam_out*ABS(bay_out_x-C17))/(lam_in+lam_out)+dy_b)</f>
        <v/>
      </c>
      <c r="E17" s="27" t="str">
        <f aca="false">IF(B17="","",D17/v_conv)</f>
        <v/>
      </c>
    </row>
    <row r="20" customFormat="false" ht="43.5" hidden="false" customHeight="true" outlineLevel="0" collapsed="false">
      <c r="A20" s="4" t="s">
        <v>278</v>
      </c>
      <c r="B20" s="4" t="s">
        <v>279</v>
      </c>
      <c r="C20" s="4" t="s">
        <v>280</v>
      </c>
      <c r="D20" s="4" t="s">
        <v>281</v>
      </c>
      <c r="E20" s="4" t="s">
        <v>282</v>
      </c>
      <c r="F20" s="4" t="s">
        <v>283</v>
      </c>
      <c r="G20" s="4" t="s">
        <v>284</v>
      </c>
      <c r="H20" s="4" t="s">
        <v>285</v>
      </c>
      <c r="I20" s="4" t="s">
        <v>286</v>
      </c>
      <c r="J20" s="4" t="s">
        <v>287</v>
      </c>
      <c r="K20" s="4" t="s">
        <v>288</v>
      </c>
      <c r="L20" s="4" t="s">
        <v>289</v>
      </c>
      <c r="M20" s="4" t="s">
        <v>290</v>
      </c>
      <c r="N20" s="4" t="s">
        <v>291</v>
      </c>
      <c r="O20" s="4" t="s">
        <v>292</v>
      </c>
      <c r="P20" s="4" t="s">
        <v>293</v>
      </c>
      <c r="Q20" s="4" t="s">
        <v>294</v>
      </c>
    </row>
    <row r="21" customFormat="false" ht="15" hidden="false" customHeight="true" outlineLevel="0" collapsed="false">
      <c r="A21" s="54" t="n">
        <v>1</v>
      </c>
      <c r="B21" s="34" t="n">
        <f aca="false">(A21-0.5)*u_w</f>
        <v>0.5</v>
      </c>
      <c r="C21" s="34" t="n">
        <f aca="false">IF(OR(A21&gt;NL_b,$B$12=""),"",IF((ABS(B21-$B$12)+lane_off)&lt;=0,0,IF((ABS(B21-$B$12)+lane_off)&gt;=v_sh^2/a_sh,(ABS(B21-$B$12)+lane_off)/v_sh+v_sh/a_sh,2*SQRT((ABS(B21-$B$12)+lane_off)/a_sh))))</f>
        <v>10.5142857142857</v>
      </c>
      <c r="D21" s="34" t="n">
        <f aca="false">IF(OR(A21&gt;NL_b,$B$13=""),"",IF((ABS(B21-$B$13)+lane_off)&lt;=0,0,IF((ABS(B21-$B$13)+lane_off)&gt;=v_sh^2/a_sh,(ABS(B21-$B$13)+lane_off)/v_sh+v_sh/a_sh,2*SQRT((ABS(B21-$B$13)+lane_off)/a_sh))))</f>
        <v>24.8</v>
      </c>
      <c r="E21" s="34" t="str">
        <f aca="false">IF(OR(A21&gt;NL_b,$B$14=""),"",IF((ABS(B21-$B$14)+lane_off)&lt;=0,0,IF((ABS(B21-$B$14)+lane_off)&gt;=v_sh^2/a_sh,(ABS(B21-$B$14)+lane_off)/v_sh+v_sh/a_sh,2*SQRT((ABS(B21-$B$14)+lane_off)/a_sh))))</f>
        <v/>
      </c>
      <c r="F21" s="34" t="str">
        <f aca="false">IF(OR(A21&gt;NL_b,$B$15=""),"",IF((ABS(B21-$B$15)+lane_off)&lt;=0,0,IF((ABS(B21-$B$15)+lane_off)&gt;=v_sh^2/a_sh,(ABS(B21-$B$15)+lane_off)/v_sh+v_sh/a_sh,2*SQRT((ABS(B21-$B$15)+lane_off)/a_sh))))</f>
        <v/>
      </c>
      <c r="G21" s="34" t="str">
        <f aca="false">IF(OR(A21&gt;NL_b,$B$16=""),"",IF((ABS(B21-$B$16)+lane_off)&lt;=0,0,IF((ABS(B21-$B$16)+lane_off)&gt;=v_sh^2/a_sh,(ABS(B21-$B$16)+lane_off)/v_sh+v_sh/a_sh,2*SQRT((ABS(B21-$B$16)+lane_off)/a_sh))))</f>
        <v/>
      </c>
      <c r="H21" s="34" t="str">
        <f aca="false">IF(OR(A21&gt;NL_b,$B$17=""),"",IF((ABS(B21-$B$17)+lane_off)&lt;=0,0,IF((ABS(B21-$B$17)+lane_off)&gt;=v_sh^2/a_sh,(ABS(B21-$B$17)+lane_off)/v_sh+v_sh/a_sh,2*SQRT((ABS(B21-$B$17)+lane_off)/a_sh))))</f>
        <v/>
      </c>
      <c r="I21" s="34" t="n">
        <f aca="false">IF(C21="","",2*C21+w_conv*$D$12/v_conv)</f>
        <v>47.6910714285714</v>
      </c>
      <c r="J21" s="34" t="n">
        <f aca="false">IF(D21="","",2*D21+w_conv*$D$13/v_conv)</f>
        <v>73.2625</v>
      </c>
      <c r="K21" s="34" t="str">
        <f aca="false">IF(E21="","",2*E21+w_conv*$D$14/v_conv)</f>
        <v/>
      </c>
      <c r="L21" s="34" t="str">
        <f aca="false">IF(F21="","",2*F21+w_conv*$D$15/v_conv)</f>
        <v/>
      </c>
      <c r="M21" s="34" t="str">
        <f aca="false">IF(G21="","",2*G21+w_conv*$D$16/v_conv)</f>
        <v/>
      </c>
      <c r="N21" s="34" t="str">
        <f aca="false">IF(H21="","",2*H21+w_conv*$D$17/v_conv)</f>
        <v/>
      </c>
      <c r="O21" s="34" t="n">
        <f aca="false">IF(A21&gt;NL_b,"",MIN(I21:N21))</f>
        <v>47.6910714285714</v>
      </c>
      <c r="P21" s="34" t="n">
        <f aca="false">IF(O21="","",INDEX(C21:H21,MATCH(O21,I21:N21,0)))</f>
        <v>10.5142857142857</v>
      </c>
      <c r="Q21" s="34" t="n">
        <f aca="false">IF(O21="","",INDEX($D$12:$D$17,MATCH(O21,I21:N21,0)))</f>
        <v>35.55</v>
      </c>
    </row>
    <row r="22" customFormat="false" ht="15" hidden="false" customHeight="true" outlineLevel="0" collapsed="false">
      <c r="A22" s="54" t="n">
        <v>2</v>
      </c>
      <c r="B22" s="34" t="n">
        <f aca="false">(A22-0.5)*u_w</f>
        <v>1.5</v>
      </c>
      <c r="C22" s="34" t="n">
        <f aca="false">IF(OR(A22&gt;NL_b,$B$12=""),"",IF((ABS(B22-$B$12)+lane_off)&lt;=0,0,IF((ABS(B22-$B$12)+lane_off)&gt;=v_sh^2/a_sh,(ABS(B22-$B$12)+lane_off)/v_sh+v_sh/a_sh,2*SQRT((ABS(B22-$B$12)+lane_off)/a_sh))))</f>
        <v>9.8</v>
      </c>
      <c r="D22" s="34" t="n">
        <f aca="false">IF(OR(A22&gt;NL_b,$B$13=""),"",IF((ABS(B22-$B$13)+lane_off)&lt;=0,0,IF((ABS(B22-$B$13)+lane_off)&gt;=v_sh^2/a_sh,(ABS(B22-$B$13)+lane_off)/v_sh+v_sh/a_sh,2*SQRT((ABS(B22-$B$13)+lane_off)/a_sh))))</f>
        <v>24.0857142857143</v>
      </c>
      <c r="E22" s="34" t="str">
        <f aca="false">IF(OR(A22&gt;NL_b,$B$14=""),"",IF((ABS(B22-$B$14)+lane_off)&lt;=0,0,IF((ABS(B22-$B$14)+lane_off)&gt;=v_sh^2/a_sh,(ABS(B22-$B$14)+lane_off)/v_sh+v_sh/a_sh,2*SQRT((ABS(B22-$B$14)+lane_off)/a_sh))))</f>
        <v/>
      </c>
      <c r="F22" s="34" t="str">
        <f aca="false">IF(OR(A22&gt;NL_b,$B$15=""),"",IF((ABS(B22-$B$15)+lane_off)&lt;=0,0,IF((ABS(B22-$B$15)+lane_off)&gt;=v_sh^2/a_sh,(ABS(B22-$B$15)+lane_off)/v_sh+v_sh/a_sh,2*SQRT((ABS(B22-$B$15)+lane_off)/a_sh))))</f>
        <v/>
      </c>
      <c r="G22" s="34" t="str">
        <f aca="false">IF(OR(A22&gt;NL_b,$B$16=""),"",IF((ABS(B22-$B$16)+lane_off)&lt;=0,0,IF((ABS(B22-$B$16)+lane_off)&gt;=v_sh^2/a_sh,(ABS(B22-$B$16)+lane_off)/v_sh+v_sh/a_sh,2*SQRT((ABS(B22-$B$16)+lane_off)/a_sh))))</f>
        <v/>
      </c>
      <c r="H22" s="34" t="str">
        <f aca="false">IF(OR(A22&gt;NL_b,$B$17=""),"",IF((ABS(B22-$B$17)+lane_off)&lt;=0,0,IF((ABS(B22-$B$17)+lane_off)&gt;=v_sh^2/a_sh,(ABS(B22-$B$17)+lane_off)/v_sh+v_sh/a_sh,2*SQRT((ABS(B22-$B$17)+lane_off)/a_sh))))</f>
        <v/>
      </c>
      <c r="I22" s="34" t="n">
        <f aca="false">IF(C22="","",2*C22+w_conv*$D$12/v_conv)</f>
        <v>46.2625</v>
      </c>
      <c r="J22" s="34" t="n">
        <f aca="false">IF(D22="","",2*D22+w_conv*$D$13/v_conv)</f>
        <v>71.8339285714286</v>
      </c>
      <c r="K22" s="34" t="str">
        <f aca="false">IF(E22="","",2*E22+w_conv*$D$14/v_conv)</f>
        <v/>
      </c>
      <c r="L22" s="34" t="str">
        <f aca="false">IF(F22="","",2*F22+w_conv*$D$15/v_conv)</f>
        <v/>
      </c>
      <c r="M22" s="34" t="str">
        <f aca="false">IF(G22="","",2*G22+w_conv*$D$16/v_conv)</f>
        <v/>
      </c>
      <c r="N22" s="34" t="str">
        <f aca="false">IF(H22="","",2*H22+w_conv*$D$17/v_conv)</f>
        <v/>
      </c>
      <c r="O22" s="34" t="n">
        <f aca="false">IF(A22&gt;NL_b,"",MIN(I22:N22))</f>
        <v>46.2625</v>
      </c>
      <c r="P22" s="34" t="n">
        <f aca="false">IF(O22="","",INDEX(C22:H22,MATCH(O22,I22:N22,0)))</f>
        <v>9.8</v>
      </c>
      <c r="Q22" s="34" t="n">
        <f aca="false">IF(O22="","",INDEX($D$12:$D$17,MATCH(O22,I22:N22,0)))</f>
        <v>35.55</v>
      </c>
    </row>
    <row r="23" customFormat="false" ht="15" hidden="false" customHeight="true" outlineLevel="0" collapsed="false">
      <c r="A23" s="54" t="n">
        <v>3</v>
      </c>
      <c r="B23" s="34" t="n">
        <f aca="false">(A23-0.5)*u_w</f>
        <v>2.5</v>
      </c>
      <c r="C23" s="34" t="n">
        <f aca="false">IF(OR(A23&gt;NL_b,$B$12=""),"",IF((ABS(B23-$B$12)+lane_off)&lt;=0,0,IF((ABS(B23-$B$12)+lane_off)&gt;=v_sh^2/a_sh,(ABS(B23-$B$12)+lane_off)/v_sh+v_sh/a_sh,2*SQRT((ABS(B23-$B$12)+lane_off)/a_sh))))</f>
        <v>9.08571428571429</v>
      </c>
      <c r="D23" s="34" t="n">
        <f aca="false">IF(OR(A23&gt;NL_b,$B$13=""),"",IF((ABS(B23-$B$13)+lane_off)&lt;=0,0,IF((ABS(B23-$B$13)+lane_off)&gt;=v_sh^2/a_sh,(ABS(B23-$B$13)+lane_off)/v_sh+v_sh/a_sh,2*SQRT((ABS(B23-$B$13)+lane_off)/a_sh))))</f>
        <v>23.3714285714286</v>
      </c>
      <c r="E23" s="34" t="str">
        <f aca="false">IF(OR(A23&gt;NL_b,$B$14=""),"",IF((ABS(B23-$B$14)+lane_off)&lt;=0,0,IF((ABS(B23-$B$14)+lane_off)&gt;=v_sh^2/a_sh,(ABS(B23-$B$14)+lane_off)/v_sh+v_sh/a_sh,2*SQRT((ABS(B23-$B$14)+lane_off)/a_sh))))</f>
        <v/>
      </c>
      <c r="F23" s="34" t="str">
        <f aca="false">IF(OR(A23&gt;NL_b,$B$15=""),"",IF((ABS(B23-$B$15)+lane_off)&lt;=0,0,IF((ABS(B23-$B$15)+lane_off)&gt;=v_sh^2/a_sh,(ABS(B23-$B$15)+lane_off)/v_sh+v_sh/a_sh,2*SQRT((ABS(B23-$B$15)+lane_off)/a_sh))))</f>
        <v/>
      </c>
      <c r="G23" s="34" t="str">
        <f aca="false">IF(OR(A23&gt;NL_b,$B$16=""),"",IF((ABS(B23-$B$16)+lane_off)&lt;=0,0,IF((ABS(B23-$B$16)+lane_off)&gt;=v_sh^2/a_sh,(ABS(B23-$B$16)+lane_off)/v_sh+v_sh/a_sh,2*SQRT((ABS(B23-$B$16)+lane_off)/a_sh))))</f>
        <v/>
      </c>
      <c r="H23" s="34" t="str">
        <f aca="false">IF(OR(A23&gt;NL_b,$B$17=""),"",IF((ABS(B23-$B$17)+lane_off)&lt;=0,0,IF((ABS(B23-$B$17)+lane_off)&gt;=v_sh^2/a_sh,(ABS(B23-$B$17)+lane_off)/v_sh+v_sh/a_sh,2*SQRT((ABS(B23-$B$17)+lane_off)/a_sh))))</f>
        <v/>
      </c>
      <c r="I23" s="34" t="n">
        <f aca="false">IF(C23="","",2*C23+w_conv*$D$12/v_conv)</f>
        <v>44.8339285714286</v>
      </c>
      <c r="J23" s="34" t="n">
        <f aca="false">IF(D23="","",2*D23+w_conv*$D$13/v_conv)</f>
        <v>70.4053571428571</v>
      </c>
      <c r="K23" s="34" t="str">
        <f aca="false">IF(E23="","",2*E23+w_conv*$D$14/v_conv)</f>
        <v/>
      </c>
      <c r="L23" s="34" t="str">
        <f aca="false">IF(F23="","",2*F23+w_conv*$D$15/v_conv)</f>
        <v/>
      </c>
      <c r="M23" s="34" t="str">
        <f aca="false">IF(G23="","",2*G23+w_conv*$D$16/v_conv)</f>
        <v/>
      </c>
      <c r="N23" s="34" t="str">
        <f aca="false">IF(H23="","",2*H23+w_conv*$D$17/v_conv)</f>
        <v/>
      </c>
      <c r="O23" s="34" t="n">
        <f aca="false">IF(A23&gt;NL_b,"",MIN(I23:N23))</f>
        <v>44.8339285714286</v>
      </c>
      <c r="P23" s="34" t="n">
        <f aca="false">IF(O23="","",INDEX(C23:H23,MATCH(O23,I23:N23,0)))</f>
        <v>9.08571428571429</v>
      </c>
      <c r="Q23" s="34" t="n">
        <f aca="false">IF(O23="","",INDEX($D$12:$D$17,MATCH(O23,I23:N23,0)))</f>
        <v>35.55</v>
      </c>
    </row>
    <row r="24" customFormat="false" ht="15" hidden="false" customHeight="true" outlineLevel="0" collapsed="false">
      <c r="A24" s="54" t="n">
        <v>4</v>
      </c>
      <c r="B24" s="34" t="n">
        <f aca="false">(A24-0.5)*u_w</f>
        <v>3.5</v>
      </c>
      <c r="C24" s="34" t="n">
        <f aca="false">IF(OR(A24&gt;NL_b,$B$12=""),"",IF((ABS(B24-$B$12)+lane_off)&lt;=0,0,IF((ABS(B24-$B$12)+lane_off)&gt;=v_sh^2/a_sh,(ABS(B24-$B$12)+lane_off)/v_sh+v_sh/a_sh,2*SQRT((ABS(B24-$B$12)+lane_off)/a_sh))))</f>
        <v>8.37142857142857</v>
      </c>
      <c r="D24" s="34" t="n">
        <f aca="false">IF(OR(A24&gt;NL_b,$B$13=""),"",IF((ABS(B24-$B$13)+lane_off)&lt;=0,0,IF((ABS(B24-$B$13)+lane_off)&gt;=v_sh^2/a_sh,(ABS(B24-$B$13)+lane_off)/v_sh+v_sh/a_sh,2*SQRT((ABS(B24-$B$13)+lane_off)/a_sh))))</f>
        <v>22.6571428571429</v>
      </c>
      <c r="E24" s="34" t="str">
        <f aca="false">IF(OR(A24&gt;NL_b,$B$14=""),"",IF((ABS(B24-$B$14)+lane_off)&lt;=0,0,IF((ABS(B24-$B$14)+lane_off)&gt;=v_sh^2/a_sh,(ABS(B24-$B$14)+lane_off)/v_sh+v_sh/a_sh,2*SQRT((ABS(B24-$B$14)+lane_off)/a_sh))))</f>
        <v/>
      </c>
      <c r="F24" s="34" t="str">
        <f aca="false">IF(OR(A24&gt;NL_b,$B$15=""),"",IF((ABS(B24-$B$15)+lane_off)&lt;=0,0,IF((ABS(B24-$B$15)+lane_off)&gt;=v_sh^2/a_sh,(ABS(B24-$B$15)+lane_off)/v_sh+v_sh/a_sh,2*SQRT((ABS(B24-$B$15)+lane_off)/a_sh))))</f>
        <v/>
      </c>
      <c r="G24" s="34" t="str">
        <f aca="false">IF(OR(A24&gt;NL_b,$B$16=""),"",IF((ABS(B24-$B$16)+lane_off)&lt;=0,0,IF((ABS(B24-$B$16)+lane_off)&gt;=v_sh^2/a_sh,(ABS(B24-$B$16)+lane_off)/v_sh+v_sh/a_sh,2*SQRT((ABS(B24-$B$16)+lane_off)/a_sh))))</f>
        <v/>
      </c>
      <c r="H24" s="34" t="str">
        <f aca="false">IF(OR(A24&gt;NL_b,$B$17=""),"",IF((ABS(B24-$B$17)+lane_off)&lt;=0,0,IF((ABS(B24-$B$17)+lane_off)&gt;=v_sh^2/a_sh,(ABS(B24-$B$17)+lane_off)/v_sh+v_sh/a_sh,2*SQRT((ABS(B24-$B$17)+lane_off)/a_sh))))</f>
        <v/>
      </c>
      <c r="I24" s="34" t="n">
        <f aca="false">IF(C24="","",2*C24+w_conv*$D$12/v_conv)</f>
        <v>43.4053571428571</v>
      </c>
      <c r="J24" s="34" t="n">
        <f aca="false">IF(D24="","",2*D24+w_conv*$D$13/v_conv)</f>
        <v>68.9767857142857</v>
      </c>
      <c r="K24" s="34" t="str">
        <f aca="false">IF(E24="","",2*E24+w_conv*$D$14/v_conv)</f>
        <v/>
      </c>
      <c r="L24" s="34" t="str">
        <f aca="false">IF(F24="","",2*F24+w_conv*$D$15/v_conv)</f>
        <v/>
      </c>
      <c r="M24" s="34" t="str">
        <f aca="false">IF(G24="","",2*G24+w_conv*$D$16/v_conv)</f>
        <v/>
      </c>
      <c r="N24" s="34" t="str">
        <f aca="false">IF(H24="","",2*H24+w_conv*$D$17/v_conv)</f>
        <v/>
      </c>
      <c r="O24" s="34" t="n">
        <f aca="false">IF(A24&gt;NL_b,"",MIN(I24:N24))</f>
        <v>43.4053571428571</v>
      </c>
      <c r="P24" s="34" t="n">
        <f aca="false">IF(O24="","",INDEX(C24:H24,MATCH(O24,I24:N24,0)))</f>
        <v>8.37142857142857</v>
      </c>
      <c r="Q24" s="34" t="n">
        <f aca="false">IF(O24="","",INDEX($D$12:$D$17,MATCH(O24,I24:N24,0)))</f>
        <v>35.55</v>
      </c>
    </row>
    <row r="25" customFormat="false" ht="15" hidden="false" customHeight="true" outlineLevel="0" collapsed="false">
      <c r="A25" s="54" t="n">
        <v>5</v>
      </c>
      <c r="B25" s="34" t="n">
        <f aca="false">(A25-0.5)*u_w</f>
        <v>4.5</v>
      </c>
      <c r="C25" s="34" t="n">
        <f aca="false">IF(OR(A25&gt;NL_b,$B$12=""),"",IF((ABS(B25-$B$12)+lane_off)&lt;=0,0,IF((ABS(B25-$B$12)+lane_off)&gt;=v_sh^2/a_sh,(ABS(B25-$B$12)+lane_off)/v_sh+v_sh/a_sh,2*SQRT((ABS(B25-$B$12)+lane_off)/a_sh))))</f>
        <v>7.65714285714286</v>
      </c>
      <c r="D25" s="34" t="n">
        <f aca="false">IF(OR(A25&gt;NL_b,$B$13=""),"",IF((ABS(B25-$B$13)+lane_off)&lt;=0,0,IF((ABS(B25-$B$13)+lane_off)&gt;=v_sh^2/a_sh,(ABS(B25-$B$13)+lane_off)/v_sh+v_sh/a_sh,2*SQRT((ABS(B25-$B$13)+lane_off)/a_sh))))</f>
        <v>21.9428571428571</v>
      </c>
      <c r="E25" s="34" t="str">
        <f aca="false">IF(OR(A25&gt;NL_b,$B$14=""),"",IF((ABS(B25-$B$14)+lane_off)&lt;=0,0,IF((ABS(B25-$B$14)+lane_off)&gt;=v_sh^2/a_sh,(ABS(B25-$B$14)+lane_off)/v_sh+v_sh/a_sh,2*SQRT((ABS(B25-$B$14)+lane_off)/a_sh))))</f>
        <v/>
      </c>
      <c r="F25" s="34" t="str">
        <f aca="false">IF(OR(A25&gt;NL_b,$B$15=""),"",IF((ABS(B25-$B$15)+lane_off)&lt;=0,0,IF((ABS(B25-$B$15)+lane_off)&gt;=v_sh^2/a_sh,(ABS(B25-$B$15)+lane_off)/v_sh+v_sh/a_sh,2*SQRT((ABS(B25-$B$15)+lane_off)/a_sh))))</f>
        <v/>
      </c>
      <c r="G25" s="34" t="str">
        <f aca="false">IF(OR(A25&gt;NL_b,$B$16=""),"",IF((ABS(B25-$B$16)+lane_off)&lt;=0,0,IF((ABS(B25-$B$16)+lane_off)&gt;=v_sh^2/a_sh,(ABS(B25-$B$16)+lane_off)/v_sh+v_sh/a_sh,2*SQRT((ABS(B25-$B$16)+lane_off)/a_sh))))</f>
        <v/>
      </c>
      <c r="H25" s="34" t="str">
        <f aca="false">IF(OR(A25&gt;NL_b,$B$17=""),"",IF((ABS(B25-$B$17)+lane_off)&lt;=0,0,IF((ABS(B25-$B$17)+lane_off)&gt;=v_sh^2/a_sh,(ABS(B25-$B$17)+lane_off)/v_sh+v_sh/a_sh,2*SQRT((ABS(B25-$B$17)+lane_off)/a_sh))))</f>
        <v/>
      </c>
      <c r="I25" s="34" t="n">
        <f aca="false">IF(C25="","",2*C25+w_conv*$D$12/v_conv)</f>
        <v>41.9767857142857</v>
      </c>
      <c r="J25" s="34" t="n">
        <f aca="false">IF(D25="","",2*D25+w_conv*$D$13/v_conv)</f>
        <v>67.5482142857143</v>
      </c>
      <c r="K25" s="34" t="str">
        <f aca="false">IF(E25="","",2*E25+w_conv*$D$14/v_conv)</f>
        <v/>
      </c>
      <c r="L25" s="34" t="str">
        <f aca="false">IF(F25="","",2*F25+w_conv*$D$15/v_conv)</f>
        <v/>
      </c>
      <c r="M25" s="34" t="str">
        <f aca="false">IF(G25="","",2*G25+w_conv*$D$16/v_conv)</f>
        <v/>
      </c>
      <c r="N25" s="34" t="str">
        <f aca="false">IF(H25="","",2*H25+w_conv*$D$17/v_conv)</f>
        <v/>
      </c>
      <c r="O25" s="34" t="n">
        <f aca="false">IF(A25&gt;NL_b,"",MIN(I25:N25))</f>
        <v>41.9767857142857</v>
      </c>
      <c r="P25" s="34" t="n">
        <f aca="false">IF(O25="","",INDEX(C25:H25,MATCH(O25,I25:N25,0)))</f>
        <v>7.65714285714286</v>
      </c>
      <c r="Q25" s="34" t="n">
        <f aca="false">IF(O25="","",INDEX($D$12:$D$17,MATCH(O25,I25:N25,0)))</f>
        <v>35.55</v>
      </c>
    </row>
    <row r="26" customFormat="false" ht="15" hidden="false" customHeight="true" outlineLevel="0" collapsed="false">
      <c r="A26" s="54" t="n">
        <v>6</v>
      </c>
      <c r="B26" s="34" t="n">
        <f aca="false">(A26-0.5)*u_w</f>
        <v>5.5</v>
      </c>
      <c r="C26" s="34" t="n">
        <f aca="false">IF(OR(A26&gt;NL_b,$B$12=""),"",IF((ABS(B26-$B$12)+lane_off)&lt;=0,0,IF((ABS(B26-$B$12)+lane_off)&gt;=v_sh^2/a_sh,(ABS(B26-$B$12)+lane_off)/v_sh+v_sh/a_sh,2*SQRT((ABS(B26-$B$12)+lane_off)/a_sh))))</f>
        <v>6.94285714285714</v>
      </c>
      <c r="D26" s="34" t="n">
        <f aca="false">IF(OR(A26&gt;NL_b,$B$13=""),"",IF((ABS(B26-$B$13)+lane_off)&lt;=0,0,IF((ABS(B26-$B$13)+lane_off)&gt;=v_sh^2/a_sh,(ABS(B26-$B$13)+lane_off)/v_sh+v_sh/a_sh,2*SQRT((ABS(B26-$B$13)+lane_off)/a_sh))))</f>
        <v>21.2285714285714</v>
      </c>
      <c r="E26" s="34" t="str">
        <f aca="false">IF(OR(A26&gt;NL_b,$B$14=""),"",IF((ABS(B26-$B$14)+lane_off)&lt;=0,0,IF((ABS(B26-$B$14)+lane_off)&gt;=v_sh^2/a_sh,(ABS(B26-$B$14)+lane_off)/v_sh+v_sh/a_sh,2*SQRT((ABS(B26-$B$14)+lane_off)/a_sh))))</f>
        <v/>
      </c>
      <c r="F26" s="34" t="str">
        <f aca="false">IF(OR(A26&gt;NL_b,$B$15=""),"",IF((ABS(B26-$B$15)+lane_off)&lt;=0,0,IF((ABS(B26-$B$15)+lane_off)&gt;=v_sh^2/a_sh,(ABS(B26-$B$15)+lane_off)/v_sh+v_sh/a_sh,2*SQRT((ABS(B26-$B$15)+lane_off)/a_sh))))</f>
        <v/>
      </c>
      <c r="G26" s="34" t="str">
        <f aca="false">IF(OR(A26&gt;NL_b,$B$16=""),"",IF((ABS(B26-$B$16)+lane_off)&lt;=0,0,IF((ABS(B26-$B$16)+lane_off)&gt;=v_sh^2/a_sh,(ABS(B26-$B$16)+lane_off)/v_sh+v_sh/a_sh,2*SQRT((ABS(B26-$B$16)+lane_off)/a_sh))))</f>
        <v/>
      </c>
      <c r="H26" s="34" t="str">
        <f aca="false">IF(OR(A26&gt;NL_b,$B$17=""),"",IF((ABS(B26-$B$17)+lane_off)&lt;=0,0,IF((ABS(B26-$B$17)+lane_off)&gt;=v_sh^2/a_sh,(ABS(B26-$B$17)+lane_off)/v_sh+v_sh/a_sh,2*SQRT((ABS(B26-$B$17)+lane_off)/a_sh))))</f>
        <v/>
      </c>
      <c r="I26" s="34" t="n">
        <f aca="false">IF(C26="","",2*C26+w_conv*$D$12/v_conv)</f>
        <v>40.5482142857143</v>
      </c>
      <c r="J26" s="34" t="n">
        <f aca="false">IF(D26="","",2*D26+w_conv*$D$13/v_conv)</f>
        <v>66.1196428571429</v>
      </c>
      <c r="K26" s="34" t="str">
        <f aca="false">IF(E26="","",2*E26+w_conv*$D$14/v_conv)</f>
        <v/>
      </c>
      <c r="L26" s="34" t="str">
        <f aca="false">IF(F26="","",2*F26+w_conv*$D$15/v_conv)</f>
        <v/>
      </c>
      <c r="M26" s="34" t="str">
        <f aca="false">IF(G26="","",2*G26+w_conv*$D$16/v_conv)</f>
        <v/>
      </c>
      <c r="N26" s="34" t="str">
        <f aca="false">IF(H26="","",2*H26+w_conv*$D$17/v_conv)</f>
        <v/>
      </c>
      <c r="O26" s="34" t="n">
        <f aca="false">IF(A26&gt;NL_b,"",MIN(I26:N26))</f>
        <v>40.5482142857143</v>
      </c>
      <c r="P26" s="34" t="n">
        <f aca="false">IF(O26="","",INDEX(C26:H26,MATCH(O26,I26:N26,0)))</f>
        <v>6.94285714285714</v>
      </c>
      <c r="Q26" s="34" t="n">
        <f aca="false">IF(O26="","",INDEX($D$12:$D$17,MATCH(O26,I26:N26,0)))</f>
        <v>35.55</v>
      </c>
    </row>
    <row r="27" customFormat="false" ht="15" hidden="false" customHeight="true" outlineLevel="0" collapsed="false">
      <c r="A27" s="54" t="n">
        <v>7</v>
      </c>
      <c r="B27" s="34" t="n">
        <f aca="false">(A27-0.5)*u_w</f>
        <v>6.5</v>
      </c>
      <c r="C27" s="34" t="n">
        <f aca="false">IF(OR(A27&gt;NL_b,$B$12=""),"",IF((ABS(B27-$B$12)+lane_off)&lt;=0,0,IF((ABS(B27-$B$12)+lane_off)&gt;=v_sh^2/a_sh,(ABS(B27-$B$12)+lane_off)/v_sh+v_sh/a_sh,2*SQRT((ABS(B27-$B$12)+lane_off)/a_sh))))</f>
        <v>6.22857142857143</v>
      </c>
      <c r="D27" s="34" t="n">
        <f aca="false">IF(OR(A27&gt;NL_b,$B$13=""),"",IF((ABS(B27-$B$13)+lane_off)&lt;=0,0,IF((ABS(B27-$B$13)+lane_off)&gt;=v_sh^2/a_sh,(ABS(B27-$B$13)+lane_off)/v_sh+v_sh/a_sh,2*SQRT((ABS(B27-$B$13)+lane_off)/a_sh))))</f>
        <v>20.5142857142857</v>
      </c>
      <c r="E27" s="34" t="str">
        <f aca="false">IF(OR(A27&gt;NL_b,$B$14=""),"",IF((ABS(B27-$B$14)+lane_off)&lt;=0,0,IF((ABS(B27-$B$14)+lane_off)&gt;=v_sh^2/a_sh,(ABS(B27-$B$14)+lane_off)/v_sh+v_sh/a_sh,2*SQRT((ABS(B27-$B$14)+lane_off)/a_sh))))</f>
        <v/>
      </c>
      <c r="F27" s="34" t="str">
        <f aca="false">IF(OR(A27&gt;NL_b,$B$15=""),"",IF((ABS(B27-$B$15)+lane_off)&lt;=0,0,IF((ABS(B27-$B$15)+lane_off)&gt;=v_sh^2/a_sh,(ABS(B27-$B$15)+lane_off)/v_sh+v_sh/a_sh,2*SQRT((ABS(B27-$B$15)+lane_off)/a_sh))))</f>
        <v/>
      </c>
      <c r="G27" s="34" t="str">
        <f aca="false">IF(OR(A27&gt;NL_b,$B$16=""),"",IF((ABS(B27-$B$16)+lane_off)&lt;=0,0,IF((ABS(B27-$B$16)+lane_off)&gt;=v_sh^2/a_sh,(ABS(B27-$B$16)+lane_off)/v_sh+v_sh/a_sh,2*SQRT((ABS(B27-$B$16)+lane_off)/a_sh))))</f>
        <v/>
      </c>
      <c r="H27" s="34" t="str">
        <f aca="false">IF(OR(A27&gt;NL_b,$B$17=""),"",IF((ABS(B27-$B$17)+lane_off)&lt;=0,0,IF((ABS(B27-$B$17)+lane_off)&gt;=v_sh^2/a_sh,(ABS(B27-$B$17)+lane_off)/v_sh+v_sh/a_sh,2*SQRT((ABS(B27-$B$17)+lane_off)/a_sh))))</f>
        <v/>
      </c>
      <c r="I27" s="34" t="n">
        <f aca="false">IF(C27="","",2*C27+w_conv*$D$12/v_conv)</f>
        <v>39.1196428571429</v>
      </c>
      <c r="J27" s="34" t="n">
        <f aca="false">IF(D27="","",2*D27+w_conv*$D$13/v_conv)</f>
        <v>64.6910714285714</v>
      </c>
      <c r="K27" s="34" t="str">
        <f aca="false">IF(E27="","",2*E27+w_conv*$D$14/v_conv)</f>
        <v/>
      </c>
      <c r="L27" s="34" t="str">
        <f aca="false">IF(F27="","",2*F27+w_conv*$D$15/v_conv)</f>
        <v/>
      </c>
      <c r="M27" s="34" t="str">
        <f aca="false">IF(G27="","",2*G27+w_conv*$D$16/v_conv)</f>
        <v/>
      </c>
      <c r="N27" s="34" t="str">
        <f aca="false">IF(H27="","",2*H27+w_conv*$D$17/v_conv)</f>
        <v/>
      </c>
      <c r="O27" s="34" t="n">
        <f aca="false">IF(A27&gt;NL_b,"",MIN(I27:N27))</f>
        <v>39.1196428571429</v>
      </c>
      <c r="P27" s="34" t="n">
        <f aca="false">IF(O27="","",INDEX(C27:H27,MATCH(O27,I27:N27,0)))</f>
        <v>6.22857142857143</v>
      </c>
      <c r="Q27" s="34" t="n">
        <f aca="false">IF(O27="","",INDEX($D$12:$D$17,MATCH(O27,I27:N27,0)))</f>
        <v>35.55</v>
      </c>
    </row>
    <row r="28" customFormat="false" ht="15" hidden="false" customHeight="true" outlineLevel="0" collapsed="false">
      <c r="A28" s="54" t="n">
        <v>8</v>
      </c>
      <c r="B28" s="34" t="n">
        <f aca="false">(A28-0.5)*u_w</f>
        <v>7.5</v>
      </c>
      <c r="C28" s="34" t="n">
        <f aca="false">IF(OR(A28&gt;NL_b,$B$12=""),"",IF((ABS(B28-$B$12)+lane_off)&lt;=0,0,IF((ABS(B28-$B$12)+lane_off)&gt;=v_sh^2/a_sh,(ABS(B28-$B$12)+lane_off)/v_sh+v_sh/a_sh,2*SQRT((ABS(B28-$B$12)+lane_off)/a_sh))))</f>
        <v>5.51361950083609</v>
      </c>
      <c r="D28" s="34" t="n">
        <f aca="false">IF(OR(A28&gt;NL_b,$B$13=""),"",IF((ABS(B28-$B$13)+lane_off)&lt;=0,0,IF((ABS(B28-$B$13)+lane_off)&gt;=v_sh^2/a_sh,(ABS(B28-$B$13)+lane_off)/v_sh+v_sh/a_sh,2*SQRT((ABS(B28-$B$13)+lane_off)/a_sh))))</f>
        <v>19.8</v>
      </c>
      <c r="E28" s="34" t="str">
        <f aca="false">IF(OR(A28&gt;NL_b,$B$14=""),"",IF((ABS(B28-$B$14)+lane_off)&lt;=0,0,IF((ABS(B28-$B$14)+lane_off)&gt;=v_sh^2/a_sh,(ABS(B28-$B$14)+lane_off)/v_sh+v_sh/a_sh,2*SQRT((ABS(B28-$B$14)+lane_off)/a_sh))))</f>
        <v/>
      </c>
      <c r="F28" s="34" t="str">
        <f aca="false">IF(OR(A28&gt;NL_b,$B$15=""),"",IF((ABS(B28-$B$15)+lane_off)&lt;=0,0,IF((ABS(B28-$B$15)+lane_off)&gt;=v_sh^2/a_sh,(ABS(B28-$B$15)+lane_off)/v_sh+v_sh/a_sh,2*SQRT((ABS(B28-$B$15)+lane_off)/a_sh))))</f>
        <v/>
      </c>
      <c r="G28" s="34" t="str">
        <f aca="false">IF(OR(A28&gt;NL_b,$B$16=""),"",IF((ABS(B28-$B$16)+lane_off)&lt;=0,0,IF((ABS(B28-$B$16)+lane_off)&gt;=v_sh^2/a_sh,(ABS(B28-$B$16)+lane_off)/v_sh+v_sh/a_sh,2*SQRT((ABS(B28-$B$16)+lane_off)/a_sh))))</f>
        <v/>
      </c>
      <c r="H28" s="34" t="str">
        <f aca="false">IF(OR(A28&gt;NL_b,$B$17=""),"",IF((ABS(B28-$B$17)+lane_off)&lt;=0,0,IF((ABS(B28-$B$17)+lane_off)&gt;=v_sh^2/a_sh,(ABS(B28-$B$17)+lane_off)/v_sh+v_sh/a_sh,2*SQRT((ABS(B28-$B$17)+lane_off)/a_sh))))</f>
        <v/>
      </c>
      <c r="I28" s="34" t="n">
        <f aca="false">IF(C28="","",2*C28+w_conv*$D$12/v_conv)</f>
        <v>37.6897390016722</v>
      </c>
      <c r="J28" s="34" t="n">
        <f aca="false">IF(D28="","",2*D28+w_conv*$D$13/v_conv)</f>
        <v>63.2625</v>
      </c>
      <c r="K28" s="34" t="str">
        <f aca="false">IF(E28="","",2*E28+w_conv*$D$14/v_conv)</f>
        <v/>
      </c>
      <c r="L28" s="34" t="str">
        <f aca="false">IF(F28="","",2*F28+w_conv*$D$15/v_conv)</f>
        <v/>
      </c>
      <c r="M28" s="34" t="str">
        <f aca="false">IF(G28="","",2*G28+w_conv*$D$16/v_conv)</f>
        <v/>
      </c>
      <c r="N28" s="34" t="str">
        <f aca="false">IF(H28="","",2*H28+w_conv*$D$17/v_conv)</f>
        <v/>
      </c>
      <c r="O28" s="34" t="n">
        <f aca="false">IF(A28&gt;NL_b,"",MIN(I28:N28))</f>
        <v>37.6897390016722</v>
      </c>
      <c r="P28" s="34" t="n">
        <f aca="false">IF(O28="","",INDEX(C28:H28,MATCH(O28,I28:N28,0)))</f>
        <v>5.51361950083609</v>
      </c>
      <c r="Q28" s="34" t="n">
        <f aca="false">IF(O28="","",INDEX($D$12:$D$17,MATCH(O28,I28:N28,0)))</f>
        <v>35.55</v>
      </c>
    </row>
    <row r="29" customFormat="false" ht="15" hidden="false" customHeight="true" outlineLevel="0" collapsed="false">
      <c r="A29" s="54" t="n">
        <v>9</v>
      </c>
      <c r="B29" s="34" t="n">
        <f aca="false">(A29-0.5)*u_w</f>
        <v>8.5</v>
      </c>
      <c r="C29" s="34" t="n">
        <f aca="false">IF(OR(A29&gt;NL_b,$B$12=""),"",IF((ABS(B29-$B$12)+lane_off)&lt;=0,0,IF((ABS(B29-$B$12)+lane_off)&gt;=v_sh^2/a_sh,(ABS(B29-$B$12)+lane_off)/v_sh+v_sh/a_sh,2*SQRT((ABS(B29-$B$12)+lane_off)/a_sh))))</f>
        <v>4.73286382647969</v>
      </c>
      <c r="D29" s="34" t="n">
        <f aca="false">IF(OR(A29&gt;NL_b,$B$13=""),"",IF((ABS(B29-$B$13)+lane_off)&lt;=0,0,IF((ABS(B29-$B$13)+lane_off)&gt;=v_sh^2/a_sh,(ABS(B29-$B$13)+lane_off)/v_sh+v_sh/a_sh,2*SQRT((ABS(B29-$B$13)+lane_off)/a_sh))))</f>
        <v>19.0857142857143</v>
      </c>
      <c r="E29" s="34" t="str">
        <f aca="false">IF(OR(A29&gt;NL_b,$B$14=""),"",IF((ABS(B29-$B$14)+lane_off)&lt;=0,0,IF((ABS(B29-$B$14)+lane_off)&gt;=v_sh^2/a_sh,(ABS(B29-$B$14)+lane_off)/v_sh+v_sh/a_sh,2*SQRT((ABS(B29-$B$14)+lane_off)/a_sh))))</f>
        <v/>
      </c>
      <c r="F29" s="34" t="str">
        <f aca="false">IF(OR(A29&gt;NL_b,$B$15=""),"",IF((ABS(B29-$B$15)+lane_off)&lt;=0,0,IF((ABS(B29-$B$15)+lane_off)&gt;=v_sh^2/a_sh,(ABS(B29-$B$15)+lane_off)/v_sh+v_sh/a_sh,2*SQRT((ABS(B29-$B$15)+lane_off)/a_sh))))</f>
        <v/>
      </c>
      <c r="G29" s="34" t="str">
        <f aca="false">IF(OR(A29&gt;NL_b,$B$16=""),"",IF((ABS(B29-$B$16)+lane_off)&lt;=0,0,IF((ABS(B29-$B$16)+lane_off)&gt;=v_sh^2/a_sh,(ABS(B29-$B$16)+lane_off)/v_sh+v_sh/a_sh,2*SQRT((ABS(B29-$B$16)+lane_off)/a_sh))))</f>
        <v/>
      </c>
      <c r="H29" s="34" t="str">
        <f aca="false">IF(OR(A29&gt;NL_b,$B$17=""),"",IF((ABS(B29-$B$17)+lane_off)&lt;=0,0,IF((ABS(B29-$B$17)+lane_off)&gt;=v_sh^2/a_sh,(ABS(B29-$B$17)+lane_off)/v_sh+v_sh/a_sh,2*SQRT((ABS(B29-$B$17)+lane_off)/a_sh))))</f>
        <v/>
      </c>
      <c r="I29" s="34" t="n">
        <f aca="false">IF(C29="","",2*C29+w_conv*$D$12/v_conv)</f>
        <v>36.1282276529594</v>
      </c>
      <c r="J29" s="34" t="n">
        <f aca="false">IF(D29="","",2*D29+w_conv*$D$13/v_conv)</f>
        <v>61.8339285714286</v>
      </c>
      <c r="K29" s="34" t="str">
        <f aca="false">IF(E29="","",2*E29+w_conv*$D$14/v_conv)</f>
        <v/>
      </c>
      <c r="L29" s="34" t="str">
        <f aca="false">IF(F29="","",2*F29+w_conv*$D$15/v_conv)</f>
        <v/>
      </c>
      <c r="M29" s="34" t="str">
        <f aca="false">IF(G29="","",2*G29+w_conv*$D$16/v_conv)</f>
        <v/>
      </c>
      <c r="N29" s="34" t="str">
        <f aca="false">IF(H29="","",2*H29+w_conv*$D$17/v_conv)</f>
        <v/>
      </c>
      <c r="O29" s="34" t="n">
        <f aca="false">IF(A29&gt;NL_b,"",MIN(I29:N29))</f>
        <v>36.1282276529594</v>
      </c>
      <c r="P29" s="34" t="n">
        <f aca="false">IF(O29="","",INDEX(C29:H29,MATCH(O29,I29:N29,0)))</f>
        <v>4.73286382647969</v>
      </c>
      <c r="Q29" s="34" t="n">
        <f aca="false">IF(O29="","",INDEX($D$12:$D$17,MATCH(O29,I29:N29,0)))</f>
        <v>35.55</v>
      </c>
    </row>
    <row r="30" customFormat="false" ht="15" hidden="false" customHeight="true" outlineLevel="0" collapsed="false">
      <c r="A30" s="54" t="n">
        <v>10</v>
      </c>
      <c r="B30" s="34" t="n">
        <f aca="false">(A30-0.5)*u_w</f>
        <v>9.5</v>
      </c>
      <c r="C30" s="34" t="n">
        <f aca="false">IF(OR(A30&gt;NL_b,$B$12=""),"",IF((ABS(B30-$B$12)+lane_off)&lt;=0,0,IF((ABS(B30-$B$12)+lane_off)&gt;=v_sh^2/a_sh,(ABS(B30-$B$12)+lane_off)/v_sh+v_sh/a_sh,2*SQRT((ABS(B30-$B$12)+lane_off)/a_sh))))</f>
        <v>3.79473319220206</v>
      </c>
      <c r="D30" s="34" t="n">
        <f aca="false">IF(OR(A30&gt;NL_b,$B$13=""),"",IF((ABS(B30-$B$13)+lane_off)&lt;=0,0,IF((ABS(B30-$B$13)+lane_off)&gt;=v_sh^2/a_sh,(ABS(B30-$B$13)+lane_off)/v_sh+v_sh/a_sh,2*SQRT((ABS(B30-$B$13)+lane_off)/a_sh))))</f>
        <v>18.3714285714286</v>
      </c>
      <c r="E30" s="34" t="str">
        <f aca="false">IF(OR(A30&gt;NL_b,$B$14=""),"",IF((ABS(B30-$B$14)+lane_off)&lt;=0,0,IF((ABS(B30-$B$14)+lane_off)&gt;=v_sh^2/a_sh,(ABS(B30-$B$14)+lane_off)/v_sh+v_sh/a_sh,2*SQRT((ABS(B30-$B$14)+lane_off)/a_sh))))</f>
        <v/>
      </c>
      <c r="F30" s="34" t="str">
        <f aca="false">IF(OR(A30&gt;NL_b,$B$15=""),"",IF((ABS(B30-$B$15)+lane_off)&lt;=0,0,IF((ABS(B30-$B$15)+lane_off)&gt;=v_sh^2/a_sh,(ABS(B30-$B$15)+lane_off)/v_sh+v_sh/a_sh,2*SQRT((ABS(B30-$B$15)+lane_off)/a_sh))))</f>
        <v/>
      </c>
      <c r="G30" s="34" t="str">
        <f aca="false">IF(OR(A30&gt;NL_b,$B$16=""),"",IF((ABS(B30-$B$16)+lane_off)&lt;=0,0,IF((ABS(B30-$B$16)+lane_off)&gt;=v_sh^2/a_sh,(ABS(B30-$B$16)+lane_off)/v_sh+v_sh/a_sh,2*SQRT((ABS(B30-$B$16)+lane_off)/a_sh))))</f>
        <v/>
      </c>
      <c r="H30" s="34" t="str">
        <f aca="false">IF(OR(A30&gt;NL_b,$B$17=""),"",IF((ABS(B30-$B$17)+lane_off)&lt;=0,0,IF((ABS(B30-$B$17)+lane_off)&gt;=v_sh^2/a_sh,(ABS(B30-$B$17)+lane_off)/v_sh+v_sh/a_sh,2*SQRT((ABS(B30-$B$17)+lane_off)/a_sh))))</f>
        <v/>
      </c>
      <c r="I30" s="34" t="n">
        <f aca="false">IF(C30="","",2*C30+w_conv*$D$12/v_conv)</f>
        <v>34.2519663844041</v>
      </c>
      <c r="J30" s="34" t="n">
        <f aca="false">IF(D30="","",2*D30+w_conv*$D$13/v_conv)</f>
        <v>60.4053571428571</v>
      </c>
      <c r="K30" s="34" t="str">
        <f aca="false">IF(E30="","",2*E30+w_conv*$D$14/v_conv)</f>
        <v/>
      </c>
      <c r="L30" s="34" t="str">
        <f aca="false">IF(F30="","",2*F30+w_conv*$D$15/v_conv)</f>
        <v/>
      </c>
      <c r="M30" s="34" t="str">
        <f aca="false">IF(G30="","",2*G30+w_conv*$D$16/v_conv)</f>
        <v/>
      </c>
      <c r="N30" s="34" t="str">
        <f aca="false">IF(H30="","",2*H30+w_conv*$D$17/v_conv)</f>
        <v/>
      </c>
      <c r="O30" s="34" t="n">
        <f aca="false">IF(A30&gt;NL_b,"",MIN(I30:N30))</f>
        <v>34.2519663844041</v>
      </c>
      <c r="P30" s="34" t="n">
        <f aca="false">IF(O30="","",INDEX(C30:H30,MATCH(O30,I30:N30,0)))</f>
        <v>3.79473319220206</v>
      </c>
      <c r="Q30" s="34" t="n">
        <f aca="false">IF(O30="","",INDEX($D$12:$D$17,MATCH(O30,I30:N30,0)))</f>
        <v>35.55</v>
      </c>
    </row>
    <row r="31" customFormat="false" ht="15" hidden="false" customHeight="true" outlineLevel="0" collapsed="false">
      <c r="A31" s="54" t="n">
        <v>11</v>
      </c>
      <c r="B31" s="34" t="n">
        <f aca="false">(A31-0.5)*u_w</f>
        <v>10.5</v>
      </c>
      <c r="C31" s="34" t="n">
        <f aca="false">IF(OR(A31&gt;NL_b,$B$12=""),"",IF((ABS(B31-$B$12)+lane_off)&lt;=0,0,IF((ABS(B31-$B$12)+lane_off)&gt;=v_sh^2/a_sh,(ABS(B31-$B$12)+lane_off)/v_sh+v_sh/a_sh,2*SQRT((ABS(B31-$B$12)+lane_off)/a_sh))))</f>
        <v>3.79473319220206</v>
      </c>
      <c r="D31" s="34" t="n">
        <f aca="false">IF(OR(A31&gt;NL_b,$B$13=""),"",IF((ABS(B31-$B$13)+lane_off)&lt;=0,0,IF((ABS(B31-$B$13)+lane_off)&gt;=v_sh^2/a_sh,(ABS(B31-$B$13)+lane_off)/v_sh+v_sh/a_sh,2*SQRT((ABS(B31-$B$13)+lane_off)/a_sh))))</f>
        <v>17.6571428571429</v>
      </c>
      <c r="E31" s="34" t="str">
        <f aca="false">IF(OR(A31&gt;NL_b,$B$14=""),"",IF((ABS(B31-$B$14)+lane_off)&lt;=0,0,IF((ABS(B31-$B$14)+lane_off)&gt;=v_sh^2/a_sh,(ABS(B31-$B$14)+lane_off)/v_sh+v_sh/a_sh,2*SQRT((ABS(B31-$B$14)+lane_off)/a_sh))))</f>
        <v/>
      </c>
      <c r="F31" s="34" t="str">
        <f aca="false">IF(OR(A31&gt;NL_b,$B$15=""),"",IF((ABS(B31-$B$15)+lane_off)&lt;=0,0,IF((ABS(B31-$B$15)+lane_off)&gt;=v_sh^2/a_sh,(ABS(B31-$B$15)+lane_off)/v_sh+v_sh/a_sh,2*SQRT((ABS(B31-$B$15)+lane_off)/a_sh))))</f>
        <v/>
      </c>
      <c r="G31" s="34" t="str">
        <f aca="false">IF(OR(A31&gt;NL_b,$B$16=""),"",IF((ABS(B31-$B$16)+lane_off)&lt;=0,0,IF((ABS(B31-$B$16)+lane_off)&gt;=v_sh^2/a_sh,(ABS(B31-$B$16)+lane_off)/v_sh+v_sh/a_sh,2*SQRT((ABS(B31-$B$16)+lane_off)/a_sh))))</f>
        <v/>
      </c>
      <c r="H31" s="34" t="str">
        <f aca="false">IF(OR(A31&gt;NL_b,$B$17=""),"",IF((ABS(B31-$B$17)+lane_off)&lt;=0,0,IF((ABS(B31-$B$17)+lane_off)&gt;=v_sh^2/a_sh,(ABS(B31-$B$17)+lane_off)/v_sh+v_sh/a_sh,2*SQRT((ABS(B31-$B$17)+lane_off)/a_sh))))</f>
        <v/>
      </c>
      <c r="I31" s="34" t="n">
        <f aca="false">IF(C31="","",2*C31+w_conv*$D$12/v_conv)</f>
        <v>34.2519663844041</v>
      </c>
      <c r="J31" s="34" t="n">
        <f aca="false">IF(D31="","",2*D31+w_conv*$D$13/v_conv)</f>
        <v>58.9767857142857</v>
      </c>
      <c r="K31" s="34" t="str">
        <f aca="false">IF(E31="","",2*E31+w_conv*$D$14/v_conv)</f>
        <v/>
      </c>
      <c r="L31" s="34" t="str">
        <f aca="false">IF(F31="","",2*F31+w_conv*$D$15/v_conv)</f>
        <v/>
      </c>
      <c r="M31" s="34" t="str">
        <f aca="false">IF(G31="","",2*G31+w_conv*$D$16/v_conv)</f>
        <v/>
      </c>
      <c r="N31" s="34" t="str">
        <f aca="false">IF(H31="","",2*H31+w_conv*$D$17/v_conv)</f>
        <v/>
      </c>
      <c r="O31" s="34" t="n">
        <f aca="false">IF(A31&gt;NL_b,"",MIN(I31:N31))</f>
        <v>34.2519663844041</v>
      </c>
      <c r="P31" s="34" t="n">
        <f aca="false">IF(O31="","",INDEX(C31:H31,MATCH(O31,I31:N31,0)))</f>
        <v>3.79473319220206</v>
      </c>
      <c r="Q31" s="34" t="n">
        <f aca="false">IF(O31="","",INDEX($D$12:$D$17,MATCH(O31,I31:N31,0)))</f>
        <v>35.55</v>
      </c>
    </row>
    <row r="32" customFormat="false" ht="15" hidden="false" customHeight="true" outlineLevel="0" collapsed="false">
      <c r="A32" s="54" t="n">
        <v>12</v>
      </c>
      <c r="B32" s="34" t="n">
        <f aca="false">(A32-0.5)*u_w</f>
        <v>11.5</v>
      </c>
      <c r="C32" s="34" t="n">
        <f aca="false">IF(OR(A32&gt;NL_b,$B$12=""),"",IF((ABS(B32-$B$12)+lane_off)&lt;=0,0,IF((ABS(B32-$B$12)+lane_off)&gt;=v_sh^2/a_sh,(ABS(B32-$B$12)+lane_off)/v_sh+v_sh/a_sh,2*SQRT((ABS(B32-$B$12)+lane_off)/a_sh))))</f>
        <v>4.73286382647969</v>
      </c>
      <c r="D32" s="34" t="n">
        <f aca="false">IF(OR(A32&gt;NL_b,$B$13=""),"",IF((ABS(B32-$B$13)+lane_off)&lt;=0,0,IF((ABS(B32-$B$13)+lane_off)&gt;=v_sh^2/a_sh,(ABS(B32-$B$13)+lane_off)/v_sh+v_sh/a_sh,2*SQRT((ABS(B32-$B$13)+lane_off)/a_sh))))</f>
        <v>16.9428571428571</v>
      </c>
      <c r="E32" s="34" t="str">
        <f aca="false">IF(OR(A32&gt;NL_b,$B$14=""),"",IF((ABS(B32-$B$14)+lane_off)&lt;=0,0,IF((ABS(B32-$B$14)+lane_off)&gt;=v_sh^2/a_sh,(ABS(B32-$B$14)+lane_off)/v_sh+v_sh/a_sh,2*SQRT((ABS(B32-$B$14)+lane_off)/a_sh))))</f>
        <v/>
      </c>
      <c r="F32" s="34" t="str">
        <f aca="false">IF(OR(A32&gt;NL_b,$B$15=""),"",IF((ABS(B32-$B$15)+lane_off)&lt;=0,0,IF((ABS(B32-$B$15)+lane_off)&gt;=v_sh^2/a_sh,(ABS(B32-$B$15)+lane_off)/v_sh+v_sh/a_sh,2*SQRT((ABS(B32-$B$15)+lane_off)/a_sh))))</f>
        <v/>
      </c>
      <c r="G32" s="34" t="str">
        <f aca="false">IF(OR(A32&gt;NL_b,$B$16=""),"",IF((ABS(B32-$B$16)+lane_off)&lt;=0,0,IF((ABS(B32-$B$16)+lane_off)&gt;=v_sh^2/a_sh,(ABS(B32-$B$16)+lane_off)/v_sh+v_sh/a_sh,2*SQRT((ABS(B32-$B$16)+lane_off)/a_sh))))</f>
        <v/>
      </c>
      <c r="H32" s="34" t="str">
        <f aca="false">IF(OR(A32&gt;NL_b,$B$17=""),"",IF((ABS(B32-$B$17)+lane_off)&lt;=0,0,IF((ABS(B32-$B$17)+lane_off)&gt;=v_sh^2/a_sh,(ABS(B32-$B$17)+lane_off)/v_sh+v_sh/a_sh,2*SQRT((ABS(B32-$B$17)+lane_off)/a_sh))))</f>
        <v/>
      </c>
      <c r="I32" s="34" t="n">
        <f aca="false">IF(C32="","",2*C32+w_conv*$D$12/v_conv)</f>
        <v>36.1282276529594</v>
      </c>
      <c r="J32" s="34" t="n">
        <f aca="false">IF(D32="","",2*D32+w_conv*$D$13/v_conv)</f>
        <v>57.5482142857143</v>
      </c>
      <c r="K32" s="34" t="str">
        <f aca="false">IF(E32="","",2*E32+w_conv*$D$14/v_conv)</f>
        <v/>
      </c>
      <c r="L32" s="34" t="str">
        <f aca="false">IF(F32="","",2*F32+w_conv*$D$15/v_conv)</f>
        <v/>
      </c>
      <c r="M32" s="34" t="str">
        <f aca="false">IF(G32="","",2*G32+w_conv*$D$16/v_conv)</f>
        <v/>
      </c>
      <c r="N32" s="34" t="str">
        <f aca="false">IF(H32="","",2*H32+w_conv*$D$17/v_conv)</f>
        <v/>
      </c>
      <c r="O32" s="34" t="n">
        <f aca="false">IF(A32&gt;NL_b,"",MIN(I32:N32))</f>
        <v>36.1282276529594</v>
      </c>
      <c r="P32" s="34" t="n">
        <f aca="false">IF(O32="","",INDEX(C32:H32,MATCH(O32,I32:N32,0)))</f>
        <v>4.73286382647969</v>
      </c>
      <c r="Q32" s="34" t="n">
        <f aca="false">IF(O32="","",INDEX($D$12:$D$17,MATCH(O32,I32:N32,0)))</f>
        <v>35.55</v>
      </c>
    </row>
    <row r="33" customFormat="false" ht="15" hidden="false" customHeight="true" outlineLevel="0" collapsed="false">
      <c r="A33" s="54" t="n">
        <v>13</v>
      </c>
      <c r="B33" s="34" t="n">
        <f aca="false">(A33-0.5)*u_w</f>
        <v>12.5</v>
      </c>
      <c r="C33" s="34" t="n">
        <f aca="false">IF(OR(A33&gt;NL_b,$B$12=""),"",IF((ABS(B33-$B$12)+lane_off)&lt;=0,0,IF((ABS(B33-$B$12)+lane_off)&gt;=v_sh^2/a_sh,(ABS(B33-$B$12)+lane_off)/v_sh+v_sh/a_sh,2*SQRT((ABS(B33-$B$12)+lane_off)/a_sh))))</f>
        <v>5.51361950083609</v>
      </c>
      <c r="D33" s="34" t="n">
        <f aca="false">IF(OR(A33&gt;NL_b,$B$13=""),"",IF((ABS(B33-$B$13)+lane_off)&lt;=0,0,IF((ABS(B33-$B$13)+lane_off)&gt;=v_sh^2/a_sh,(ABS(B33-$B$13)+lane_off)/v_sh+v_sh/a_sh,2*SQRT((ABS(B33-$B$13)+lane_off)/a_sh))))</f>
        <v>16.2285714285714</v>
      </c>
      <c r="E33" s="34" t="str">
        <f aca="false">IF(OR(A33&gt;NL_b,$B$14=""),"",IF((ABS(B33-$B$14)+lane_off)&lt;=0,0,IF((ABS(B33-$B$14)+lane_off)&gt;=v_sh^2/a_sh,(ABS(B33-$B$14)+lane_off)/v_sh+v_sh/a_sh,2*SQRT((ABS(B33-$B$14)+lane_off)/a_sh))))</f>
        <v/>
      </c>
      <c r="F33" s="34" t="str">
        <f aca="false">IF(OR(A33&gt;NL_b,$B$15=""),"",IF((ABS(B33-$B$15)+lane_off)&lt;=0,0,IF((ABS(B33-$B$15)+lane_off)&gt;=v_sh^2/a_sh,(ABS(B33-$B$15)+lane_off)/v_sh+v_sh/a_sh,2*SQRT((ABS(B33-$B$15)+lane_off)/a_sh))))</f>
        <v/>
      </c>
      <c r="G33" s="34" t="str">
        <f aca="false">IF(OR(A33&gt;NL_b,$B$16=""),"",IF((ABS(B33-$B$16)+lane_off)&lt;=0,0,IF((ABS(B33-$B$16)+lane_off)&gt;=v_sh^2/a_sh,(ABS(B33-$B$16)+lane_off)/v_sh+v_sh/a_sh,2*SQRT((ABS(B33-$B$16)+lane_off)/a_sh))))</f>
        <v/>
      </c>
      <c r="H33" s="34" t="str">
        <f aca="false">IF(OR(A33&gt;NL_b,$B$17=""),"",IF((ABS(B33-$B$17)+lane_off)&lt;=0,0,IF((ABS(B33-$B$17)+lane_off)&gt;=v_sh^2/a_sh,(ABS(B33-$B$17)+lane_off)/v_sh+v_sh/a_sh,2*SQRT((ABS(B33-$B$17)+lane_off)/a_sh))))</f>
        <v/>
      </c>
      <c r="I33" s="34" t="n">
        <f aca="false">IF(C33="","",2*C33+w_conv*$D$12/v_conv)</f>
        <v>37.6897390016722</v>
      </c>
      <c r="J33" s="34" t="n">
        <f aca="false">IF(D33="","",2*D33+w_conv*$D$13/v_conv)</f>
        <v>56.1196428571429</v>
      </c>
      <c r="K33" s="34" t="str">
        <f aca="false">IF(E33="","",2*E33+w_conv*$D$14/v_conv)</f>
        <v/>
      </c>
      <c r="L33" s="34" t="str">
        <f aca="false">IF(F33="","",2*F33+w_conv*$D$15/v_conv)</f>
        <v/>
      </c>
      <c r="M33" s="34" t="str">
        <f aca="false">IF(G33="","",2*G33+w_conv*$D$16/v_conv)</f>
        <v/>
      </c>
      <c r="N33" s="34" t="str">
        <f aca="false">IF(H33="","",2*H33+w_conv*$D$17/v_conv)</f>
        <v/>
      </c>
      <c r="O33" s="34" t="n">
        <f aca="false">IF(A33&gt;NL_b,"",MIN(I33:N33))</f>
        <v>37.6897390016722</v>
      </c>
      <c r="P33" s="34" t="n">
        <f aca="false">IF(O33="","",INDEX(C33:H33,MATCH(O33,I33:N33,0)))</f>
        <v>5.51361950083609</v>
      </c>
      <c r="Q33" s="34" t="n">
        <f aca="false">IF(O33="","",INDEX($D$12:$D$17,MATCH(O33,I33:N33,0)))</f>
        <v>35.55</v>
      </c>
    </row>
    <row r="34" customFormat="false" ht="15" hidden="false" customHeight="true" outlineLevel="0" collapsed="false">
      <c r="A34" s="54" t="n">
        <v>14</v>
      </c>
      <c r="B34" s="34" t="n">
        <f aca="false">(A34-0.5)*u_w</f>
        <v>13.5</v>
      </c>
      <c r="C34" s="34" t="n">
        <f aca="false">IF(OR(A34&gt;NL_b,$B$12=""),"",IF((ABS(B34-$B$12)+lane_off)&lt;=0,0,IF((ABS(B34-$B$12)+lane_off)&gt;=v_sh^2/a_sh,(ABS(B34-$B$12)+lane_off)/v_sh+v_sh/a_sh,2*SQRT((ABS(B34-$B$12)+lane_off)/a_sh))))</f>
        <v>6.22857142857143</v>
      </c>
      <c r="D34" s="34" t="n">
        <f aca="false">IF(OR(A34&gt;NL_b,$B$13=""),"",IF((ABS(B34-$B$13)+lane_off)&lt;=0,0,IF((ABS(B34-$B$13)+lane_off)&gt;=v_sh^2/a_sh,(ABS(B34-$B$13)+lane_off)/v_sh+v_sh/a_sh,2*SQRT((ABS(B34-$B$13)+lane_off)/a_sh))))</f>
        <v>15.5142857142857</v>
      </c>
      <c r="E34" s="34" t="str">
        <f aca="false">IF(OR(A34&gt;NL_b,$B$14=""),"",IF((ABS(B34-$B$14)+lane_off)&lt;=0,0,IF((ABS(B34-$B$14)+lane_off)&gt;=v_sh^2/a_sh,(ABS(B34-$B$14)+lane_off)/v_sh+v_sh/a_sh,2*SQRT((ABS(B34-$B$14)+lane_off)/a_sh))))</f>
        <v/>
      </c>
      <c r="F34" s="34" t="str">
        <f aca="false">IF(OR(A34&gt;NL_b,$B$15=""),"",IF((ABS(B34-$B$15)+lane_off)&lt;=0,0,IF((ABS(B34-$B$15)+lane_off)&gt;=v_sh^2/a_sh,(ABS(B34-$B$15)+lane_off)/v_sh+v_sh/a_sh,2*SQRT((ABS(B34-$B$15)+lane_off)/a_sh))))</f>
        <v/>
      </c>
      <c r="G34" s="34" t="str">
        <f aca="false">IF(OR(A34&gt;NL_b,$B$16=""),"",IF((ABS(B34-$B$16)+lane_off)&lt;=0,0,IF((ABS(B34-$B$16)+lane_off)&gt;=v_sh^2/a_sh,(ABS(B34-$B$16)+lane_off)/v_sh+v_sh/a_sh,2*SQRT((ABS(B34-$B$16)+lane_off)/a_sh))))</f>
        <v/>
      </c>
      <c r="H34" s="34" t="str">
        <f aca="false">IF(OR(A34&gt;NL_b,$B$17=""),"",IF((ABS(B34-$B$17)+lane_off)&lt;=0,0,IF((ABS(B34-$B$17)+lane_off)&gt;=v_sh^2/a_sh,(ABS(B34-$B$17)+lane_off)/v_sh+v_sh/a_sh,2*SQRT((ABS(B34-$B$17)+lane_off)/a_sh))))</f>
        <v/>
      </c>
      <c r="I34" s="34" t="n">
        <f aca="false">IF(C34="","",2*C34+w_conv*$D$12/v_conv)</f>
        <v>39.1196428571429</v>
      </c>
      <c r="J34" s="34" t="n">
        <f aca="false">IF(D34="","",2*D34+w_conv*$D$13/v_conv)</f>
        <v>54.6910714285714</v>
      </c>
      <c r="K34" s="34" t="str">
        <f aca="false">IF(E34="","",2*E34+w_conv*$D$14/v_conv)</f>
        <v/>
      </c>
      <c r="L34" s="34" t="str">
        <f aca="false">IF(F34="","",2*F34+w_conv*$D$15/v_conv)</f>
        <v/>
      </c>
      <c r="M34" s="34" t="str">
        <f aca="false">IF(G34="","",2*G34+w_conv*$D$16/v_conv)</f>
        <v/>
      </c>
      <c r="N34" s="34" t="str">
        <f aca="false">IF(H34="","",2*H34+w_conv*$D$17/v_conv)</f>
        <v/>
      </c>
      <c r="O34" s="34" t="n">
        <f aca="false">IF(A34&gt;NL_b,"",MIN(I34:N34))</f>
        <v>39.1196428571429</v>
      </c>
      <c r="P34" s="34" t="n">
        <f aca="false">IF(O34="","",INDEX(C34:H34,MATCH(O34,I34:N34,0)))</f>
        <v>6.22857142857143</v>
      </c>
      <c r="Q34" s="34" t="n">
        <f aca="false">IF(O34="","",INDEX($D$12:$D$17,MATCH(O34,I34:N34,0)))</f>
        <v>35.55</v>
      </c>
    </row>
    <row r="35" customFormat="false" ht="15" hidden="false" customHeight="true" outlineLevel="0" collapsed="false">
      <c r="A35" s="54" t="n">
        <v>15</v>
      </c>
      <c r="B35" s="34" t="n">
        <f aca="false">(A35-0.5)*u_w</f>
        <v>14.5</v>
      </c>
      <c r="C35" s="34" t="n">
        <f aca="false">IF(OR(A35&gt;NL_b,$B$12=""),"",IF((ABS(B35-$B$12)+lane_off)&lt;=0,0,IF((ABS(B35-$B$12)+lane_off)&gt;=v_sh^2/a_sh,(ABS(B35-$B$12)+lane_off)/v_sh+v_sh/a_sh,2*SQRT((ABS(B35-$B$12)+lane_off)/a_sh))))</f>
        <v>6.94285714285714</v>
      </c>
      <c r="D35" s="34" t="n">
        <f aca="false">IF(OR(A35&gt;NL_b,$B$13=""),"",IF((ABS(B35-$B$13)+lane_off)&lt;=0,0,IF((ABS(B35-$B$13)+lane_off)&gt;=v_sh^2/a_sh,(ABS(B35-$B$13)+lane_off)/v_sh+v_sh/a_sh,2*SQRT((ABS(B35-$B$13)+lane_off)/a_sh))))</f>
        <v>14.8</v>
      </c>
      <c r="E35" s="34" t="str">
        <f aca="false">IF(OR(A35&gt;NL_b,$B$14=""),"",IF((ABS(B35-$B$14)+lane_off)&lt;=0,0,IF((ABS(B35-$B$14)+lane_off)&gt;=v_sh^2/a_sh,(ABS(B35-$B$14)+lane_off)/v_sh+v_sh/a_sh,2*SQRT((ABS(B35-$B$14)+lane_off)/a_sh))))</f>
        <v/>
      </c>
      <c r="F35" s="34" t="str">
        <f aca="false">IF(OR(A35&gt;NL_b,$B$15=""),"",IF((ABS(B35-$B$15)+lane_off)&lt;=0,0,IF((ABS(B35-$B$15)+lane_off)&gt;=v_sh^2/a_sh,(ABS(B35-$B$15)+lane_off)/v_sh+v_sh/a_sh,2*SQRT((ABS(B35-$B$15)+lane_off)/a_sh))))</f>
        <v/>
      </c>
      <c r="G35" s="34" t="str">
        <f aca="false">IF(OR(A35&gt;NL_b,$B$16=""),"",IF((ABS(B35-$B$16)+lane_off)&lt;=0,0,IF((ABS(B35-$B$16)+lane_off)&gt;=v_sh^2/a_sh,(ABS(B35-$B$16)+lane_off)/v_sh+v_sh/a_sh,2*SQRT((ABS(B35-$B$16)+lane_off)/a_sh))))</f>
        <v/>
      </c>
      <c r="H35" s="34" t="str">
        <f aca="false">IF(OR(A35&gt;NL_b,$B$17=""),"",IF((ABS(B35-$B$17)+lane_off)&lt;=0,0,IF((ABS(B35-$B$17)+lane_off)&gt;=v_sh^2/a_sh,(ABS(B35-$B$17)+lane_off)/v_sh+v_sh/a_sh,2*SQRT((ABS(B35-$B$17)+lane_off)/a_sh))))</f>
        <v/>
      </c>
      <c r="I35" s="34" t="n">
        <f aca="false">IF(C35="","",2*C35+w_conv*$D$12/v_conv)</f>
        <v>40.5482142857143</v>
      </c>
      <c r="J35" s="34" t="n">
        <f aca="false">IF(D35="","",2*D35+w_conv*$D$13/v_conv)</f>
        <v>53.2625</v>
      </c>
      <c r="K35" s="34" t="str">
        <f aca="false">IF(E35="","",2*E35+w_conv*$D$14/v_conv)</f>
        <v/>
      </c>
      <c r="L35" s="34" t="str">
        <f aca="false">IF(F35="","",2*F35+w_conv*$D$15/v_conv)</f>
        <v/>
      </c>
      <c r="M35" s="34" t="str">
        <f aca="false">IF(G35="","",2*G35+w_conv*$D$16/v_conv)</f>
        <v/>
      </c>
      <c r="N35" s="34" t="str">
        <f aca="false">IF(H35="","",2*H35+w_conv*$D$17/v_conv)</f>
        <v/>
      </c>
      <c r="O35" s="34" t="n">
        <f aca="false">IF(A35&gt;NL_b,"",MIN(I35:N35))</f>
        <v>40.5482142857143</v>
      </c>
      <c r="P35" s="34" t="n">
        <f aca="false">IF(O35="","",INDEX(C35:H35,MATCH(O35,I35:N35,0)))</f>
        <v>6.94285714285714</v>
      </c>
      <c r="Q35" s="34" t="n">
        <f aca="false">IF(O35="","",INDEX($D$12:$D$17,MATCH(O35,I35:N35,0)))</f>
        <v>35.55</v>
      </c>
    </row>
    <row r="36" customFormat="false" ht="15" hidden="false" customHeight="true" outlineLevel="0" collapsed="false">
      <c r="A36" s="54" t="n">
        <v>16</v>
      </c>
      <c r="B36" s="34" t="n">
        <f aca="false">(A36-0.5)*u_w</f>
        <v>15.5</v>
      </c>
      <c r="C36" s="34" t="n">
        <f aca="false">IF(OR(A36&gt;NL_b,$B$12=""),"",IF((ABS(B36-$B$12)+lane_off)&lt;=0,0,IF((ABS(B36-$B$12)+lane_off)&gt;=v_sh^2/a_sh,(ABS(B36-$B$12)+lane_off)/v_sh+v_sh/a_sh,2*SQRT((ABS(B36-$B$12)+lane_off)/a_sh))))</f>
        <v>7.65714285714286</v>
      </c>
      <c r="D36" s="34" t="n">
        <f aca="false">IF(OR(A36&gt;NL_b,$B$13=""),"",IF((ABS(B36-$B$13)+lane_off)&lt;=0,0,IF((ABS(B36-$B$13)+lane_off)&gt;=v_sh^2/a_sh,(ABS(B36-$B$13)+lane_off)/v_sh+v_sh/a_sh,2*SQRT((ABS(B36-$B$13)+lane_off)/a_sh))))</f>
        <v>14.0857142857143</v>
      </c>
      <c r="E36" s="34" t="str">
        <f aca="false">IF(OR(A36&gt;NL_b,$B$14=""),"",IF((ABS(B36-$B$14)+lane_off)&lt;=0,0,IF((ABS(B36-$B$14)+lane_off)&gt;=v_sh^2/a_sh,(ABS(B36-$B$14)+lane_off)/v_sh+v_sh/a_sh,2*SQRT((ABS(B36-$B$14)+lane_off)/a_sh))))</f>
        <v/>
      </c>
      <c r="F36" s="34" t="str">
        <f aca="false">IF(OR(A36&gt;NL_b,$B$15=""),"",IF((ABS(B36-$B$15)+lane_off)&lt;=0,0,IF((ABS(B36-$B$15)+lane_off)&gt;=v_sh^2/a_sh,(ABS(B36-$B$15)+lane_off)/v_sh+v_sh/a_sh,2*SQRT((ABS(B36-$B$15)+lane_off)/a_sh))))</f>
        <v/>
      </c>
      <c r="G36" s="34" t="str">
        <f aca="false">IF(OR(A36&gt;NL_b,$B$16=""),"",IF((ABS(B36-$B$16)+lane_off)&lt;=0,0,IF((ABS(B36-$B$16)+lane_off)&gt;=v_sh^2/a_sh,(ABS(B36-$B$16)+lane_off)/v_sh+v_sh/a_sh,2*SQRT((ABS(B36-$B$16)+lane_off)/a_sh))))</f>
        <v/>
      </c>
      <c r="H36" s="34" t="str">
        <f aca="false">IF(OR(A36&gt;NL_b,$B$17=""),"",IF((ABS(B36-$B$17)+lane_off)&lt;=0,0,IF((ABS(B36-$B$17)+lane_off)&gt;=v_sh^2/a_sh,(ABS(B36-$B$17)+lane_off)/v_sh+v_sh/a_sh,2*SQRT((ABS(B36-$B$17)+lane_off)/a_sh))))</f>
        <v/>
      </c>
      <c r="I36" s="34" t="n">
        <f aca="false">IF(C36="","",2*C36+w_conv*$D$12/v_conv)</f>
        <v>41.9767857142857</v>
      </c>
      <c r="J36" s="34" t="n">
        <f aca="false">IF(D36="","",2*D36+w_conv*$D$13/v_conv)</f>
        <v>51.8339285714286</v>
      </c>
      <c r="K36" s="34" t="str">
        <f aca="false">IF(E36="","",2*E36+w_conv*$D$14/v_conv)</f>
        <v/>
      </c>
      <c r="L36" s="34" t="str">
        <f aca="false">IF(F36="","",2*F36+w_conv*$D$15/v_conv)</f>
        <v/>
      </c>
      <c r="M36" s="34" t="str">
        <f aca="false">IF(G36="","",2*G36+w_conv*$D$16/v_conv)</f>
        <v/>
      </c>
      <c r="N36" s="34" t="str">
        <f aca="false">IF(H36="","",2*H36+w_conv*$D$17/v_conv)</f>
        <v/>
      </c>
      <c r="O36" s="34" t="n">
        <f aca="false">IF(A36&gt;NL_b,"",MIN(I36:N36))</f>
        <v>41.9767857142857</v>
      </c>
      <c r="P36" s="34" t="n">
        <f aca="false">IF(O36="","",INDEX(C36:H36,MATCH(O36,I36:N36,0)))</f>
        <v>7.65714285714286</v>
      </c>
      <c r="Q36" s="34" t="n">
        <f aca="false">IF(O36="","",INDEX($D$12:$D$17,MATCH(O36,I36:N36,0)))</f>
        <v>35.55</v>
      </c>
    </row>
    <row r="37" customFormat="false" ht="15" hidden="false" customHeight="true" outlineLevel="0" collapsed="false">
      <c r="A37" s="54" t="n">
        <v>17</v>
      </c>
      <c r="B37" s="34" t="n">
        <f aca="false">(A37-0.5)*u_w</f>
        <v>16.5</v>
      </c>
      <c r="C37" s="34" t="n">
        <f aca="false">IF(OR(A37&gt;NL_b,$B$12=""),"",IF((ABS(B37-$B$12)+lane_off)&lt;=0,0,IF((ABS(B37-$B$12)+lane_off)&gt;=v_sh^2/a_sh,(ABS(B37-$B$12)+lane_off)/v_sh+v_sh/a_sh,2*SQRT((ABS(B37-$B$12)+lane_off)/a_sh))))</f>
        <v>8.37142857142857</v>
      </c>
      <c r="D37" s="34" t="n">
        <f aca="false">IF(OR(A37&gt;NL_b,$B$13=""),"",IF((ABS(B37-$B$13)+lane_off)&lt;=0,0,IF((ABS(B37-$B$13)+lane_off)&gt;=v_sh^2/a_sh,(ABS(B37-$B$13)+lane_off)/v_sh+v_sh/a_sh,2*SQRT((ABS(B37-$B$13)+lane_off)/a_sh))))</f>
        <v>13.3714285714286</v>
      </c>
      <c r="E37" s="34" t="str">
        <f aca="false">IF(OR(A37&gt;NL_b,$B$14=""),"",IF((ABS(B37-$B$14)+lane_off)&lt;=0,0,IF((ABS(B37-$B$14)+lane_off)&gt;=v_sh^2/a_sh,(ABS(B37-$B$14)+lane_off)/v_sh+v_sh/a_sh,2*SQRT((ABS(B37-$B$14)+lane_off)/a_sh))))</f>
        <v/>
      </c>
      <c r="F37" s="34" t="str">
        <f aca="false">IF(OR(A37&gt;NL_b,$B$15=""),"",IF((ABS(B37-$B$15)+lane_off)&lt;=0,0,IF((ABS(B37-$B$15)+lane_off)&gt;=v_sh^2/a_sh,(ABS(B37-$B$15)+lane_off)/v_sh+v_sh/a_sh,2*SQRT((ABS(B37-$B$15)+lane_off)/a_sh))))</f>
        <v/>
      </c>
      <c r="G37" s="34" t="str">
        <f aca="false">IF(OR(A37&gt;NL_b,$B$16=""),"",IF((ABS(B37-$B$16)+lane_off)&lt;=0,0,IF((ABS(B37-$B$16)+lane_off)&gt;=v_sh^2/a_sh,(ABS(B37-$B$16)+lane_off)/v_sh+v_sh/a_sh,2*SQRT((ABS(B37-$B$16)+lane_off)/a_sh))))</f>
        <v/>
      </c>
      <c r="H37" s="34" t="str">
        <f aca="false">IF(OR(A37&gt;NL_b,$B$17=""),"",IF((ABS(B37-$B$17)+lane_off)&lt;=0,0,IF((ABS(B37-$B$17)+lane_off)&gt;=v_sh^2/a_sh,(ABS(B37-$B$17)+lane_off)/v_sh+v_sh/a_sh,2*SQRT((ABS(B37-$B$17)+lane_off)/a_sh))))</f>
        <v/>
      </c>
      <c r="I37" s="34" t="n">
        <f aca="false">IF(C37="","",2*C37+w_conv*$D$12/v_conv)</f>
        <v>43.4053571428571</v>
      </c>
      <c r="J37" s="34" t="n">
        <f aca="false">IF(D37="","",2*D37+w_conv*$D$13/v_conv)</f>
        <v>50.4053571428571</v>
      </c>
      <c r="K37" s="34" t="str">
        <f aca="false">IF(E37="","",2*E37+w_conv*$D$14/v_conv)</f>
        <v/>
      </c>
      <c r="L37" s="34" t="str">
        <f aca="false">IF(F37="","",2*F37+w_conv*$D$15/v_conv)</f>
        <v/>
      </c>
      <c r="M37" s="34" t="str">
        <f aca="false">IF(G37="","",2*G37+w_conv*$D$16/v_conv)</f>
        <v/>
      </c>
      <c r="N37" s="34" t="str">
        <f aca="false">IF(H37="","",2*H37+w_conv*$D$17/v_conv)</f>
        <v/>
      </c>
      <c r="O37" s="34" t="n">
        <f aca="false">IF(A37&gt;NL_b,"",MIN(I37:N37))</f>
        <v>43.4053571428571</v>
      </c>
      <c r="P37" s="34" t="n">
        <f aca="false">IF(O37="","",INDEX(C37:H37,MATCH(O37,I37:N37,0)))</f>
        <v>8.37142857142857</v>
      </c>
      <c r="Q37" s="34" t="n">
        <f aca="false">IF(O37="","",INDEX($D$12:$D$17,MATCH(O37,I37:N37,0)))</f>
        <v>35.55</v>
      </c>
    </row>
    <row r="38" customFormat="false" ht="15" hidden="false" customHeight="true" outlineLevel="0" collapsed="false">
      <c r="A38" s="54" t="n">
        <v>18</v>
      </c>
      <c r="B38" s="34" t="n">
        <f aca="false">(A38-0.5)*u_w</f>
        <v>17.5</v>
      </c>
      <c r="C38" s="34" t="n">
        <f aca="false">IF(OR(A38&gt;NL_b,$B$12=""),"",IF((ABS(B38-$B$12)+lane_off)&lt;=0,0,IF((ABS(B38-$B$12)+lane_off)&gt;=v_sh^2/a_sh,(ABS(B38-$B$12)+lane_off)/v_sh+v_sh/a_sh,2*SQRT((ABS(B38-$B$12)+lane_off)/a_sh))))</f>
        <v>9.08571428571429</v>
      </c>
      <c r="D38" s="34" t="n">
        <f aca="false">IF(OR(A38&gt;NL_b,$B$13=""),"",IF((ABS(B38-$B$13)+lane_off)&lt;=0,0,IF((ABS(B38-$B$13)+lane_off)&gt;=v_sh^2/a_sh,(ABS(B38-$B$13)+lane_off)/v_sh+v_sh/a_sh,2*SQRT((ABS(B38-$B$13)+lane_off)/a_sh))))</f>
        <v>12.6571428571429</v>
      </c>
      <c r="E38" s="34" t="str">
        <f aca="false">IF(OR(A38&gt;NL_b,$B$14=""),"",IF((ABS(B38-$B$14)+lane_off)&lt;=0,0,IF((ABS(B38-$B$14)+lane_off)&gt;=v_sh^2/a_sh,(ABS(B38-$B$14)+lane_off)/v_sh+v_sh/a_sh,2*SQRT((ABS(B38-$B$14)+lane_off)/a_sh))))</f>
        <v/>
      </c>
      <c r="F38" s="34" t="str">
        <f aca="false">IF(OR(A38&gt;NL_b,$B$15=""),"",IF((ABS(B38-$B$15)+lane_off)&lt;=0,0,IF((ABS(B38-$B$15)+lane_off)&gt;=v_sh^2/a_sh,(ABS(B38-$B$15)+lane_off)/v_sh+v_sh/a_sh,2*SQRT((ABS(B38-$B$15)+lane_off)/a_sh))))</f>
        <v/>
      </c>
      <c r="G38" s="34" t="str">
        <f aca="false">IF(OR(A38&gt;NL_b,$B$16=""),"",IF((ABS(B38-$B$16)+lane_off)&lt;=0,0,IF((ABS(B38-$B$16)+lane_off)&gt;=v_sh^2/a_sh,(ABS(B38-$B$16)+lane_off)/v_sh+v_sh/a_sh,2*SQRT((ABS(B38-$B$16)+lane_off)/a_sh))))</f>
        <v/>
      </c>
      <c r="H38" s="34" t="str">
        <f aca="false">IF(OR(A38&gt;NL_b,$B$17=""),"",IF((ABS(B38-$B$17)+lane_off)&lt;=0,0,IF((ABS(B38-$B$17)+lane_off)&gt;=v_sh^2/a_sh,(ABS(B38-$B$17)+lane_off)/v_sh+v_sh/a_sh,2*SQRT((ABS(B38-$B$17)+lane_off)/a_sh))))</f>
        <v/>
      </c>
      <c r="I38" s="34" t="n">
        <f aca="false">IF(C38="","",2*C38+w_conv*$D$12/v_conv)</f>
        <v>44.8339285714286</v>
      </c>
      <c r="J38" s="34" t="n">
        <f aca="false">IF(D38="","",2*D38+w_conv*$D$13/v_conv)</f>
        <v>48.9767857142857</v>
      </c>
      <c r="K38" s="34" t="str">
        <f aca="false">IF(E38="","",2*E38+w_conv*$D$14/v_conv)</f>
        <v/>
      </c>
      <c r="L38" s="34" t="str">
        <f aca="false">IF(F38="","",2*F38+w_conv*$D$15/v_conv)</f>
        <v/>
      </c>
      <c r="M38" s="34" t="str">
        <f aca="false">IF(G38="","",2*G38+w_conv*$D$16/v_conv)</f>
        <v/>
      </c>
      <c r="N38" s="34" t="str">
        <f aca="false">IF(H38="","",2*H38+w_conv*$D$17/v_conv)</f>
        <v/>
      </c>
      <c r="O38" s="34" t="n">
        <f aca="false">IF(A38&gt;NL_b,"",MIN(I38:N38))</f>
        <v>44.8339285714286</v>
      </c>
      <c r="P38" s="34" t="n">
        <f aca="false">IF(O38="","",INDEX(C38:H38,MATCH(O38,I38:N38,0)))</f>
        <v>9.08571428571429</v>
      </c>
      <c r="Q38" s="34" t="n">
        <f aca="false">IF(O38="","",INDEX($D$12:$D$17,MATCH(O38,I38:N38,0)))</f>
        <v>35.55</v>
      </c>
    </row>
    <row r="39" customFormat="false" ht="15" hidden="false" customHeight="true" outlineLevel="0" collapsed="false">
      <c r="A39" s="54" t="n">
        <v>19</v>
      </c>
      <c r="B39" s="34" t="n">
        <f aca="false">(A39-0.5)*u_w</f>
        <v>18.5</v>
      </c>
      <c r="C39" s="34" t="n">
        <f aca="false">IF(OR(A39&gt;NL_b,$B$12=""),"",IF((ABS(B39-$B$12)+lane_off)&lt;=0,0,IF((ABS(B39-$B$12)+lane_off)&gt;=v_sh^2/a_sh,(ABS(B39-$B$12)+lane_off)/v_sh+v_sh/a_sh,2*SQRT((ABS(B39-$B$12)+lane_off)/a_sh))))</f>
        <v>9.8</v>
      </c>
      <c r="D39" s="34" t="n">
        <f aca="false">IF(OR(A39&gt;NL_b,$B$13=""),"",IF((ABS(B39-$B$13)+lane_off)&lt;=0,0,IF((ABS(B39-$B$13)+lane_off)&gt;=v_sh^2/a_sh,(ABS(B39-$B$13)+lane_off)/v_sh+v_sh/a_sh,2*SQRT((ABS(B39-$B$13)+lane_off)/a_sh))))</f>
        <v>11.9428571428571</v>
      </c>
      <c r="E39" s="34" t="str">
        <f aca="false">IF(OR(A39&gt;NL_b,$B$14=""),"",IF((ABS(B39-$B$14)+lane_off)&lt;=0,0,IF((ABS(B39-$B$14)+lane_off)&gt;=v_sh^2/a_sh,(ABS(B39-$B$14)+lane_off)/v_sh+v_sh/a_sh,2*SQRT((ABS(B39-$B$14)+lane_off)/a_sh))))</f>
        <v/>
      </c>
      <c r="F39" s="34" t="str">
        <f aca="false">IF(OR(A39&gt;NL_b,$B$15=""),"",IF((ABS(B39-$B$15)+lane_off)&lt;=0,0,IF((ABS(B39-$B$15)+lane_off)&gt;=v_sh^2/a_sh,(ABS(B39-$B$15)+lane_off)/v_sh+v_sh/a_sh,2*SQRT((ABS(B39-$B$15)+lane_off)/a_sh))))</f>
        <v/>
      </c>
      <c r="G39" s="34" t="str">
        <f aca="false">IF(OR(A39&gt;NL_b,$B$16=""),"",IF((ABS(B39-$B$16)+lane_off)&lt;=0,0,IF((ABS(B39-$B$16)+lane_off)&gt;=v_sh^2/a_sh,(ABS(B39-$B$16)+lane_off)/v_sh+v_sh/a_sh,2*SQRT((ABS(B39-$B$16)+lane_off)/a_sh))))</f>
        <v/>
      </c>
      <c r="H39" s="34" t="str">
        <f aca="false">IF(OR(A39&gt;NL_b,$B$17=""),"",IF((ABS(B39-$B$17)+lane_off)&lt;=0,0,IF((ABS(B39-$B$17)+lane_off)&gt;=v_sh^2/a_sh,(ABS(B39-$B$17)+lane_off)/v_sh+v_sh/a_sh,2*SQRT((ABS(B39-$B$17)+lane_off)/a_sh))))</f>
        <v/>
      </c>
      <c r="I39" s="34" t="n">
        <f aca="false">IF(C39="","",2*C39+w_conv*$D$12/v_conv)</f>
        <v>46.2625</v>
      </c>
      <c r="J39" s="34" t="n">
        <f aca="false">IF(D39="","",2*D39+w_conv*$D$13/v_conv)</f>
        <v>47.5482142857143</v>
      </c>
      <c r="K39" s="34" t="str">
        <f aca="false">IF(E39="","",2*E39+w_conv*$D$14/v_conv)</f>
        <v/>
      </c>
      <c r="L39" s="34" t="str">
        <f aca="false">IF(F39="","",2*F39+w_conv*$D$15/v_conv)</f>
        <v/>
      </c>
      <c r="M39" s="34" t="str">
        <f aca="false">IF(G39="","",2*G39+w_conv*$D$16/v_conv)</f>
        <v/>
      </c>
      <c r="N39" s="34" t="str">
        <f aca="false">IF(H39="","",2*H39+w_conv*$D$17/v_conv)</f>
        <v/>
      </c>
      <c r="O39" s="34" t="n">
        <f aca="false">IF(A39&gt;NL_b,"",MIN(I39:N39))</f>
        <v>46.2625</v>
      </c>
      <c r="P39" s="34" t="n">
        <f aca="false">IF(O39="","",INDEX(C39:H39,MATCH(O39,I39:N39,0)))</f>
        <v>9.8</v>
      </c>
      <c r="Q39" s="34" t="n">
        <f aca="false">IF(O39="","",INDEX($D$12:$D$17,MATCH(O39,I39:N39,0)))</f>
        <v>35.55</v>
      </c>
    </row>
    <row r="40" customFormat="false" ht="15" hidden="false" customHeight="true" outlineLevel="0" collapsed="false">
      <c r="A40" s="54" t="n">
        <v>20</v>
      </c>
      <c r="B40" s="34" t="n">
        <f aca="false">(A40-0.5)*u_w</f>
        <v>19.5</v>
      </c>
      <c r="C40" s="34" t="n">
        <f aca="false">IF(OR(A40&gt;NL_b,$B$12=""),"",IF((ABS(B40-$B$12)+lane_off)&lt;=0,0,IF((ABS(B40-$B$12)+lane_off)&gt;=v_sh^2/a_sh,(ABS(B40-$B$12)+lane_off)/v_sh+v_sh/a_sh,2*SQRT((ABS(B40-$B$12)+lane_off)/a_sh))))</f>
        <v>10.5142857142857</v>
      </c>
      <c r="D40" s="34" t="n">
        <f aca="false">IF(OR(A40&gt;NL_b,$B$13=""),"",IF((ABS(B40-$B$13)+lane_off)&lt;=0,0,IF((ABS(B40-$B$13)+lane_off)&gt;=v_sh^2/a_sh,(ABS(B40-$B$13)+lane_off)/v_sh+v_sh/a_sh,2*SQRT((ABS(B40-$B$13)+lane_off)/a_sh))))</f>
        <v>11.2285714285714</v>
      </c>
      <c r="E40" s="34" t="str">
        <f aca="false">IF(OR(A40&gt;NL_b,$B$14=""),"",IF((ABS(B40-$B$14)+lane_off)&lt;=0,0,IF((ABS(B40-$B$14)+lane_off)&gt;=v_sh^2/a_sh,(ABS(B40-$B$14)+lane_off)/v_sh+v_sh/a_sh,2*SQRT((ABS(B40-$B$14)+lane_off)/a_sh))))</f>
        <v/>
      </c>
      <c r="F40" s="34" t="str">
        <f aca="false">IF(OR(A40&gt;NL_b,$B$15=""),"",IF((ABS(B40-$B$15)+lane_off)&lt;=0,0,IF((ABS(B40-$B$15)+lane_off)&gt;=v_sh^2/a_sh,(ABS(B40-$B$15)+lane_off)/v_sh+v_sh/a_sh,2*SQRT((ABS(B40-$B$15)+lane_off)/a_sh))))</f>
        <v/>
      </c>
      <c r="G40" s="34" t="str">
        <f aca="false">IF(OR(A40&gt;NL_b,$B$16=""),"",IF((ABS(B40-$B$16)+lane_off)&lt;=0,0,IF((ABS(B40-$B$16)+lane_off)&gt;=v_sh^2/a_sh,(ABS(B40-$B$16)+lane_off)/v_sh+v_sh/a_sh,2*SQRT((ABS(B40-$B$16)+lane_off)/a_sh))))</f>
        <v/>
      </c>
      <c r="H40" s="34" t="str">
        <f aca="false">IF(OR(A40&gt;NL_b,$B$17=""),"",IF((ABS(B40-$B$17)+lane_off)&lt;=0,0,IF((ABS(B40-$B$17)+lane_off)&gt;=v_sh^2/a_sh,(ABS(B40-$B$17)+lane_off)/v_sh+v_sh/a_sh,2*SQRT((ABS(B40-$B$17)+lane_off)/a_sh))))</f>
        <v/>
      </c>
      <c r="I40" s="34" t="n">
        <f aca="false">IF(C40="","",2*C40+w_conv*$D$12/v_conv)</f>
        <v>47.6910714285714</v>
      </c>
      <c r="J40" s="34" t="n">
        <f aca="false">IF(D40="","",2*D40+w_conv*$D$13/v_conv)</f>
        <v>46.1196428571429</v>
      </c>
      <c r="K40" s="34" t="str">
        <f aca="false">IF(E40="","",2*E40+w_conv*$D$14/v_conv)</f>
        <v/>
      </c>
      <c r="L40" s="34" t="str">
        <f aca="false">IF(F40="","",2*F40+w_conv*$D$15/v_conv)</f>
        <v/>
      </c>
      <c r="M40" s="34" t="str">
        <f aca="false">IF(G40="","",2*G40+w_conv*$D$16/v_conv)</f>
        <v/>
      </c>
      <c r="N40" s="34" t="str">
        <f aca="false">IF(H40="","",2*H40+w_conv*$D$17/v_conv)</f>
        <v/>
      </c>
      <c r="O40" s="34" t="n">
        <f aca="false">IF(A40&gt;NL_b,"",MIN(I40:N40))</f>
        <v>46.1196428571429</v>
      </c>
      <c r="P40" s="34" t="n">
        <f aca="false">IF(O40="","",INDEX(C40:H40,MATCH(O40,I40:N40,0)))</f>
        <v>11.2285714285714</v>
      </c>
      <c r="Q40" s="34" t="n">
        <f aca="false">IF(O40="","",INDEX($D$12:$D$17,MATCH(O40,I40:N40,0)))</f>
        <v>31.55</v>
      </c>
    </row>
    <row r="41" customFormat="false" ht="15" hidden="false" customHeight="true" outlineLevel="0" collapsed="false">
      <c r="A41" s="54" t="n">
        <v>21</v>
      </c>
      <c r="B41" s="34" t="n">
        <f aca="false">(A41-0.5)*u_w</f>
        <v>20.5</v>
      </c>
      <c r="C41" s="34" t="n">
        <f aca="false">IF(OR(A41&gt;NL_b,$B$12=""),"",IF((ABS(B41-$B$12)+lane_off)&lt;=0,0,IF((ABS(B41-$B$12)+lane_off)&gt;=v_sh^2/a_sh,(ABS(B41-$B$12)+lane_off)/v_sh+v_sh/a_sh,2*SQRT((ABS(B41-$B$12)+lane_off)/a_sh))))</f>
        <v>11.2285714285714</v>
      </c>
      <c r="D41" s="34" t="n">
        <f aca="false">IF(OR(A41&gt;NL_b,$B$13=""),"",IF((ABS(B41-$B$13)+lane_off)&lt;=0,0,IF((ABS(B41-$B$13)+lane_off)&gt;=v_sh^2/a_sh,(ABS(B41-$B$13)+lane_off)/v_sh+v_sh/a_sh,2*SQRT((ABS(B41-$B$13)+lane_off)/a_sh))))</f>
        <v>10.5142857142857</v>
      </c>
      <c r="E41" s="34" t="str">
        <f aca="false">IF(OR(A41&gt;NL_b,$B$14=""),"",IF((ABS(B41-$B$14)+lane_off)&lt;=0,0,IF((ABS(B41-$B$14)+lane_off)&gt;=v_sh^2/a_sh,(ABS(B41-$B$14)+lane_off)/v_sh+v_sh/a_sh,2*SQRT((ABS(B41-$B$14)+lane_off)/a_sh))))</f>
        <v/>
      </c>
      <c r="F41" s="34" t="str">
        <f aca="false">IF(OR(A41&gt;NL_b,$B$15=""),"",IF((ABS(B41-$B$15)+lane_off)&lt;=0,0,IF((ABS(B41-$B$15)+lane_off)&gt;=v_sh^2/a_sh,(ABS(B41-$B$15)+lane_off)/v_sh+v_sh/a_sh,2*SQRT((ABS(B41-$B$15)+lane_off)/a_sh))))</f>
        <v/>
      </c>
      <c r="G41" s="34" t="str">
        <f aca="false">IF(OR(A41&gt;NL_b,$B$16=""),"",IF((ABS(B41-$B$16)+lane_off)&lt;=0,0,IF((ABS(B41-$B$16)+lane_off)&gt;=v_sh^2/a_sh,(ABS(B41-$B$16)+lane_off)/v_sh+v_sh/a_sh,2*SQRT((ABS(B41-$B$16)+lane_off)/a_sh))))</f>
        <v/>
      </c>
      <c r="H41" s="34" t="str">
        <f aca="false">IF(OR(A41&gt;NL_b,$B$17=""),"",IF((ABS(B41-$B$17)+lane_off)&lt;=0,0,IF((ABS(B41-$B$17)+lane_off)&gt;=v_sh^2/a_sh,(ABS(B41-$B$17)+lane_off)/v_sh+v_sh/a_sh,2*SQRT((ABS(B41-$B$17)+lane_off)/a_sh))))</f>
        <v/>
      </c>
      <c r="I41" s="34" t="n">
        <f aca="false">IF(C41="","",2*C41+w_conv*$D$12/v_conv)</f>
        <v>49.1196428571429</v>
      </c>
      <c r="J41" s="34" t="n">
        <f aca="false">IF(D41="","",2*D41+w_conv*$D$13/v_conv)</f>
        <v>44.6910714285714</v>
      </c>
      <c r="K41" s="34" t="str">
        <f aca="false">IF(E41="","",2*E41+w_conv*$D$14/v_conv)</f>
        <v/>
      </c>
      <c r="L41" s="34" t="str">
        <f aca="false">IF(F41="","",2*F41+w_conv*$D$15/v_conv)</f>
        <v/>
      </c>
      <c r="M41" s="34" t="str">
        <f aca="false">IF(G41="","",2*G41+w_conv*$D$16/v_conv)</f>
        <v/>
      </c>
      <c r="N41" s="34" t="str">
        <f aca="false">IF(H41="","",2*H41+w_conv*$D$17/v_conv)</f>
        <v/>
      </c>
      <c r="O41" s="34" t="n">
        <f aca="false">IF(A41&gt;NL_b,"",MIN(I41:N41))</f>
        <v>44.6910714285714</v>
      </c>
      <c r="P41" s="34" t="n">
        <f aca="false">IF(O41="","",INDEX(C41:H41,MATCH(O41,I41:N41,0)))</f>
        <v>10.5142857142857</v>
      </c>
      <c r="Q41" s="34" t="n">
        <f aca="false">IF(O41="","",INDEX($D$12:$D$17,MATCH(O41,I41:N41,0)))</f>
        <v>31.55</v>
      </c>
    </row>
    <row r="42" customFormat="false" ht="15" hidden="false" customHeight="true" outlineLevel="0" collapsed="false">
      <c r="A42" s="54" t="n">
        <v>22</v>
      </c>
      <c r="B42" s="34" t="n">
        <f aca="false">(A42-0.5)*u_w</f>
        <v>21.5</v>
      </c>
      <c r="C42" s="34" t="n">
        <f aca="false">IF(OR(A42&gt;NL_b,$B$12=""),"",IF((ABS(B42-$B$12)+lane_off)&lt;=0,0,IF((ABS(B42-$B$12)+lane_off)&gt;=v_sh^2/a_sh,(ABS(B42-$B$12)+lane_off)/v_sh+v_sh/a_sh,2*SQRT((ABS(B42-$B$12)+lane_off)/a_sh))))</f>
        <v>11.9428571428571</v>
      </c>
      <c r="D42" s="34" t="n">
        <f aca="false">IF(OR(A42&gt;NL_b,$B$13=""),"",IF((ABS(B42-$B$13)+lane_off)&lt;=0,0,IF((ABS(B42-$B$13)+lane_off)&gt;=v_sh^2/a_sh,(ABS(B42-$B$13)+lane_off)/v_sh+v_sh/a_sh,2*SQRT((ABS(B42-$B$13)+lane_off)/a_sh))))</f>
        <v>9.8</v>
      </c>
      <c r="E42" s="34" t="str">
        <f aca="false">IF(OR(A42&gt;NL_b,$B$14=""),"",IF((ABS(B42-$B$14)+lane_off)&lt;=0,0,IF((ABS(B42-$B$14)+lane_off)&gt;=v_sh^2/a_sh,(ABS(B42-$B$14)+lane_off)/v_sh+v_sh/a_sh,2*SQRT((ABS(B42-$B$14)+lane_off)/a_sh))))</f>
        <v/>
      </c>
      <c r="F42" s="34" t="str">
        <f aca="false">IF(OR(A42&gt;NL_b,$B$15=""),"",IF((ABS(B42-$B$15)+lane_off)&lt;=0,0,IF((ABS(B42-$B$15)+lane_off)&gt;=v_sh^2/a_sh,(ABS(B42-$B$15)+lane_off)/v_sh+v_sh/a_sh,2*SQRT((ABS(B42-$B$15)+lane_off)/a_sh))))</f>
        <v/>
      </c>
      <c r="G42" s="34" t="str">
        <f aca="false">IF(OR(A42&gt;NL_b,$B$16=""),"",IF((ABS(B42-$B$16)+lane_off)&lt;=0,0,IF((ABS(B42-$B$16)+lane_off)&gt;=v_sh^2/a_sh,(ABS(B42-$B$16)+lane_off)/v_sh+v_sh/a_sh,2*SQRT((ABS(B42-$B$16)+lane_off)/a_sh))))</f>
        <v/>
      </c>
      <c r="H42" s="34" t="str">
        <f aca="false">IF(OR(A42&gt;NL_b,$B$17=""),"",IF((ABS(B42-$B$17)+lane_off)&lt;=0,0,IF((ABS(B42-$B$17)+lane_off)&gt;=v_sh^2/a_sh,(ABS(B42-$B$17)+lane_off)/v_sh+v_sh/a_sh,2*SQRT((ABS(B42-$B$17)+lane_off)/a_sh))))</f>
        <v/>
      </c>
      <c r="I42" s="34" t="n">
        <f aca="false">IF(C42="","",2*C42+w_conv*$D$12/v_conv)</f>
        <v>50.5482142857143</v>
      </c>
      <c r="J42" s="34" t="n">
        <f aca="false">IF(D42="","",2*D42+w_conv*$D$13/v_conv)</f>
        <v>43.2625</v>
      </c>
      <c r="K42" s="34" t="str">
        <f aca="false">IF(E42="","",2*E42+w_conv*$D$14/v_conv)</f>
        <v/>
      </c>
      <c r="L42" s="34" t="str">
        <f aca="false">IF(F42="","",2*F42+w_conv*$D$15/v_conv)</f>
        <v/>
      </c>
      <c r="M42" s="34" t="str">
        <f aca="false">IF(G42="","",2*G42+w_conv*$D$16/v_conv)</f>
        <v/>
      </c>
      <c r="N42" s="34" t="str">
        <f aca="false">IF(H42="","",2*H42+w_conv*$D$17/v_conv)</f>
        <v/>
      </c>
      <c r="O42" s="34" t="n">
        <f aca="false">IF(A42&gt;NL_b,"",MIN(I42:N42))</f>
        <v>43.2625</v>
      </c>
      <c r="P42" s="34" t="n">
        <f aca="false">IF(O42="","",INDEX(C42:H42,MATCH(O42,I42:N42,0)))</f>
        <v>9.8</v>
      </c>
      <c r="Q42" s="34" t="n">
        <f aca="false">IF(O42="","",INDEX($D$12:$D$17,MATCH(O42,I42:N42,0)))</f>
        <v>31.55</v>
      </c>
    </row>
    <row r="43" customFormat="false" ht="15" hidden="false" customHeight="true" outlineLevel="0" collapsed="false">
      <c r="A43" s="54" t="n">
        <v>23</v>
      </c>
      <c r="B43" s="34" t="n">
        <f aca="false">(A43-0.5)*u_w</f>
        <v>22.5</v>
      </c>
      <c r="C43" s="34" t="n">
        <f aca="false">IF(OR(A43&gt;NL_b,$B$12=""),"",IF((ABS(B43-$B$12)+lane_off)&lt;=0,0,IF((ABS(B43-$B$12)+lane_off)&gt;=v_sh^2/a_sh,(ABS(B43-$B$12)+lane_off)/v_sh+v_sh/a_sh,2*SQRT((ABS(B43-$B$12)+lane_off)/a_sh))))</f>
        <v>12.6571428571429</v>
      </c>
      <c r="D43" s="34" t="n">
        <f aca="false">IF(OR(A43&gt;NL_b,$B$13=""),"",IF((ABS(B43-$B$13)+lane_off)&lt;=0,0,IF((ABS(B43-$B$13)+lane_off)&gt;=v_sh^2/a_sh,(ABS(B43-$B$13)+lane_off)/v_sh+v_sh/a_sh,2*SQRT((ABS(B43-$B$13)+lane_off)/a_sh))))</f>
        <v>9.08571428571429</v>
      </c>
      <c r="E43" s="34" t="str">
        <f aca="false">IF(OR(A43&gt;NL_b,$B$14=""),"",IF((ABS(B43-$B$14)+lane_off)&lt;=0,0,IF((ABS(B43-$B$14)+lane_off)&gt;=v_sh^2/a_sh,(ABS(B43-$B$14)+lane_off)/v_sh+v_sh/a_sh,2*SQRT((ABS(B43-$B$14)+lane_off)/a_sh))))</f>
        <v/>
      </c>
      <c r="F43" s="34" t="str">
        <f aca="false">IF(OR(A43&gt;NL_b,$B$15=""),"",IF((ABS(B43-$B$15)+lane_off)&lt;=0,0,IF((ABS(B43-$B$15)+lane_off)&gt;=v_sh^2/a_sh,(ABS(B43-$B$15)+lane_off)/v_sh+v_sh/a_sh,2*SQRT((ABS(B43-$B$15)+lane_off)/a_sh))))</f>
        <v/>
      </c>
      <c r="G43" s="34" t="str">
        <f aca="false">IF(OR(A43&gt;NL_b,$B$16=""),"",IF((ABS(B43-$B$16)+lane_off)&lt;=0,0,IF((ABS(B43-$B$16)+lane_off)&gt;=v_sh^2/a_sh,(ABS(B43-$B$16)+lane_off)/v_sh+v_sh/a_sh,2*SQRT((ABS(B43-$B$16)+lane_off)/a_sh))))</f>
        <v/>
      </c>
      <c r="H43" s="34" t="str">
        <f aca="false">IF(OR(A43&gt;NL_b,$B$17=""),"",IF((ABS(B43-$B$17)+lane_off)&lt;=0,0,IF((ABS(B43-$B$17)+lane_off)&gt;=v_sh^2/a_sh,(ABS(B43-$B$17)+lane_off)/v_sh+v_sh/a_sh,2*SQRT((ABS(B43-$B$17)+lane_off)/a_sh))))</f>
        <v/>
      </c>
      <c r="I43" s="34" t="n">
        <f aca="false">IF(C43="","",2*C43+w_conv*$D$12/v_conv)</f>
        <v>51.9767857142857</v>
      </c>
      <c r="J43" s="34" t="n">
        <f aca="false">IF(D43="","",2*D43+w_conv*$D$13/v_conv)</f>
        <v>41.8339285714286</v>
      </c>
      <c r="K43" s="34" t="str">
        <f aca="false">IF(E43="","",2*E43+w_conv*$D$14/v_conv)</f>
        <v/>
      </c>
      <c r="L43" s="34" t="str">
        <f aca="false">IF(F43="","",2*F43+w_conv*$D$15/v_conv)</f>
        <v/>
      </c>
      <c r="M43" s="34" t="str">
        <f aca="false">IF(G43="","",2*G43+w_conv*$D$16/v_conv)</f>
        <v/>
      </c>
      <c r="N43" s="34" t="str">
        <f aca="false">IF(H43="","",2*H43+w_conv*$D$17/v_conv)</f>
        <v/>
      </c>
      <c r="O43" s="34" t="n">
        <f aca="false">IF(A43&gt;NL_b,"",MIN(I43:N43))</f>
        <v>41.8339285714286</v>
      </c>
      <c r="P43" s="34" t="n">
        <f aca="false">IF(O43="","",INDEX(C43:H43,MATCH(O43,I43:N43,0)))</f>
        <v>9.08571428571429</v>
      </c>
      <c r="Q43" s="34" t="n">
        <f aca="false">IF(O43="","",INDEX($D$12:$D$17,MATCH(O43,I43:N43,0)))</f>
        <v>31.55</v>
      </c>
    </row>
    <row r="44" customFormat="false" ht="15" hidden="false" customHeight="true" outlineLevel="0" collapsed="false">
      <c r="A44" s="54" t="n">
        <v>24</v>
      </c>
      <c r="B44" s="34" t="n">
        <f aca="false">(A44-0.5)*u_w</f>
        <v>23.5</v>
      </c>
      <c r="C44" s="34" t="n">
        <f aca="false">IF(OR(A44&gt;NL_b,$B$12=""),"",IF((ABS(B44-$B$12)+lane_off)&lt;=0,0,IF((ABS(B44-$B$12)+lane_off)&gt;=v_sh^2/a_sh,(ABS(B44-$B$12)+lane_off)/v_sh+v_sh/a_sh,2*SQRT((ABS(B44-$B$12)+lane_off)/a_sh))))</f>
        <v>13.3714285714286</v>
      </c>
      <c r="D44" s="34" t="n">
        <f aca="false">IF(OR(A44&gt;NL_b,$B$13=""),"",IF((ABS(B44-$B$13)+lane_off)&lt;=0,0,IF((ABS(B44-$B$13)+lane_off)&gt;=v_sh^2/a_sh,(ABS(B44-$B$13)+lane_off)/v_sh+v_sh/a_sh,2*SQRT((ABS(B44-$B$13)+lane_off)/a_sh))))</f>
        <v>8.37142857142857</v>
      </c>
      <c r="E44" s="34" t="str">
        <f aca="false">IF(OR(A44&gt;NL_b,$B$14=""),"",IF((ABS(B44-$B$14)+lane_off)&lt;=0,0,IF((ABS(B44-$B$14)+lane_off)&gt;=v_sh^2/a_sh,(ABS(B44-$B$14)+lane_off)/v_sh+v_sh/a_sh,2*SQRT((ABS(B44-$B$14)+lane_off)/a_sh))))</f>
        <v/>
      </c>
      <c r="F44" s="34" t="str">
        <f aca="false">IF(OR(A44&gt;NL_b,$B$15=""),"",IF((ABS(B44-$B$15)+lane_off)&lt;=0,0,IF((ABS(B44-$B$15)+lane_off)&gt;=v_sh^2/a_sh,(ABS(B44-$B$15)+lane_off)/v_sh+v_sh/a_sh,2*SQRT((ABS(B44-$B$15)+lane_off)/a_sh))))</f>
        <v/>
      </c>
      <c r="G44" s="34" t="str">
        <f aca="false">IF(OR(A44&gt;NL_b,$B$16=""),"",IF((ABS(B44-$B$16)+lane_off)&lt;=0,0,IF((ABS(B44-$B$16)+lane_off)&gt;=v_sh^2/a_sh,(ABS(B44-$B$16)+lane_off)/v_sh+v_sh/a_sh,2*SQRT((ABS(B44-$B$16)+lane_off)/a_sh))))</f>
        <v/>
      </c>
      <c r="H44" s="34" t="str">
        <f aca="false">IF(OR(A44&gt;NL_b,$B$17=""),"",IF((ABS(B44-$B$17)+lane_off)&lt;=0,0,IF((ABS(B44-$B$17)+lane_off)&gt;=v_sh^2/a_sh,(ABS(B44-$B$17)+lane_off)/v_sh+v_sh/a_sh,2*SQRT((ABS(B44-$B$17)+lane_off)/a_sh))))</f>
        <v/>
      </c>
      <c r="I44" s="34" t="n">
        <f aca="false">IF(C44="","",2*C44+w_conv*$D$12/v_conv)</f>
        <v>53.4053571428571</v>
      </c>
      <c r="J44" s="34" t="n">
        <f aca="false">IF(D44="","",2*D44+w_conv*$D$13/v_conv)</f>
        <v>40.4053571428571</v>
      </c>
      <c r="K44" s="34" t="str">
        <f aca="false">IF(E44="","",2*E44+w_conv*$D$14/v_conv)</f>
        <v/>
      </c>
      <c r="L44" s="34" t="str">
        <f aca="false">IF(F44="","",2*F44+w_conv*$D$15/v_conv)</f>
        <v/>
      </c>
      <c r="M44" s="34" t="str">
        <f aca="false">IF(G44="","",2*G44+w_conv*$D$16/v_conv)</f>
        <v/>
      </c>
      <c r="N44" s="34" t="str">
        <f aca="false">IF(H44="","",2*H44+w_conv*$D$17/v_conv)</f>
        <v/>
      </c>
      <c r="O44" s="34" t="n">
        <f aca="false">IF(A44&gt;NL_b,"",MIN(I44:N44))</f>
        <v>40.4053571428571</v>
      </c>
      <c r="P44" s="34" t="n">
        <f aca="false">IF(O44="","",INDEX(C44:H44,MATCH(O44,I44:N44,0)))</f>
        <v>8.37142857142857</v>
      </c>
      <c r="Q44" s="34" t="n">
        <f aca="false">IF(O44="","",INDEX($D$12:$D$17,MATCH(O44,I44:N44,0)))</f>
        <v>31.55</v>
      </c>
    </row>
    <row r="45" customFormat="false" ht="15" hidden="false" customHeight="true" outlineLevel="0" collapsed="false">
      <c r="A45" s="54" t="n">
        <v>25</v>
      </c>
      <c r="B45" s="34" t="n">
        <f aca="false">(A45-0.5)*u_w</f>
        <v>24.5</v>
      </c>
      <c r="C45" s="34" t="n">
        <f aca="false">IF(OR(A45&gt;NL_b,$B$12=""),"",IF((ABS(B45-$B$12)+lane_off)&lt;=0,0,IF((ABS(B45-$B$12)+lane_off)&gt;=v_sh^2/a_sh,(ABS(B45-$B$12)+lane_off)/v_sh+v_sh/a_sh,2*SQRT((ABS(B45-$B$12)+lane_off)/a_sh))))</f>
        <v>14.0857142857143</v>
      </c>
      <c r="D45" s="34" t="n">
        <f aca="false">IF(OR(A45&gt;NL_b,$B$13=""),"",IF((ABS(B45-$B$13)+lane_off)&lt;=0,0,IF((ABS(B45-$B$13)+lane_off)&gt;=v_sh^2/a_sh,(ABS(B45-$B$13)+lane_off)/v_sh+v_sh/a_sh,2*SQRT((ABS(B45-$B$13)+lane_off)/a_sh))))</f>
        <v>7.65714285714286</v>
      </c>
      <c r="E45" s="34" t="str">
        <f aca="false">IF(OR(A45&gt;NL_b,$B$14=""),"",IF((ABS(B45-$B$14)+lane_off)&lt;=0,0,IF((ABS(B45-$B$14)+lane_off)&gt;=v_sh^2/a_sh,(ABS(B45-$B$14)+lane_off)/v_sh+v_sh/a_sh,2*SQRT((ABS(B45-$B$14)+lane_off)/a_sh))))</f>
        <v/>
      </c>
      <c r="F45" s="34" t="str">
        <f aca="false">IF(OR(A45&gt;NL_b,$B$15=""),"",IF((ABS(B45-$B$15)+lane_off)&lt;=0,0,IF((ABS(B45-$B$15)+lane_off)&gt;=v_sh^2/a_sh,(ABS(B45-$B$15)+lane_off)/v_sh+v_sh/a_sh,2*SQRT((ABS(B45-$B$15)+lane_off)/a_sh))))</f>
        <v/>
      </c>
      <c r="G45" s="34" t="str">
        <f aca="false">IF(OR(A45&gt;NL_b,$B$16=""),"",IF((ABS(B45-$B$16)+lane_off)&lt;=0,0,IF((ABS(B45-$B$16)+lane_off)&gt;=v_sh^2/a_sh,(ABS(B45-$B$16)+lane_off)/v_sh+v_sh/a_sh,2*SQRT((ABS(B45-$B$16)+lane_off)/a_sh))))</f>
        <v/>
      </c>
      <c r="H45" s="34" t="str">
        <f aca="false">IF(OR(A45&gt;NL_b,$B$17=""),"",IF((ABS(B45-$B$17)+lane_off)&lt;=0,0,IF((ABS(B45-$B$17)+lane_off)&gt;=v_sh^2/a_sh,(ABS(B45-$B$17)+lane_off)/v_sh+v_sh/a_sh,2*SQRT((ABS(B45-$B$17)+lane_off)/a_sh))))</f>
        <v/>
      </c>
      <c r="I45" s="34" t="n">
        <f aca="false">IF(C45="","",2*C45+w_conv*$D$12/v_conv)</f>
        <v>54.8339285714286</v>
      </c>
      <c r="J45" s="34" t="n">
        <f aca="false">IF(D45="","",2*D45+w_conv*$D$13/v_conv)</f>
        <v>38.9767857142857</v>
      </c>
      <c r="K45" s="34" t="str">
        <f aca="false">IF(E45="","",2*E45+w_conv*$D$14/v_conv)</f>
        <v/>
      </c>
      <c r="L45" s="34" t="str">
        <f aca="false">IF(F45="","",2*F45+w_conv*$D$15/v_conv)</f>
        <v/>
      </c>
      <c r="M45" s="34" t="str">
        <f aca="false">IF(G45="","",2*G45+w_conv*$D$16/v_conv)</f>
        <v/>
      </c>
      <c r="N45" s="34" t="str">
        <f aca="false">IF(H45="","",2*H45+w_conv*$D$17/v_conv)</f>
        <v/>
      </c>
      <c r="O45" s="34" t="n">
        <f aca="false">IF(A45&gt;NL_b,"",MIN(I45:N45))</f>
        <v>38.9767857142857</v>
      </c>
      <c r="P45" s="34" t="n">
        <f aca="false">IF(O45="","",INDEX(C45:H45,MATCH(O45,I45:N45,0)))</f>
        <v>7.65714285714286</v>
      </c>
      <c r="Q45" s="34" t="n">
        <f aca="false">IF(O45="","",INDEX($D$12:$D$17,MATCH(O45,I45:N45,0)))</f>
        <v>31.55</v>
      </c>
    </row>
    <row r="46" customFormat="false" ht="15" hidden="false" customHeight="true" outlineLevel="0" collapsed="false">
      <c r="A46" s="54" t="n">
        <v>26</v>
      </c>
      <c r="B46" s="34" t="n">
        <f aca="false">(A46-0.5)*u_w</f>
        <v>25.5</v>
      </c>
      <c r="C46" s="34" t="n">
        <f aca="false">IF(OR(A46&gt;NL_b,$B$12=""),"",IF((ABS(B46-$B$12)+lane_off)&lt;=0,0,IF((ABS(B46-$B$12)+lane_off)&gt;=v_sh^2/a_sh,(ABS(B46-$B$12)+lane_off)/v_sh+v_sh/a_sh,2*SQRT((ABS(B46-$B$12)+lane_off)/a_sh))))</f>
        <v>14.8</v>
      </c>
      <c r="D46" s="34" t="n">
        <f aca="false">IF(OR(A46&gt;NL_b,$B$13=""),"",IF((ABS(B46-$B$13)+lane_off)&lt;=0,0,IF((ABS(B46-$B$13)+lane_off)&gt;=v_sh^2/a_sh,(ABS(B46-$B$13)+lane_off)/v_sh+v_sh/a_sh,2*SQRT((ABS(B46-$B$13)+lane_off)/a_sh))))</f>
        <v>6.94285714285714</v>
      </c>
      <c r="E46" s="34" t="str">
        <f aca="false">IF(OR(A46&gt;NL_b,$B$14=""),"",IF((ABS(B46-$B$14)+lane_off)&lt;=0,0,IF((ABS(B46-$B$14)+lane_off)&gt;=v_sh^2/a_sh,(ABS(B46-$B$14)+lane_off)/v_sh+v_sh/a_sh,2*SQRT((ABS(B46-$B$14)+lane_off)/a_sh))))</f>
        <v/>
      </c>
      <c r="F46" s="34" t="str">
        <f aca="false">IF(OR(A46&gt;NL_b,$B$15=""),"",IF((ABS(B46-$B$15)+lane_off)&lt;=0,0,IF((ABS(B46-$B$15)+lane_off)&gt;=v_sh^2/a_sh,(ABS(B46-$B$15)+lane_off)/v_sh+v_sh/a_sh,2*SQRT((ABS(B46-$B$15)+lane_off)/a_sh))))</f>
        <v/>
      </c>
      <c r="G46" s="34" t="str">
        <f aca="false">IF(OR(A46&gt;NL_b,$B$16=""),"",IF((ABS(B46-$B$16)+lane_off)&lt;=0,0,IF((ABS(B46-$B$16)+lane_off)&gt;=v_sh^2/a_sh,(ABS(B46-$B$16)+lane_off)/v_sh+v_sh/a_sh,2*SQRT((ABS(B46-$B$16)+lane_off)/a_sh))))</f>
        <v/>
      </c>
      <c r="H46" s="34" t="str">
        <f aca="false">IF(OR(A46&gt;NL_b,$B$17=""),"",IF((ABS(B46-$B$17)+lane_off)&lt;=0,0,IF((ABS(B46-$B$17)+lane_off)&gt;=v_sh^2/a_sh,(ABS(B46-$B$17)+lane_off)/v_sh+v_sh/a_sh,2*SQRT((ABS(B46-$B$17)+lane_off)/a_sh))))</f>
        <v/>
      </c>
      <c r="I46" s="34" t="n">
        <f aca="false">IF(C46="","",2*C46+w_conv*$D$12/v_conv)</f>
        <v>56.2625</v>
      </c>
      <c r="J46" s="34" t="n">
        <f aca="false">IF(D46="","",2*D46+w_conv*$D$13/v_conv)</f>
        <v>37.5482142857143</v>
      </c>
      <c r="K46" s="34" t="str">
        <f aca="false">IF(E46="","",2*E46+w_conv*$D$14/v_conv)</f>
        <v/>
      </c>
      <c r="L46" s="34" t="str">
        <f aca="false">IF(F46="","",2*F46+w_conv*$D$15/v_conv)</f>
        <v/>
      </c>
      <c r="M46" s="34" t="str">
        <f aca="false">IF(G46="","",2*G46+w_conv*$D$16/v_conv)</f>
        <v/>
      </c>
      <c r="N46" s="34" t="str">
        <f aca="false">IF(H46="","",2*H46+w_conv*$D$17/v_conv)</f>
        <v/>
      </c>
      <c r="O46" s="34" t="n">
        <f aca="false">IF(A46&gt;NL_b,"",MIN(I46:N46))</f>
        <v>37.5482142857143</v>
      </c>
      <c r="P46" s="34" t="n">
        <f aca="false">IF(O46="","",INDEX(C46:H46,MATCH(O46,I46:N46,0)))</f>
        <v>6.94285714285714</v>
      </c>
      <c r="Q46" s="34" t="n">
        <f aca="false">IF(O46="","",INDEX($D$12:$D$17,MATCH(O46,I46:N46,0)))</f>
        <v>31.55</v>
      </c>
    </row>
    <row r="47" customFormat="false" ht="15" hidden="false" customHeight="true" outlineLevel="0" collapsed="false">
      <c r="A47" s="54" t="n">
        <v>27</v>
      </c>
      <c r="B47" s="34" t="n">
        <f aca="false">(A47-0.5)*u_w</f>
        <v>26.5</v>
      </c>
      <c r="C47" s="34" t="n">
        <f aca="false">IF(OR(A47&gt;NL_b,$B$12=""),"",IF((ABS(B47-$B$12)+lane_off)&lt;=0,0,IF((ABS(B47-$B$12)+lane_off)&gt;=v_sh^2/a_sh,(ABS(B47-$B$12)+lane_off)/v_sh+v_sh/a_sh,2*SQRT((ABS(B47-$B$12)+lane_off)/a_sh))))</f>
        <v>15.5142857142857</v>
      </c>
      <c r="D47" s="34" t="n">
        <f aca="false">IF(OR(A47&gt;NL_b,$B$13=""),"",IF((ABS(B47-$B$13)+lane_off)&lt;=0,0,IF((ABS(B47-$B$13)+lane_off)&gt;=v_sh^2/a_sh,(ABS(B47-$B$13)+lane_off)/v_sh+v_sh/a_sh,2*SQRT((ABS(B47-$B$13)+lane_off)/a_sh))))</f>
        <v>6.22857142857143</v>
      </c>
      <c r="E47" s="34" t="str">
        <f aca="false">IF(OR(A47&gt;NL_b,$B$14=""),"",IF((ABS(B47-$B$14)+lane_off)&lt;=0,0,IF((ABS(B47-$B$14)+lane_off)&gt;=v_sh^2/a_sh,(ABS(B47-$B$14)+lane_off)/v_sh+v_sh/a_sh,2*SQRT((ABS(B47-$B$14)+lane_off)/a_sh))))</f>
        <v/>
      </c>
      <c r="F47" s="34" t="str">
        <f aca="false">IF(OR(A47&gt;NL_b,$B$15=""),"",IF((ABS(B47-$B$15)+lane_off)&lt;=0,0,IF((ABS(B47-$B$15)+lane_off)&gt;=v_sh^2/a_sh,(ABS(B47-$B$15)+lane_off)/v_sh+v_sh/a_sh,2*SQRT((ABS(B47-$B$15)+lane_off)/a_sh))))</f>
        <v/>
      </c>
      <c r="G47" s="34" t="str">
        <f aca="false">IF(OR(A47&gt;NL_b,$B$16=""),"",IF((ABS(B47-$B$16)+lane_off)&lt;=0,0,IF((ABS(B47-$B$16)+lane_off)&gt;=v_sh^2/a_sh,(ABS(B47-$B$16)+lane_off)/v_sh+v_sh/a_sh,2*SQRT((ABS(B47-$B$16)+lane_off)/a_sh))))</f>
        <v/>
      </c>
      <c r="H47" s="34" t="str">
        <f aca="false">IF(OR(A47&gt;NL_b,$B$17=""),"",IF((ABS(B47-$B$17)+lane_off)&lt;=0,0,IF((ABS(B47-$B$17)+lane_off)&gt;=v_sh^2/a_sh,(ABS(B47-$B$17)+lane_off)/v_sh+v_sh/a_sh,2*SQRT((ABS(B47-$B$17)+lane_off)/a_sh))))</f>
        <v/>
      </c>
      <c r="I47" s="34" t="n">
        <f aca="false">IF(C47="","",2*C47+w_conv*$D$12/v_conv)</f>
        <v>57.6910714285714</v>
      </c>
      <c r="J47" s="34" t="n">
        <f aca="false">IF(D47="","",2*D47+w_conv*$D$13/v_conv)</f>
        <v>36.1196428571429</v>
      </c>
      <c r="K47" s="34" t="str">
        <f aca="false">IF(E47="","",2*E47+w_conv*$D$14/v_conv)</f>
        <v/>
      </c>
      <c r="L47" s="34" t="str">
        <f aca="false">IF(F47="","",2*F47+w_conv*$D$15/v_conv)</f>
        <v/>
      </c>
      <c r="M47" s="34" t="str">
        <f aca="false">IF(G47="","",2*G47+w_conv*$D$16/v_conv)</f>
        <v/>
      </c>
      <c r="N47" s="34" t="str">
        <f aca="false">IF(H47="","",2*H47+w_conv*$D$17/v_conv)</f>
        <v/>
      </c>
      <c r="O47" s="34" t="n">
        <f aca="false">IF(A47&gt;NL_b,"",MIN(I47:N47))</f>
        <v>36.1196428571429</v>
      </c>
      <c r="P47" s="34" t="n">
        <f aca="false">IF(O47="","",INDEX(C47:H47,MATCH(O47,I47:N47,0)))</f>
        <v>6.22857142857143</v>
      </c>
      <c r="Q47" s="34" t="n">
        <f aca="false">IF(O47="","",INDEX($D$12:$D$17,MATCH(O47,I47:N47,0)))</f>
        <v>31.55</v>
      </c>
    </row>
    <row r="48" customFormat="false" ht="15" hidden="false" customHeight="true" outlineLevel="0" collapsed="false">
      <c r="A48" s="54" t="n">
        <v>28</v>
      </c>
      <c r="B48" s="34" t="n">
        <f aca="false">(A48-0.5)*u_w</f>
        <v>27.5</v>
      </c>
      <c r="C48" s="34" t="n">
        <f aca="false">IF(OR(A48&gt;NL_b,$B$12=""),"",IF((ABS(B48-$B$12)+lane_off)&lt;=0,0,IF((ABS(B48-$B$12)+lane_off)&gt;=v_sh^2/a_sh,(ABS(B48-$B$12)+lane_off)/v_sh+v_sh/a_sh,2*SQRT((ABS(B48-$B$12)+lane_off)/a_sh))))</f>
        <v>16.2285714285714</v>
      </c>
      <c r="D48" s="34" t="n">
        <f aca="false">IF(OR(A48&gt;NL_b,$B$13=""),"",IF((ABS(B48-$B$13)+lane_off)&lt;=0,0,IF((ABS(B48-$B$13)+lane_off)&gt;=v_sh^2/a_sh,(ABS(B48-$B$13)+lane_off)/v_sh+v_sh/a_sh,2*SQRT((ABS(B48-$B$13)+lane_off)/a_sh))))</f>
        <v>5.51361950083609</v>
      </c>
      <c r="E48" s="34" t="str">
        <f aca="false">IF(OR(A48&gt;NL_b,$B$14=""),"",IF((ABS(B48-$B$14)+lane_off)&lt;=0,0,IF((ABS(B48-$B$14)+lane_off)&gt;=v_sh^2/a_sh,(ABS(B48-$B$14)+lane_off)/v_sh+v_sh/a_sh,2*SQRT((ABS(B48-$B$14)+lane_off)/a_sh))))</f>
        <v/>
      </c>
      <c r="F48" s="34" t="str">
        <f aca="false">IF(OR(A48&gt;NL_b,$B$15=""),"",IF((ABS(B48-$B$15)+lane_off)&lt;=0,0,IF((ABS(B48-$B$15)+lane_off)&gt;=v_sh^2/a_sh,(ABS(B48-$B$15)+lane_off)/v_sh+v_sh/a_sh,2*SQRT((ABS(B48-$B$15)+lane_off)/a_sh))))</f>
        <v/>
      </c>
      <c r="G48" s="34" t="str">
        <f aca="false">IF(OR(A48&gt;NL_b,$B$16=""),"",IF((ABS(B48-$B$16)+lane_off)&lt;=0,0,IF((ABS(B48-$B$16)+lane_off)&gt;=v_sh^2/a_sh,(ABS(B48-$B$16)+lane_off)/v_sh+v_sh/a_sh,2*SQRT((ABS(B48-$B$16)+lane_off)/a_sh))))</f>
        <v/>
      </c>
      <c r="H48" s="34" t="str">
        <f aca="false">IF(OR(A48&gt;NL_b,$B$17=""),"",IF((ABS(B48-$B$17)+lane_off)&lt;=0,0,IF((ABS(B48-$B$17)+lane_off)&gt;=v_sh^2/a_sh,(ABS(B48-$B$17)+lane_off)/v_sh+v_sh/a_sh,2*SQRT((ABS(B48-$B$17)+lane_off)/a_sh))))</f>
        <v/>
      </c>
      <c r="I48" s="34" t="n">
        <f aca="false">IF(C48="","",2*C48+w_conv*$D$12/v_conv)</f>
        <v>59.1196428571429</v>
      </c>
      <c r="J48" s="34" t="n">
        <f aca="false">IF(D48="","",2*D48+w_conv*$D$13/v_conv)</f>
        <v>34.6897390016722</v>
      </c>
      <c r="K48" s="34" t="str">
        <f aca="false">IF(E48="","",2*E48+w_conv*$D$14/v_conv)</f>
        <v/>
      </c>
      <c r="L48" s="34" t="str">
        <f aca="false">IF(F48="","",2*F48+w_conv*$D$15/v_conv)</f>
        <v/>
      </c>
      <c r="M48" s="34" t="str">
        <f aca="false">IF(G48="","",2*G48+w_conv*$D$16/v_conv)</f>
        <v/>
      </c>
      <c r="N48" s="34" t="str">
        <f aca="false">IF(H48="","",2*H48+w_conv*$D$17/v_conv)</f>
        <v/>
      </c>
      <c r="O48" s="34" t="n">
        <f aca="false">IF(A48&gt;NL_b,"",MIN(I48:N48))</f>
        <v>34.6897390016722</v>
      </c>
      <c r="P48" s="34" t="n">
        <f aca="false">IF(O48="","",INDEX(C48:H48,MATCH(O48,I48:N48,0)))</f>
        <v>5.51361950083609</v>
      </c>
      <c r="Q48" s="34" t="n">
        <f aca="false">IF(O48="","",INDEX($D$12:$D$17,MATCH(O48,I48:N48,0)))</f>
        <v>31.55</v>
      </c>
    </row>
    <row r="49" customFormat="false" ht="15" hidden="false" customHeight="true" outlineLevel="0" collapsed="false">
      <c r="A49" s="54" t="n">
        <v>29</v>
      </c>
      <c r="B49" s="34" t="n">
        <f aca="false">(A49-0.5)*u_w</f>
        <v>28.5</v>
      </c>
      <c r="C49" s="34" t="n">
        <f aca="false">IF(OR(A49&gt;NL_b,$B$12=""),"",IF((ABS(B49-$B$12)+lane_off)&lt;=0,0,IF((ABS(B49-$B$12)+lane_off)&gt;=v_sh^2/a_sh,(ABS(B49-$B$12)+lane_off)/v_sh+v_sh/a_sh,2*SQRT((ABS(B49-$B$12)+lane_off)/a_sh))))</f>
        <v>16.9428571428571</v>
      </c>
      <c r="D49" s="34" t="n">
        <f aca="false">IF(OR(A49&gt;NL_b,$B$13=""),"",IF((ABS(B49-$B$13)+lane_off)&lt;=0,0,IF((ABS(B49-$B$13)+lane_off)&gt;=v_sh^2/a_sh,(ABS(B49-$B$13)+lane_off)/v_sh+v_sh/a_sh,2*SQRT((ABS(B49-$B$13)+lane_off)/a_sh))))</f>
        <v>4.73286382647969</v>
      </c>
      <c r="E49" s="34" t="str">
        <f aca="false">IF(OR(A49&gt;NL_b,$B$14=""),"",IF((ABS(B49-$B$14)+lane_off)&lt;=0,0,IF((ABS(B49-$B$14)+lane_off)&gt;=v_sh^2/a_sh,(ABS(B49-$B$14)+lane_off)/v_sh+v_sh/a_sh,2*SQRT((ABS(B49-$B$14)+lane_off)/a_sh))))</f>
        <v/>
      </c>
      <c r="F49" s="34" t="str">
        <f aca="false">IF(OR(A49&gt;NL_b,$B$15=""),"",IF((ABS(B49-$B$15)+lane_off)&lt;=0,0,IF((ABS(B49-$B$15)+lane_off)&gt;=v_sh^2/a_sh,(ABS(B49-$B$15)+lane_off)/v_sh+v_sh/a_sh,2*SQRT((ABS(B49-$B$15)+lane_off)/a_sh))))</f>
        <v/>
      </c>
      <c r="G49" s="34" t="str">
        <f aca="false">IF(OR(A49&gt;NL_b,$B$16=""),"",IF((ABS(B49-$B$16)+lane_off)&lt;=0,0,IF((ABS(B49-$B$16)+lane_off)&gt;=v_sh^2/a_sh,(ABS(B49-$B$16)+lane_off)/v_sh+v_sh/a_sh,2*SQRT((ABS(B49-$B$16)+lane_off)/a_sh))))</f>
        <v/>
      </c>
      <c r="H49" s="34" t="str">
        <f aca="false">IF(OR(A49&gt;NL_b,$B$17=""),"",IF((ABS(B49-$B$17)+lane_off)&lt;=0,0,IF((ABS(B49-$B$17)+lane_off)&gt;=v_sh^2/a_sh,(ABS(B49-$B$17)+lane_off)/v_sh+v_sh/a_sh,2*SQRT((ABS(B49-$B$17)+lane_off)/a_sh))))</f>
        <v/>
      </c>
      <c r="I49" s="34" t="n">
        <f aca="false">IF(C49="","",2*C49+w_conv*$D$12/v_conv)</f>
        <v>60.5482142857143</v>
      </c>
      <c r="J49" s="34" t="n">
        <f aca="false">IF(D49="","",2*D49+w_conv*$D$13/v_conv)</f>
        <v>33.1282276529594</v>
      </c>
      <c r="K49" s="34" t="str">
        <f aca="false">IF(E49="","",2*E49+w_conv*$D$14/v_conv)</f>
        <v/>
      </c>
      <c r="L49" s="34" t="str">
        <f aca="false">IF(F49="","",2*F49+w_conv*$D$15/v_conv)</f>
        <v/>
      </c>
      <c r="M49" s="34" t="str">
        <f aca="false">IF(G49="","",2*G49+w_conv*$D$16/v_conv)</f>
        <v/>
      </c>
      <c r="N49" s="34" t="str">
        <f aca="false">IF(H49="","",2*H49+w_conv*$D$17/v_conv)</f>
        <v/>
      </c>
      <c r="O49" s="34" t="n">
        <f aca="false">IF(A49&gt;NL_b,"",MIN(I49:N49))</f>
        <v>33.1282276529594</v>
      </c>
      <c r="P49" s="34" t="n">
        <f aca="false">IF(O49="","",INDEX(C49:H49,MATCH(O49,I49:N49,0)))</f>
        <v>4.73286382647969</v>
      </c>
      <c r="Q49" s="34" t="n">
        <f aca="false">IF(O49="","",INDEX($D$12:$D$17,MATCH(O49,I49:N49,0)))</f>
        <v>31.55</v>
      </c>
    </row>
    <row r="50" customFormat="false" ht="15" hidden="false" customHeight="true" outlineLevel="0" collapsed="false">
      <c r="A50" s="54" t="n">
        <v>30</v>
      </c>
      <c r="B50" s="34" t="n">
        <f aca="false">(A50-0.5)*u_w</f>
        <v>29.5</v>
      </c>
      <c r="C50" s="34" t="n">
        <f aca="false">IF(OR(A50&gt;NL_b,$B$12=""),"",IF((ABS(B50-$B$12)+lane_off)&lt;=0,0,IF((ABS(B50-$B$12)+lane_off)&gt;=v_sh^2/a_sh,(ABS(B50-$B$12)+lane_off)/v_sh+v_sh/a_sh,2*SQRT((ABS(B50-$B$12)+lane_off)/a_sh))))</f>
        <v>17.6571428571429</v>
      </c>
      <c r="D50" s="34" t="n">
        <f aca="false">IF(OR(A50&gt;NL_b,$B$13=""),"",IF((ABS(B50-$B$13)+lane_off)&lt;=0,0,IF((ABS(B50-$B$13)+lane_off)&gt;=v_sh^2/a_sh,(ABS(B50-$B$13)+lane_off)/v_sh+v_sh/a_sh,2*SQRT((ABS(B50-$B$13)+lane_off)/a_sh))))</f>
        <v>3.79473319220206</v>
      </c>
      <c r="E50" s="34" t="str">
        <f aca="false">IF(OR(A50&gt;NL_b,$B$14=""),"",IF((ABS(B50-$B$14)+lane_off)&lt;=0,0,IF((ABS(B50-$B$14)+lane_off)&gt;=v_sh^2/a_sh,(ABS(B50-$B$14)+lane_off)/v_sh+v_sh/a_sh,2*SQRT((ABS(B50-$B$14)+lane_off)/a_sh))))</f>
        <v/>
      </c>
      <c r="F50" s="34" t="str">
        <f aca="false">IF(OR(A50&gt;NL_b,$B$15=""),"",IF((ABS(B50-$B$15)+lane_off)&lt;=0,0,IF((ABS(B50-$B$15)+lane_off)&gt;=v_sh^2/a_sh,(ABS(B50-$B$15)+lane_off)/v_sh+v_sh/a_sh,2*SQRT((ABS(B50-$B$15)+lane_off)/a_sh))))</f>
        <v/>
      </c>
      <c r="G50" s="34" t="str">
        <f aca="false">IF(OR(A50&gt;NL_b,$B$16=""),"",IF((ABS(B50-$B$16)+lane_off)&lt;=0,0,IF((ABS(B50-$B$16)+lane_off)&gt;=v_sh^2/a_sh,(ABS(B50-$B$16)+lane_off)/v_sh+v_sh/a_sh,2*SQRT((ABS(B50-$B$16)+lane_off)/a_sh))))</f>
        <v/>
      </c>
      <c r="H50" s="34" t="str">
        <f aca="false">IF(OR(A50&gt;NL_b,$B$17=""),"",IF((ABS(B50-$B$17)+lane_off)&lt;=0,0,IF((ABS(B50-$B$17)+lane_off)&gt;=v_sh^2/a_sh,(ABS(B50-$B$17)+lane_off)/v_sh+v_sh/a_sh,2*SQRT((ABS(B50-$B$17)+lane_off)/a_sh))))</f>
        <v/>
      </c>
      <c r="I50" s="34" t="n">
        <f aca="false">IF(C50="","",2*C50+w_conv*$D$12/v_conv)</f>
        <v>61.9767857142857</v>
      </c>
      <c r="J50" s="34" t="n">
        <f aca="false">IF(D50="","",2*D50+w_conv*$D$13/v_conv)</f>
        <v>31.2519663844041</v>
      </c>
      <c r="K50" s="34" t="str">
        <f aca="false">IF(E50="","",2*E50+w_conv*$D$14/v_conv)</f>
        <v/>
      </c>
      <c r="L50" s="34" t="str">
        <f aca="false">IF(F50="","",2*F50+w_conv*$D$15/v_conv)</f>
        <v/>
      </c>
      <c r="M50" s="34" t="str">
        <f aca="false">IF(G50="","",2*G50+w_conv*$D$16/v_conv)</f>
        <v/>
      </c>
      <c r="N50" s="34" t="str">
        <f aca="false">IF(H50="","",2*H50+w_conv*$D$17/v_conv)</f>
        <v/>
      </c>
      <c r="O50" s="34" t="n">
        <f aca="false">IF(A50&gt;NL_b,"",MIN(I50:N50))</f>
        <v>31.2519663844041</v>
      </c>
      <c r="P50" s="34" t="n">
        <f aca="false">IF(O50="","",INDEX(C50:H50,MATCH(O50,I50:N50,0)))</f>
        <v>3.79473319220206</v>
      </c>
      <c r="Q50" s="34" t="n">
        <f aca="false">IF(O50="","",INDEX($D$12:$D$17,MATCH(O50,I50:N50,0)))</f>
        <v>31.55</v>
      </c>
    </row>
    <row r="51" customFormat="false" ht="15" hidden="false" customHeight="true" outlineLevel="0" collapsed="false">
      <c r="A51" s="54" t="n">
        <v>31</v>
      </c>
      <c r="B51" s="34" t="n">
        <f aca="false">(A51-0.5)*u_w</f>
        <v>30.5</v>
      </c>
      <c r="C51" s="34" t="n">
        <f aca="false">IF(OR(A51&gt;NL_b,$B$12=""),"",IF((ABS(B51-$B$12)+lane_off)&lt;=0,0,IF((ABS(B51-$B$12)+lane_off)&gt;=v_sh^2/a_sh,(ABS(B51-$B$12)+lane_off)/v_sh+v_sh/a_sh,2*SQRT((ABS(B51-$B$12)+lane_off)/a_sh))))</f>
        <v>18.3714285714286</v>
      </c>
      <c r="D51" s="34" t="n">
        <f aca="false">IF(OR(A51&gt;NL_b,$B$13=""),"",IF((ABS(B51-$B$13)+lane_off)&lt;=0,0,IF((ABS(B51-$B$13)+lane_off)&gt;=v_sh^2/a_sh,(ABS(B51-$B$13)+lane_off)/v_sh+v_sh/a_sh,2*SQRT((ABS(B51-$B$13)+lane_off)/a_sh))))</f>
        <v>3.79473319220206</v>
      </c>
      <c r="E51" s="34" t="str">
        <f aca="false">IF(OR(A51&gt;NL_b,$B$14=""),"",IF((ABS(B51-$B$14)+lane_off)&lt;=0,0,IF((ABS(B51-$B$14)+lane_off)&gt;=v_sh^2/a_sh,(ABS(B51-$B$14)+lane_off)/v_sh+v_sh/a_sh,2*SQRT((ABS(B51-$B$14)+lane_off)/a_sh))))</f>
        <v/>
      </c>
      <c r="F51" s="34" t="str">
        <f aca="false">IF(OR(A51&gt;NL_b,$B$15=""),"",IF((ABS(B51-$B$15)+lane_off)&lt;=0,0,IF((ABS(B51-$B$15)+lane_off)&gt;=v_sh^2/a_sh,(ABS(B51-$B$15)+lane_off)/v_sh+v_sh/a_sh,2*SQRT((ABS(B51-$B$15)+lane_off)/a_sh))))</f>
        <v/>
      </c>
      <c r="G51" s="34" t="str">
        <f aca="false">IF(OR(A51&gt;NL_b,$B$16=""),"",IF((ABS(B51-$B$16)+lane_off)&lt;=0,0,IF((ABS(B51-$B$16)+lane_off)&gt;=v_sh^2/a_sh,(ABS(B51-$B$16)+lane_off)/v_sh+v_sh/a_sh,2*SQRT((ABS(B51-$B$16)+lane_off)/a_sh))))</f>
        <v/>
      </c>
      <c r="H51" s="34" t="str">
        <f aca="false">IF(OR(A51&gt;NL_b,$B$17=""),"",IF((ABS(B51-$B$17)+lane_off)&lt;=0,0,IF((ABS(B51-$B$17)+lane_off)&gt;=v_sh^2/a_sh,(ABS(B51-$B$17)+lane_off)/v_sh+v_sh/a_sh,2*SQRT((ABS(B51-$B$17)+lane_off)/a_sh))))</f>
        <v/>
      </c>
      <c r="I51" s="34" t="n">
        <f aca="false">IF(C51="","",2*C51+w_conv*$D$12/v_conv)</f>
        <v>63.4053571428571</v>
      </c>
      <c r="J51" s="34" t="n">
        <f aca="false">IF(D51="","",2*D51+w_conv*$D$13/v_conv)</f>
        <v>31.2519663844041</v>
      </c>
      <c r="K51" s="34" t="str">
        <f aca="false">IF(E51="","",2*E51+w_conv*$D$14/v_conv)</f>
        <v/>
      </c>
      <c r="L51" s="34" t="str">
        <f aca="false">IF(F51="","",2*F51+w_conv*$D$15/v_conv)</f>
        <v/>
      </c>
      <c r="M51" s="34" t="str">
        <f aca="false">IF(G51="","",2*G51+w_conv*$D$16/v_conv)</f>
        <v/>
      </c>
      <c r="N51" s="34" t="str">
        <f aca="false">IF(H51="","",2*H51+w_conv*$D$17/v_conv)</f>
        <v/>
      </c>
      <c r="O51" s="34" t="n">
        <f aca="false">IF(A51&gt;NL_b,"",MIN(I51:N51))</f>
        <v>31.2519663844041</v>
      </c>
      <c r="P51" s="34" t="n">
        <f aca="false">IF(O51="","",INDEX(C51:H51,MATCH(O51,I51:N51,0)))</f>
        <v>3.79473319220206</v>
      </c>
      <c r="Q51" s="34" t="n">
        <f aca="false">IF(O51="","",INDEX($D$12:$D$17,MATCH(O51,I51:N51,0)))</f>
        <v>31.55</v>
      </c>
    </row>
    <row r="52" customFormat="false" ht="15" hidden="false" customHeight="true" outlineLevel="0" collapsed="false">
      <c r="A52" s="54" t="n">
        <v>32</v>
      </c>
      <c r="B52" s="34" t="n">
        <f aca="false">(A52-0.5)*u_w</f>
        <v>31.5</v>
      </c>
      <c r="C52" s="34" t="n">
        <f aca="false">IF(OR(A52&gt;NL_b,$B$12=""),"",IF((ABS(B52-$B$12)+lane_off)&lt;=0,0,IF((ABS(B52-$B$12)+lane_off)&gt;=v_sh^2/a_sh,(ABS(B52-$B$12)+lane_off)/v_sh+v_sh/a_sh,2*SQRT((ABS(B52-$B$12)+lane_off)/a_sh))))</f>
        <v>19.0857142857143</v>
      </c>
      <c r="D52" s="34" t="n">
        <f aca="false">IF(OR(A52&gt;NL_b,$B$13=""),"",IF((ABS(B52-$B$13)+lane_off)&lt;=0,0,IF((ABS(B52-$B$13)+lane_off)&gt;=v_sh^2/a_sh,(ABS(B52-$B$13)+lane_off)/v_sh+v_sh/a_sh,2*SQRT((ABS(B52-$B$13)+lane_off)/a_sh))))</f>
        <v>4.73286382647969</v>
      </c>
      <c r="E52" s="34" t="str">
        <f aca="false">IF(OR(A52&gt;NL_b,$B$14=""),"",IF((ABS(B52-$B$14)+lane_off)&lt;=0,0,IF((ABS(B52-$B$14)+lane_off)&gt;=v_sh^2/a_sh,(ABS(B52-$B$14)+lane_off)/v_sh+v_sh/a_sh,2*SQRT((ABS(B52-$B$14)+lane_off)/a_sh))))</f>
        <v/>
      </c>
      <c r="F52" s="34" t="str">
        <f aca="false">IF(OR(A52&gt;NL_b,$B$15=""),"",IF((ABS(B52-$B$15)+lane_off)&lt;=0,0,IF((ABS(B52-$B$15)+lane_off)&gt;=v_sh^2/a_sh,(ABS(B52-$B$15)+lane_off)/v_sh+v_sh/a_sh,2*SQRT((ABS(B52-$B$15)+lane_off)/a_sh))))</f>
        <v/>
      </c>
      <c r="G52" s="34" t="str">
        <f aca="false">IF(OR(A52&gt;NL_b,$B$16=""),"",IF((ABS(B52-$B$16)+lane_off)&lt;=0,0,IF((ABS(B52-$B$16)+lane_off)&gt;=v_sh^2/a_sh,(ABS(B52-$B$16)+lane_off)/v_sh+v_sh/a_sh,2*SQRT((ABS(B52-$B$16)+lane_off)/a_sh))))</f>
        <v/>
      </c>
      <c r="H52" s="34" t="str">
        <f aca="false">IF(OR(A52&gt;NL_b,$B$17=""),"",IF((ABS(B52-$B$17)+lane_off)&lt;=0,0,IF((ABS(B52-$B$17)+lane_off)&gt;=v_sh^2/a_sh,(ABS(B52-$B$17)+lane_off)/v_sh+v_sh/a_sh,2*SQRT((ABS(B52-$B$17)+lane_off)/a_sh))))</f>
        <v/>
      </c>
      <c r="I52" s="34" t="n">
        <f aca="false">IF(C52="","",2*C52+w_conv*$D$12/v_conv)</f>
        <v>64.8339285714286</v>
      </c>
      <c r="J52" s="34" t="n">
        <f aca="false">IF(D52="","",2*D52+w_conv*$D$13/v_conv)</f>
        <v>33.1282276529594</v>
      </c>
      <c r="K52" s="34" t="str">
        <f aca="false">IF(E52="","",2*E52+w_conv*$D$14/v_conv)</f>
        <v/>
      </c>
      <c r="L52" s="34" t="str">
        <f aca="false">IF(F52="","",2*F52+w_conv*$D$15/v_conv)</f>
        <v/>
      </c>
      <c r="M52" s="34" t="str">
        <f aca="false">IF(G52="","",2*G52+w_conv*$D$16/v_conv)</f>
        <v/>
      </c>
      <c r="N52" s="34" t="str">
        <f aca="false">IF(H52="","",2*H52+w_conv*$D$17/v_conv)</f>
        <v/>
      </c>
      <c r="O52" s="34" t="n">
        <f aca="false">IF(A52&gt;NL_b,"",MIN(I52:N52))</f>
        <v>33.1282276529594</v>
      </c>
      <c r="P52" s="34" t="n">
        <f aca="false">IF(O52="","",INDEX(C52:H52,MATCH(O52,I52:N52,0)))</f>
        <v>4.73286382647969</v>
      </c>
      <c r="Q52" s="34" t="n">
        <f aca="false">IF(O52="","",INDEX($D$12:$D$17,MATCH(O52,I52:N52,0)))</f>
        <v>31.55</v>
      </c>
    </row>
    <row r="53" customFormat="false" ht="15" hidden="false" customHeight="true" outlineLevel="0" collapsed="false">
      <c r="A53" s="54" t="n">
        <v>33</v>
      </c>
      <c r="B53" s="34" t="n">
        <f aca="false">(A53-0.5)*u_w</f>
        <v>32.5</v>
      </c>
      <c r="C53" s="34" t="n">
        <f aca="false">IF(OR(A53&gt;NL_b,$B$12=""),"",IF((ABS(B53-$B$12)+lane_off)&lt;=0,0,IF((ABS(B53-$B$12)+lane_off)&gt;=v_sh^2/a_sh,(ABS(B53-$B$12)+lane_off)/v_sh+v_sh/a_sh,2*SQRT((ABS(B53-$B$12)+lane_off)/a_sh))))</f>
        <v>19.8</v>
      </c>
      <c r="D53" s="34" t="n">
        <f aca="false">IF(OR(A53&gt;NL_b,$B$13=""),"",IF((ABS(B53-$B$13)+lane_off)&lt;=0,0,IF((ABS(B53-$B$13)+lane_off)&gt;=v_sh^2/a_sh,(ABS(B53-$B$13)+lane_off)/v_sh+v_sh/a_sh,2*SQRT((ABS(B53-$B$13)+lane_off)/a_sh))))</f>
        <v>5.51361950083609</v>
      </c>
      <c r="E53" s="34" t="str">
        <f aca="false">IF(OR(A53&gt;NL_b,$B$14=""),"",IF((ABS(B53-$B$14)+lane_off)&lt;=0,0,IF((ABS(B53-$B$14)+lane_off)&gt;=v_sh^2/a_sh,(ABS(B53-$B$14)+lane_off)/v_sh+v_sh/a_sh,2*SQRT((ABS(B53-$B$14)+lane_off)/a_sh))))</f>
        <v/>
      </c>
      <c r="F53" s="34" t="str">
        <f aca="false">IF(OR(A53&gt;NL_b,$B$15=""),"",IF((ABS(B53-$B$15)+lane_off)&lt;=0,0,IF((ABS(B53-$B$15)+lane_off)&gt;=v_sh^2/a_sh,(ABS(B53-$B$15)+lane_off)/v_sh+v_sh/a_sh,2*SQRT((ABS(B53-$B$15)+lane_off)/a_sh))))</f>
        <v/>
      </c>
      <c r="G53" s="34" t="str">
        <f aca="false">IF(OR(A53&gt;NL_b,$B$16=""),"",IF((ABS(B53-$B$16)+lane_off)&lt;=0,0,IF((ABS(B53-$B$16)+lane_off)&gt;=v_sh^2/a_sh,(ABS(B53-$B$16)+lane_off)/v_sh+v_sh/a_sh,2*SQRT((ABS(B53-$B$16)+lane_off)/a_sh))))</f>
        <v/>
      </c>
      <c r="H53" s="34" t="str">
        <f aca="false">IF(OR(A53&gt;NL_b,$B$17=""),"",IF((ABS(B53-$B$17)+lane_off)&lt;=0,0,IF((ABS(B53-$B$17)+lane_off)&gt;=v_sh^2/a_sh,(ABS(B53-$B$17)+lane_off)/v_sh+v_sh/a_sh,2*SQRT((ABS(B53-$B$17)+lane_off)/a_sh))))</f>
        <v/>
      </c>
      <c r="I53" s="34" t="n">
        <f aca="false">IF(C53="","",2*C53+w_conv*$D$12/v_conv)</f>
        <v>66.2625</v>
      </c>
      <c r="J53" s="34" t="n">
        <f aca="false">IF(D53="","",2*D53+w_conv*$D$13/v_conv)</f>
        <v>34.6897390016722</v>
      </c>
      <c r="K53" s="34" t="str">
        <f aca="false">IF(E53="","",2*E53+w_conv*$D$14/v_conv)</f>
        <v/>
      </c>
      <c r="L53" s="34" t="str">
        <f aca="false">IF(F53="","",2*F53+w_conv*$D$15/v_conv)</f>
        <v/>
      </c>
      <c r="M53" s="34" t="str">
        <f aca="false">IF(G53="","",2*G53+w_conv*$D$16/v_conv)</f>
        <v/>
      </c>
      <c r="N53" s="34" t="str">
        <f aca="false">IF(H53="","",2*H53+w_conv*$D$17/v_conv)</f>
        <v/>
      </c>
      <c r="O53" s="34" t="n">
        <f aca="false">IF(A53&gt;NL_b,"",MIN(I53:N53))</f>
        <v>34.6897390016722</v>
      </c>
      <c r="P53" s="34" t="n">
        <f aca="false">IF(O53="","",INDEX(C53:H53,MATCH(O53,I53:N53,0)))</f>
        <v>5.51361950083609</v>
      </c>
      <c r="Q53" s="34" t="n">
        <f aca="false">IF(O53="","",INDEX($D$12:$D$17,MATCH(O53,I53:N53,0)))</f>
        <v>31.55</v>
      </c>
    </row>
    <row r="54" customFormat="false" ht="15" hidden="false" customHeight="true" outlineLevel="0" collapsed="false">
      <c r="A54" s="54" t="n">
        <v>34</v>
      </c>
      <c r="B54" s="34" t="n">
        <f aca="false">(A54-0.5)*u_w</f>
        <v>33.5</v>
      </c>
      <c r="C54" s="34" t="n">
        <f aca="false">IF(OR(A54&gt;NL_b,$B$12=""),"",IF((ABS(B54-$B$12)+lane_off)&lt;=0,0,IF((ABS(B54-$B$12)+lane_off)&gt;=v_sh^2/a_sh,(ABS(B54-$B$12)+lane_off)/v_sh+v_sh/a_sh,2*SQRT((ABS(B54-$B$12)+lane_off)/a_sh))))</f>
        <v>20.5142857142857</v>
      </c>
      <c r="D54" s="34" t="n">
        <f aca="false">IF(OR(A54&gt;NL_b,$B$13=""),"",IF((ABS(B54-$B$13)+lane_off)&lt;=0,0,IF((ABS(B54-$B$13)+lane_off)&gt;=v_sh^2/a_sh,(ABS(B54-$B$13)+lane_off)/v_sh+v_sh/a_sh,2*SQRT((ABS(B54-$B$13)+lane_off)/a_sh))))</f>
        <v>6.22857142857143</v>
      </c>
      <c r="E54" s="34" t="str">
        <f aca="false">IF(OR(A54&gt;NL_b,$B$14=""),"",IF((ABS(B54-$B$14)+lane_off)&lt;=0,0,IF((ABS(B54-$B$14)+lane_off)&gt;=v_sh^2/a_sh,(ABS(B54-$B$14)+lane_off)/v_sh+v_sh/a_sh,2*SQRT((ABS(B54-$B$14)+lane_off)/a_sh))))</f>
        <v/>
      </c>
      <c r="F54" s="34" t="str">
        <f aca="false">IF(OR(A54&gt;NL_b,$B$15=""),"",IF((ABS(B54-$B$15)+lane_off)&lt;=0,0,IF((ABS(B54-$B$15)+lane_off)&gt;=v_sh^2/a_sh,(ABS(B54-$B$15)+lane_off)/v_sh+v_sh/a_sh,2*SQRT((ABS(B54-$B$15)+lane_off)/a_sh))))</f>
        <v/>
      </c>
      <c r="G54" s="34" t="str">
        <f aca="false">IF(OR(A54&gt;NL_b,$B$16=""),"",IF((ABS(B54-$B$16)+lane_off)&lt;=0,0,IF((ABS(B54-$B$16)+lane_off)&gt;=v_sh^2/a_sh,(ABS(B54-$B$16)+lane_off)/v_sh+v_sh/a_sh,2*SQRT((ABS(B54-$B$16)+lane_off)/a_sh))))</f>
        <v/>
      </c>
      <c r="H54" s="34" t="str">
        <f aca="false">IF(OR(A54&gt;NL_b,$B$17=""),"",IF((ABS(B54-$B$17)+lane_off)&lt;=0,0,IF((ABS(B54-$B$17)+lane_off)&gt;=v_sh^2/a_sh,(ABS(B54-$B$17)+lane_off)/v_sh+v_sh/a_sh,2*SQRT((ABS(B54-$B$17)+lane_off)/a_sh))))</f>
        <v/>
      </c>
      <c r="I54" s="34" t="n">
        <f aca="false">IF(C54="","",2*C54+w_conv*$D$12/v_conv)</f>
        <v>67.6910714285714</v>
      </c>
      <c r="J54" s="34" t="n">
        <f aca="false">IF(D54="","",2*D54+w_conv*$D$13/v_conv)</f>
        <v>36.1196428571429</v>
      </c>
      <c r="K54" s="34" t="str">
        <f aca="false">IF(E54="","",2*E54+w_conv*$D$14/v_conv)</f>
        <v/>
      </c>
      <c r="L54" s="34" t="str">
        <f aca="false">IF(F54="","",2*F54+w_conv*$D$15/v_conv)</f>
        <v/>
      </c>
      <c r="M54" s="34" t="str">
        <f aca="false">IF(G54="","",2*G54+w_conv*$D$16/v_conv)</f>
        <v/>
      </c>
      <c r="N54" s="34" t="str">
        <f aca="false">IF(H54="","",2*H54+w_conv*$D$17/v_conv)</f>
        <v/>
      </c>
      <c r="O54" s="34" t="n">
        <f aca="false">IF(A54&gt;NL_b,"",MIN(I54:N54))</f>
        <v>36.1196428571429</v>
      </c>
      <c r="P54" s="34" t="n">
        <f aca="false">IF(O54="","",INDEX(C54:H54,MATCH(O54,I54:N54,0)))</f>
        <v>6.22857142857143</v>
      </c>
      <c r="Q54" s="34" t="n">
        <f aca="false">IF(O54="","",INDEX($D$12:$D$17,MATCH(O54,I54:N54,0)))</f>
        <v>31.55</v>
      </c>
    </row>
    <row r="55" customFormat="false" ht="15" hidden="false" customHeight="true" outlineLevel="0" collapsed="false">
      <c r="A55" s="54" t="n">
        <v>35</v>
      </c>
      <c r="B55" s="34" t="n">
        <f aca="false">(A55-0.5)*u_w</f>
        <v>34.5</v>
      </c>
      <c r="C55" s="34" t="n">
        <f aca="false">IF(OR(A55&gt;NL_b,$B$12=""),"",IF((ABS(B55-$B$12)+lane_off)&lt;=0,0,IF((ABS(B55-$B$12)+lane_off)&gt;=v_sh^2/a_sh,(ABS(B55-$B$12)+lane_off)/v_sh+v_sh/a_sh,2*SQRT((ABS(B55-$B$12)+lane_off)/a_sh))))</f>
        <v>21.2285714285714</v>
      </c>
      <c r="D55" s="34" t="n">
        <f aca="false">IF(OR(A55&gt;NL_b,$B$13=""),"",IF((ABS(B55-$B$13)+lane_off)&lt;=0,0,IF((ABS(B55-$B$13)+lane_off)&gt;=v_sh^2/a_sh,(ABS(B55-$B$13)+lane_off)/v_sh+v_sh/a_sh,2*SQRT((ABS(B55-$B$13)+lane_off)/a_sh))))</f>
        <v>6.94285714285714</v>
      </c>
      <c r="E55" s="34" t="str">
        <f aca="false">IF(OR(A55&gt;NL_b,$B$14=""),"",IF((ABS(B55-$B$14)+lane_off)&lt;=0,0,IF((ABS(B55-$B$14)+lane_off)&gt;=v_sh^2/a_sh,(ABS(B55-$B$14)+lane_off)/v_sh+v_sh/a_sh,2*SQRT((ABS(B55-$B$14)+lane_off)/a_sh))))</f>
        <v/>
      </c>
      <c r="F55" s="34" t="str">
        <f aca="false">IF(OR(A55&gt;NL_b,$B$15=""),"",IF((ABS(B55-$B$15)+lane_off)&lt;=0,0,IF((ABS(B55-$B$15)+lane_off)&gt;=v_sh^2/a_sh,(ABS(B55-$B$15)+lane_off)/v_sh+v_sh/a_sh,2*SQRT((ABS(B55-$B$15)+lane_off)/a_sh))))</f>
        <v/>
      </c>
      <c r="G55" s="34" t="str">
        <f aca="false">IF(OR(A55&gt;NL_b,$B$16=""),"",IF((ABS(B55-$B$16)+lane_off)&lt;=0,0,IF((ABS(B55-$B$16)+lane_off)&gt;=v_sh^2/a_sh,(ABS(B55-$B$16)+lane_off)/v_sh+v_sh/a_sh,2*SQRT((ABS(B55-$B$16)+lane_off)/a_sh))))</f>
        <v/>
      </c>
      <c r="H55" s="34" t="str">
        <f aca="false">IF(OR(A55&gt;NL_b,$B$17=""),"",IF((ABS(B55-$B$17)+lane_off)&lt;=0,0,IF((ABS(B55-$B$17)+lane_off)&gt;=v_sh^2/a_sh,(ABS(B55-$B$17)+lane_off)/v_sh+v_sh/a_sh,2*SQRT((ABS(B55-$B$17)+lane_off)/a_sh))))</f>
        <v/>
      </c>
      <c r="I55" s="34" t="n">
        <f aca="false">IF(C55="","",2*C55+w_conv*$D$12/v_conv)</f>
        <v>69.1196428571429</v>
      </c>
      <c r="J55" s="34" t="n">
        <f aca="false">IF(D55="","",2*D55+w_conv*$D$13/v_conv)</f>
        <v>37.5482142857143</v>
      </c>
      <c r="K55" s="34" t="str">
        <f aca="false">IF(E55="","",2*E55+w_conv*$D$14/v_conv)</f>
        <v/>
      </c>
      <c r="L55" s="34" t="str">
        <f aca="false">IF(F55="","",2*F55+w_conv*$D$15/v_conv)</f>
        <v/>
      </c>
      <c r="M55" s="34" t="str">
        <f aca="false">IF(G55="","",2*G55+w_conv*$D$16/v_conv)</f>
        <v/>
      </c>
      <c r="N55" s="34" t="str">
        <f aca="false">IF(H55="","",2*H55+w_conv*$D$17/v_conv)</f>
        <v/>
      </c>
      <c r="O55" s="34" t="n">
        <f aca="false">IF(A55&gt;NL_b,"",MIN(I55:N55))</f>
        <v>37.5482142857143</v>
      </c>
      <c r="P55" s="34" t="n">
        <f aca="false">IF(O55="","",INDEX(C55:H55,MATCH(O55,I55:N55,0)))</f>
        <v>6.94285714285714</v>
      </c>
      <c r="Q55" s="34" t="n">
        <f aca="false">IF(O55="","",INDEX($D$12:$D$17,MATCH(O55,I55:N55,0)))</f>
        <v>31.55</v>
      </c>
    </row>
    <row r="56" customFormat="false" ht="15" hidden="false" customHeight="true" outlineLevel="0" collapsed="false">
      <c r="A56" s="54" t="n">
        <v>36</v>
      </c>
      <c r="B56" s="34" t="n">
        <f aca="false">(A56-0.5)*u_w</f>
        <v>35.5</v>
      </c>
      <c r="C56" s="34" t="n">
        <f aca="false">IF(OR(A56&gt;NL_b,$B$12=""),"",IF((ABS(B56-$B$12)+lane_off)&lt;=0,0,IF((ABS(B56-$B$12)+lane_off)&gt;=v_sh^2/a_sh,(ABS(B56-$B$12)+lane_off)/v_sh+v_sh/a_sh,2*SQRT((ABS(B56-$B$12)+lane_off)/a_sh))))</f>
        <v>21.9428571428571</v>
      </c>
      <c r="D56" s="34" t="n">
        <f aca="false">IF(OR(A56&gt;NL_b,$B$13=""),"",IF((ABS(B56-$B$13)+lane_off)&lt;=0,0,IF((ABS(B56-$B$13)+lane_off)&gt;=v_sh^2/a_sh,(ABS(B56-$B$13)+lane_off)/v_sh+v_sh/a_sh,2*SQRT((ABS(B56-$B$13)+lane_off)/a_sh))))</f>
        <v>7.65714285714286</v>
      </c>
      <c r="E56" s="34" t="str">
        <f aca="false">IF(OR(A56&gt;NL_b,$B$14=""),"",IF((ABS(B56-$B$14)+lane_off)&lt;=0,0,IF((ABS(B56-$B$14)+lane_off)&gt;=v_sh^2/a_sh,(ABS(B56-$B$14)+lane_off)/v_sh+v_sh/a_sh,2*SQRT((ABS(B56-$B$14)+lane_off)/a_sh))))</f>
        <v/>
      </c>
      <c r="F56" s="34" t="str">
        <f aca="false">IF(OR(A56&gt;NL_b,$B$15=""),"",IF((ABS(B56-$B$15)+lane_off)&lt;=0,0,IF((ABS(B56-$B$15)+lane_off)&gt;=v_sh^2/a_sh,(ABS(B56-$B$15)+lane_off)/v_sh+v_sh/a_sh,2*SQRT((ABS(B56-$B$15)+lane_off)/a_sh))))</f>
        <v/>
      </c>
      <c r="G56" s="34" t="str">
        <f aca="false">IF(OR(A56&gt;NL_b,$B$16=""),"",IF((ABS(B56-$B$16)+lane_off)&lt;=0,0,IF((ABS(B56-$B$16)+lane_off)&gt;=v_sh^2/a_sh,(ABS(B56-$B$16)+lane_off)/v_sh+v_sh/a_sh,2*SQRT((ABS(B56-$B$16)+lane_off)/a_sh))))</f>
        <v/>
      </c>
      <c r="H56" s="34" t="str">
        <f aca="false">IF(OR(A56&gt;NL_b,$B$17=""),"",IF((ABS(B56-$B$17)+lane_off)&lt;=0,0,IF((ABS(B56-$B$17)+lane_off)&gt;=v_sh^2/a_sh,(ABS(B56-$B$17)+lane_off)/v_sh+v_sh/a_sh,2*SQRT((ABS(B56-$B$17)+lane_off)/a_sh))))</f>
        <v/>
      </c>
      <c r="I56" s="34" t="n">
        <f aca="false">IF(C56="","",2*C56+w_conv*$D$12/v_conv)</f>
        <v>70.5482142857143</v>
      </c>
      <c r="J56" s="34" t="n">
        <f aca="false">IF(D56="","",2*D56+w_conv*$D$13/v_conv)</f>
        <v>38.9767857142857</v>
      </c>
      <c r="K56" s="34" t="str">
        <f aca="false">IF(E56="","",2*E56+w_conv*$D$14/v_conv)</f>
        <v/>
      </c>
      <c r="L56" s="34" t="str">
        <f aca="false">IF(F56="","",2*F56+w_conv*$D$15/v_conv)</f>
        <v/>
      </c>
      <c r="M56" s="34" t="str">
        <f aca="false">IF(G56="","",2*G56+w_conv*$D$16/v_conv)</f>
        <v/>
      </c>
      <c r="N56" s="34" t="str">
        <f aca="false">IF(H56="","",2*H56+w_conv*$D$17/v_conv)</f>
        <v/>
      </c>
      <c r="O56" s="34" t="n">
        <f aca="false">IF(A56&gt;NL_b,"",MIN(I56:N56))</f>
        <v>38.9767857142857</v>
      </c>
      <c r="P56" s="34" t="n">
        <f aca="false">IF(O56="","",INDEX(C56:H56,MATCH(O56,I56:N56,0)))</f>
        <v>7.65714285714286</v>
      </c>
      <c r="Q56" s="34" t="n">
        <f aca="false">IF(O56="","",INDEX($D$12:$D$17,MATCH(O56,I56:N56,0)))</f>
        <v>31.55</v>
      </c>
    </row>
    <row r="57" customFormat="false" ht="15" hidden="false" customHeight="true" outlineLevel="0" collapsed="false">
      <c r="A57" s="54" t="n">
        <v>37</v>
      </c>
      <c r="B57" s="34" t="n">
        <f aca="false">(A57-0.5)*u_w</f>
        <v>36.5</v>
      </c>
      <c r="C57" s="34" t="n">
        <f aca="false">IF(OR(A57&gt;NL_b,$B$12=""),"",IF((ABS(B57-$B$12)+lane_off)&lt;=0,0,IF((ABS(B57-$B$12)+lane_off)&gt;=v_sh^2/a_sh,(ABS(B57-$B$12)+lane_off)/v_sh+v_sh/a_sh,2*SQRT((ABS(B57-$B$12)+lane_off)/a_sh))))</f>
        <v>22.6571428571429</v>
      </c>
      <c r="D57" s="34" t="n">
        <f aca="false">IF(OR(A57&gt;NL_b,$B$13=""),"",IF((ABS(B57-$B$13)+lane_off)&lt;=0,0,IF((ABS(B57-$B$13)+lane_off)&gt;=v_sh^2/a_sh,(ABS(B57-$B$13)+lane_off)/v_sh+v_sh/a_sh,2*SQRT((ABS(B57-$B$13)+lane_off)/a_sh))))</f>
        <v>8.37142857142857</v>
      </c>
      <c r="E57" s="34" t="str">
        <f aca="false">IF(OR(A57&gt;NL_b,$B$14=""),"",IF((ABS(B57-$B$14)+lane_off)&lt;=0,0,IF((ABS(B57-$B$14)+lane_off)&gt;=v_sh^2/a_sh,(ABS(B57-$B$14)+lane_off)/v_sh+v_sh/a_sh,2*SQRT((ABS(B57-$B$14)+lane_off)/a_sh))))</f>
        <v/>
      </c>
      <c r="F57" s="34" t="str">
        <f aca="false">IF(OR(A57&gt;NL_b,$B$15=""),"",IF((ABS(B57-$B$15)+lane_off)&lt;=0,0,IF((ABS(B57-$B$15)+lane_off)&gt;=v_sh^2/a_sh,(ABS(B57-$B$15)+lane_off)/v_sh+v_sh/a_sh,2*SQRT((ABS(B57-$B$15)+lane_off)/a_sh))))</f>
        <v/>
      </c>
      <c r="G57" s="34" t="str">
        <f aca="false">IF(OR(A57&gt;NL_b,$B$16=""),"",IF((ABS(B57-$B$16)+lane_off)&lt;=0,0,IF((ABS(B57-$B$16)+lane_off)&gt;=v_sh^2/a_sh,(ABS(B57-$B$16)+lane_off)/v_sh+v_sh/a_sh,2*SQRT((ABS(B57-$B$16)+lane_off)/a_sh))))</f>
        <v/>
      </c>
      <c r="H57" s="34" t="str">
        <f aca="false">IF(OR(A57&gt;NL_b,$B$17=""),"",IF((ABS(B57-$B$17)+lane_off)&lt;=0,0,IF((ABS(B57-$B$17)+lane_off)&gt;=v_sh^2/a_sh,(ABS(B57-$B$17)+lane_off)/v_sh+v_sh/a_sh,2*SQRT((ABS(B57-$B$17)+lane_off)/a_sh))))</f>
        <v/>
      </c>
      <c r="I57" s="34" t="n">
        <f aca="false">IF(C57="","",2*C57+w_conv*$D$12/v_conv)</f>
        <v>71.9767857142857</v>
      </c>
      <c r="J57" s="34" t="n">
        <f aca="false">IF(D57="","",2*D57+w_conv*$D$13/v_conv)</f>
        <v>40.4053571428571</v>
      </c>
      <c r="K57" s="34" t="str">
        <f aca="false">IF(E57="","",2*E57+w_conv*$D$14/v_conv)</f>
        <v/>
      </c>
      <c r="L57" s="34" t="str">
        <f aca="false">IF(F57="","",2*F57+w_conv*$D$15/v_conv)</f>
        <v/>
      </c>
      <c r="M57" s="34" t="str">
        <f aca="false">IF(G57="","",2*G57+w_conv*$D$16/v_conv)</f>
        <v/>
      </c>
      <c r="N57" s="34" t="str">
        <f aca="false">IF(H57="","",2*H57+w_conv*$D$17/v_conv)</f>
        <v/>
      </c>
      <c r="O57" s="34" t="n">
        <f aca="false">IF(A57&gt;NL_b,"",MIN(I57:N57))</f>
        <v>40.4053571428571</v>
      </c>
      <c r="P57" s="34" t="n">
        <f aca="false">IF(O57="","",INDEX(C57:H57,MATCH(O57,I57:N57,0)))</f>
        <v>8.37142857142857</v>
      </c>
      <c r="Q57" s="34" t="n">
        <f aca="false">IF(O57="","",INDEX($D$12:$D$17,MATCH(O57,I57:N57,0)))</f>
        <v>31.55</v>
      </c>
    </row>
    <row r="58" customFormat="false" ht="15" hidden="false" customHeight="true" outlineLevel="0" collapsed="false">
      <c r="A58" s="54" t="n">
        <v>38</v>
      </c>
      <c r="B58" s="34" t="n">
        <f aca="false">(A58-0.5)*u_w</f>
        <v>37.5</v>
      </c>
      <c r="C58" s="34" t="n">
        <f aca="false">IF(OR(A58&gt;NL_b,$B$12=""),"",IF((ABS(B58-$B$12)+lane_off)&lt;=0,0,IF((ABS(B58-$B$12)+lane_off)&gt;=v_sh^2/a_sh,(ABS(B58-$B$12)+lane_off)/v_sh+v_sh/a_sh,2*SQRT((ABS(B58-$B$12)+lane_off)/a_sh))))</f>
        <v>23.3714285714286</v>
      </c>
      <c r="D58" s="34" t="n">
        <f aca="false">IF(OR(A58&gt;NL_b,$B$13=""),"",IF((ABS(B58-$B$13)+lane_off)&lt;=0,0,IF((ABS(B58-$B$13)+lane_off)&gt;=v_sh^2/a_sh,(ABS(B58-$B$13)+lane_off)/v_sh+v_sh/a_sh,2*SQRT((ABS(B58-$B$13)+lane_off)/a_sh))))</f>
        <v>9.08571428571429</v>
      </c>
      <c r="E58" s="34" t="str">
        <f aca="false">IF(OR(A58&gt;NL_b,$B$14=""),"",IF((ABS(B58-$B$14)+lane_off)&lt;=0,0,IF((ABS(B58-$B$14)+lane_off)&gt;=v_sh^2/a_sh,(ABS(B58-$B$14)+lane_off)/v_sh+v_sh/a_sh,2*SQRT((ABS(B58-$B$14)+lane_off)/a_sh))))</f>
        <v/>
      </c>
      <c r="F58" s="34" t="str">
        <f aca="false">IF(OR(A58&gt;NL_b,$B$15=""),"",IF((ABS(B58-$B$15)+lane_off)&lt;=0,0,IF((ABS(B58-$B$15)+lane_off)&gt;=v_sh^2/a_sh,(ABS(B58-$B$15)+lane_off)/v_sh+v_sh/a_sh,2*SQRT((ABS(B58-$B$15)+lane_off)/a_sh))))</f>
        <v/>
      </c>
      <c r="G58" s="34" t="str">
        <f aca="false">IF(OR(A58&gt;NL_b,$B$16=""),"",IF((ABS(B58-$B$16)+lane_off)&lt;=0,0,IF((ABS(B58-$B$16)+lane_off)&gt;=v_sh^2/a_sh,(ABS(B58-$B$16)+lane_off)/v_sh+v_sh/a_sh,2*SQRT((ABS(B58-$B$16)+lane_off)/a_sh))))</f>
        <v/>
      </c>
      <c r="H58" s="34" t="str">
        <f aca="false">IF(OR(A58&gt;NL_b,$B$17=""),"",IF((ABS(B58-$B$17)+lane_off)&lt;=0,0,IF((ABS(B58-$B$17)+lane_off)&gt;=v_sh^2/a_sh,(ABS(B58-$B$17)+lane_off)/v_sh+v_sh/a_sh,2*SQRT((ABS(B58-$B$17)+lane_off)/a_sh))))</f>
        <v/>
      </c>
      <c r="I58" s="34" t="n">
        <f aca="false">IF(C58="","",2*C58+w_conv*$D$12/v_conv)</f>
        <v>73.4053571428571</v>
      </c>
      <c r="J58" s="34" t="n">
        <f aca="false">IF(D58="","",2*D58+w_conv*$D$13/v_conv)</f>
        <v>41.8339285714286</v>
      </c>
      <c r="K58" s="34" t="str">
        <f aca="false">IF(E58="","",2*E58+w_conv*$D$14/v_conv)</f>
        <v/>
      </c>
      <c r="L58" s="34" t="str">
        <f aca="false">IF(F58="","",2*F58+w_conv*$D$15/v_conv)</f>
        <v/>
      </c>
      <c r="M58" s="34" t="str">
        <f aca="false">IF(G58="","",2*G58+w_conv*$D$16/v_conv)</f>
        <v/>
      </c>
      <c r="N58" s="34" t="str">
        <f aca="false">IF(H58="","",2*H58+w_conv*$D$17/v_conv)</f>
        <v/>
      </c>
      <c r="O58" s="34" t="n">
        <f aca="false">IF(A58&gt;NL_b,"",MIN(I58:N58))</f>
        <v>41.8339285714286</v>
      </c>
      <c r="P58" s="34" t="n">
        <f aca="false">IF(O58="","",INDEX(C58:H58,MATCH(O58,I58:N58,0)))</f>
        <v>9.08571428571429</v>
      </c>
      <c r="Q58" s="34" t="n">
        <f aca="false">IF(O58="","",INDEX($D$12:$D$17,MATCH(O58,I58:N58,0)))</f>
        <v>31.55</v>
      </c>
    </row>
    <row r="59" customFormat="false" ht="15" hidden="false" customHeight="true" outlineLevel="0" collapsed="false">
      <c r="A59" s="54" t="n">
        <v>39</v>
      </c>
      <c r="B59" s="34" t="n">
        <f aca="false">(A59-0.5)*u_w</f>
        <v>38.5</v>
      </c>
      <c r="C59" s="34" t="n">
        <f aca="false">IF(OR(A59&gt;NL_b,$B$12=""),"",IF((ABS(B59-$B$12)+lane_off)&lt;=0,0,IF((ABS(B59-$B$12)+lane_off)&gt;=v_sh^2/a_sh,(ABS(B59-$B$12)+lane_off)/v_sh+v_sh/a_sh,2*SQRT((ABS(B59-$B$12)+lane_off)/a_sh))))</f>
        <v>24.0857142857143</v>
      </c>
      <c r="D59" s="34" t="n">
        <f aca="false">IF(OR(A59&gt;NL_b,$B$13=""),"",IF((ABS(B59-$B$13)+lane_off)&lt;=0,0,IF((ABS(B59-$B$13)+lane_off)&gt;=v_sh^2/a_sh,(ABS(B59-$B$13)+lane_off)/v_sh+v_sh/a_sh,2*SQRT((ABS(B59-$B$13)+lane_off)/a_sh))))</f>
        <v>9.8</v>
      </c>
      <c r="E59" s="34" t="str">
        <f aca="false">IF(OR(A59&gt;NL_b,$B$14=""),"",IF((ABS(B59-$B$14)+lane_off)&lt;=0,0,IF((ABS(B59-$B$14)+lane_off)&gt;=v_sh^2/a_sh,(ABS(B59-$B$14)+lane_off)/v_sh+v_sh/a_sh,2*SQRT((ABS(B59-$B$14)+lane_off)/a_sh))))</f>
        <v/>
      </c>
      <c r="F59" s="34" t="str">
        <f aca="false">IF(OR(A59&gt;NL_b,$B$15=""),"",IF((ABS(B59-$B$15)+lane_off)&lt;=0,0,IF((ABS(B59-$B$15)+lane_off)&gt;=v_sh^2/a_sh,(ABS(B59-$B$15)+lane_off)/v_sh+v_sh/a_sh,2*SQRT((ABS(B59-$B$15)+lane_off)/a_sh))))</f>
        <v/>
      </c>
      <c r="G59" s="34" t="str">
        <f aca="false">IF(OR(A59&gt;NL_b,$B$16=""),"",IF((ABS(B59-$B$16)+lane_off)&lt;=0,0,IF((ABS(B59-$B$16)+lane_off)&gt;=v_sh^2/a_sh,(ABS(B59-$B$16)+lane_off)/v_sh+v_sh/a_sh,2*SQRT((ABS(B59-$B$16)+lane_off)/a_sh))))</f>
        <v/>
      </c>
      <c r="H59" s="34" t="str">
        <f aca="false">IF(OR(A59&gt;NL_b,$B$17=""),"",IF((ABS(B59-$B$17)+lane_off)&lt;=0,0,IF((ABS(B59-$B$17)+lane_off)&gt;=v_sh^2/a_sh,(ABS(B59-$B$17)+lane_off)/v_sh+v_sh/a_sh,2*SQRT((ABS(B59-$B$17)+lane_off)/a_sh))))</f>
        <v/>
      </c>
      <c r="I59" s="34" t="n">
        <f aca="false">IF(C59="","",2*C59+w_conv*$D$12/v_conv)</f>
        <v>74.8339285714286</v>
      </c>
      <c r="J59" s="34" t="n">
        <f aca="false">IF(D59="","",2*D59+w_conv*$D$13/v_conv)</f>
        <v>43.2625</v>
      </c>
      <c r="K59" s="34" t="str">
        <f aca="false">IF(E59="","",2*E59+w_conv*$D$14/v_conv)</f>
        <v/>
      </c>
      <c r="L59" s="34" t="str">
        <f aca="false">IF(F59="","",2*F59+w_conv*$D$15/v_conv)</f>
        <v/>
      </c>
      <c r="M59" s="34" t="str">
        <f aca="false">IF(G59="","",2*G59+w_conv*$D$16/v_conv)</f>
        <v/>
      </c>
      <c r="N59" s="34" t="str">
        <f aca="false">IF(H59="","",2*H59+w_conv*$D$17/v_conv)</f>
        <v/>
      </c>
      <c r="O59" s="34" t="n">
        <f aca="false">IF(A59&gt;NL_b,"",MIN(I59:N59))</f>
        <v>43.2625</v>
      </c>
      <c r="P59" s="34" t="n">
        <f aca="false">IF(O59="","",INDEX(C59:H59,MATCH(O59,I59:N59,0)))</f>
        <v>9.8</v>
      </c>
      <c r="Q59" s="34" t="n">
        <f aca="false">IF(O59="","",INDEX($D$12:$D$17,MATCH(O59,I59:N59,0)))</f>
        <v>31.55</v>
      </c>
    </row>
    <row r="60" customFormat="false" ht="15" hidden="false" customHeight="true" outlineLevel="0" collapsed="false">
      <c r="A60" s="54" t="n">
        <v>40</v>
      </c>
      <c r="B60" s="34" t="n">
        <f aca="false">(A60-0.5)*u_w</f>
        <v>39.5</v>
      </c>
      <c r="C60" s="34" t="n">
        <f aca="false">IF(OR(A60&gt;NL_b,$B$12=""),"",IF((ABS(B60-$B$12)+lane_off)&lt;=0,0,IF((ABS(B60-$B$12)+lane_off)&gt;=v_sh^2/a_sh,(ABS(B60-$B$12)+lane_off)/v_sh+v_sh/a_sh,2*SQRT((ABS(B60-$B$12)+lane_off)/a_sh))))</f>
        <v>24.8</v>
      </c>
      <c r="D60" s="34" t="n">
        <f aca="false">IF(OR(A60&gt;NL_b,$B$13=""),"",IF((ABS(B60-$B$13)+lane_off)&lt;=0,0,IF((ABS(B60-$B$13)+lane_off)&gt;=v_sh^2/a_sh,(ABS(B60-$B$13)+lane_off)/v_sh+v_sh/a_sh,2*SQRT((ABS(B60-$B$13)+lane_off)/a_sh))))</f>
        <v>10.5142857142857</v>
      </c>
      <c r="E60" s="34" t="str">
        <f aca="false">IF(OR(A60&gt;NL_b,$B$14=""),"",IF((ABS(B60-$B$14)+lane_off)&lt;=0,0,IF((ABS(B60-$B$14)+lane_off)&gt;=v_sh^2/a_sh,(ABS(B60-$B$14)+lane_off)/v_sh+v_sh/a_sh,2*SQRT((ABS(B60-$B$14)+lane_off)/a_sh))))</f>
        <v/>
      </c>
      <c r="F60" s="34" t="str">
        <f aca="false">IF(OR(A60&gt;NL_b,$B$15=""),"",IF((ABS(B60-$B$15)+lane_off)&lt;=0,0,IF((ABS(B60-$B$15)+lane_off)&gt;=v_sh^2/a_sh,(ABS(B60-$B$15)+lane_off)/v_sh+v_sh/a_sh,2*SQRT((ABS(B60-$B$15)+lane_off)/a_sh))))</f>
        <v/>
      </c>
      <c r="G60" s="34" t="str">
        <f aca="false">IF(OR(A60&gt;NL_b,$B$16=""),"",IF((ABS(B60-$B$16)+lane_off)&lt;=0,0,IF((ABS(B60-$B$16)+lane_off)&gt;=v_sh^2/a_sh,(ABS(B60-$B$16)+lane_off)/v_sh+v_sh/a_sh,2*SQRT((ABS(B60-$B$16)+lane_off)/a_sh))))</f>
        <v/>
      </c>
      <c r="H60" s="34" t="str">
        <f aca="false">IF(OR(A60&gt;NL_b,$B$17=""),"",IF((ABS(B60-$B$17)+lane_off)&lt;=0,0,IF((ABS(B60-$B$17)+lane_off)&gt;=v_sh^2/a_sh,(ABS(B60-$B$17)+lane_off)/v_sh+v_sh/a_sh,2*SQRT((ABS(B60-$B$17)+lane_off)/a_sh))))</f>
        <v/>
      </c>
      <c r="I60" s="34" t="n">
        <f aca="false">IF(C60="","",2*C60+w_conv*$D$12/v_conv)</f>
        <v>76.2625</v>
      </c>
      <c r="J60" s="34" t="n">
        <f aca="false">IF(D60="","",2*D60+w_conv*$D$13/v_conv)</f>
        <v>44.6910714285714</v>
      </c>
      <c r="K60" s="34" t="str">
        <f aca="false">IF(E60="","",2*E60+w_conv*$D$14/v_conv)</f>
        <v/>
      </c>
      <c r="L60" s="34" t="str">
        <f aca="false">IF(F60="","",2*F60+w_conv*$D$15/v_conv)</f>
        <v/>
      </c>
      <c r="M60" s="34" t="str">
        <f aca="false">IF(G60="","",2*G60+w_conv*$D$16/v_conv)</f>
        <v/>
      </c>
      <c r="N60" s="34" t="str">
        <f aca="false">IF(H60="","",2*H60+w_conv*$D$17/v_conv)</f>
        <v/>
      </c>
      <c r="O60" s="34" t="n">
        <f aca="false">IF(A60&gt;NL_b,"",MIN(I60:N60))</f>
        <v>44.6910714285714</v>
      </c>
      <c r="P60" s="34" t="n">
        <f aca="false">IF(O60="","",INDEX(C60:H60,MATCH(O60,I60:N60,0)))</f>
        <v>10.5142857142857</v>
      </c>
      <c r="Q60" s="34" t="n">
        <f aca="false">IF(O60="","",INDEX($D$12:$D$17,MATCH(O60,I60:N60,0)))</f>
        <v>31.55</v>
      </c>
    </row>
    <row r="61" customFormat="false" ht="15" hidden="false" customHeight="true" outlineLevel="0" collapsed="false">
      <c r="A61" s="54" t="n">
        <v>41</v>
      </c>
      <c r="B61" s="34" t="n">
        <f aca="false">(A61-0.5)*u_w</f>
        <v>40.5</v>
      </c>
      <c r="C61" s="34" t="str">
        <f aca="false">IF(OR(A61&gt;NL_b,$B$12=""),"",IF((ABS(B61-$B$12)+lane_off)&lt;=0,0,IF((ABS(B61-$B$12)+lane_off)&gt;=v_sh^2/a_sh,(ABS(B61-$B$12)+lane_off)/v_sh+v_sh/a_sh,2*SQRT((ABS(B61-$B$12)+lane_off)/a_sh))))</f>
        <v/>
      </c>
      <c r="D61" s="34" t="str">
        <f aca="false">IF(OR(A61&gt;NL_b,$B$13=""),"",IF((ABS(B61-$B$13)+lane_off)&lt;=0,0,IF((ABS(B61-$B$13)+lane_off)&gt;=v_sh^2/a_sh,(ABS(B61-$B$13)+lane_off)/v_sh+v_sh/a_sh,2*SQRT((ABS(B61-$B$13)+lane_off)/a_sh))))</f>
        <v/>
      </c>
      <c r="E61" s="34" t="str">
        <f aca="false">IF(OR(A61&gt;NL_b,$B$14=""),"",IF((ABS(B61-$B$14)+lane_off)&lt;=0,0,IF((ABS(B61-$B$14)+lane_off)&gt;=v_sh^2/a_sh,(ABS(B61-$B$14)+lane_off)/v_sh+v_sh/a_sh,2*SQRT((ABS(B61-$B$14)+lane_off)/a_sh))))</f>
        <v/>
      </c>
      <c r="F61" s="34" t="str">
        <f aca="false">IF(OR(A61&gt;NL_b,$B$15=""),"",IF((ABS(B61-$B$15)+lane_off)&lt;=0,0,IF((ABS(B61-$B$15)+lane_off)&gt;=v_sh^2/a_sh,(ABS(B61-$B$15)+lane_off)/v_sh+v_sh/a_sh,2*SQRT((ABS(B61-$B$15)+lane_off)/a_sh))))</f>
        <v/>
      </c>
      <c r="G61" s="34" t="str">
        <f aca="false">IF(OR(A61&gt;NL_b,$B$16=""),"",IF((ABS(B61-$B$16)+lane_off)&lt;=0,0,IF((ABS(B61-$B$16)+lane_off)&gt;=v_sh^2/a_sh,(ABS(B61-$B$16)+lane_off)/v_sh+v_sh/a_sh,2*SQRT((ABS(B61-$B$16)+lane_off)/a_sh))))</f>
        <v/>
      </c>
      <c r="H61" s="34" t="str">
        <f aca="false">IF(OR(A61&gt;NL_b,$B$17=""),"",IF((ABS(B61-$B$17)+lane_off)&lt;=0,0,IF((ABS(B61-$B$17)+lane_off)&gt;=v_sh^2/a_sh,(ABS(B61-$B$17)+lane_off)/v_sh+v_sh/a_sh,2*SQRT((ABS(B61-$B$17)+lane_off)/a_sh))))</f>
        <v/>
      </c>
      <c r="I61" s="34" t="str">
        <f aca="false">IF(C61="","",2*C61+w_conv*$D$12/v_conv)</f>
        <v/>
      </c>
      <c r="J61" s="34" t="str">
        <f aca="false">IF(D61="","",2*D61+w_conv*$D$13/v_conv)</f>
        <v/>
      </c>
      <c r="K61" s="34" t="str">
        <f aca="false">IF(E61="","",2*E61+w_conv*$D$14/v_conv)</f>
        <v/>
      </c>
      <c r="L61" s="34" t="str">
        <f aca="false">IF(F61="","",2*F61+w_conv*$D$15/v_conv)</f>
        <v/>
      </c>
      <c r="M61" s="34" t="str">
        <f aca="false">IF(G61="","",2*G61+w_conv*$D$16/v_conv)</f>
        <v/>
      </c>
      <c r="N61" s="34" t="str">
        <f aca="false">IF(H61="","",2*H61+w_conv*$D$17/v_conv)</f>
        <v/>
      </c>
      <c r="O61" s="34" t="str">
        <f aca="false">IF(A61&gt;NL_b,"",MIN(I61:N61))</f>
        <v/>
      </c>
      <c r="P61" s="34" t="str">
        <f aca="false">IF(O61="","",INDEX(C61:H61,MATCH(O61,I61:N61,0)))</f>
        <v/>
      </c>
      <c r="Q61" s="34" t="str">
        <f aca="false">IF(O61="","",INDEX($D$12:$D$17,MATCH(O61,I61:N61,0)))</f>
        <v/>
      </c>
    </row>
    <row r="62" customFormat="false" ht="15" hidden="false" customHeight="true" outlineLevel="0" collapsed="false">
      <c r="A62" s="54" t="n">
        <v>42</v>
      </c>
      <c r="B62" s="34" t="n">
        <f aca="false">(A62-0.5)*u_w</f>
        <v>41.5</v>
      </c>
      <c r="C62" s="34" t="str">
        <f aca="false">IF(OR(A62&gt;NL_b,$B$12=""),"",IF((ABS(B62-$B$12)+lane_off)&lt;=0,0,IF((ABS(B62-$B$12)+lane_off)&gt;=v_sh^2/a_sh,(ABS(B62-$B$12)+lane_off)/v_sh+v_sh/a_sh,2*SQRT((ABS(B62-$B$12)+lane_off)/a_sh))))</f>
        <v/>
      </c>
      <c r="D62" s="34" t="str">
        <f aca="false">IF(OR(A62&gt;NL_b,$B$13=""),"",IF((ABS(B62-$B$13)+lane_off)&lt;=0,0,IF((ABS(B62-$B$13)+lane_off)&gt;=v_sh^2/a_sh,(ABS(B62-$B$13)+lane_off)/v_sh+v_sh/a_sh,2*SQRT((ABS(B62-$B$13)+lane_off)/a_sh))))</f>
        <v/>
      </c>
      <c r="E62" s="34" t="str">
        <f aca="false">IF(OR(A62&gt;NL_b,$B$14=""),"",IF((ABS(B62-$B$14)+lane_off)&lt;=0,0,IF((ABS(B62-$B$14)+lane_off)&gt;=v_sh^2/a_sh,(ABS(B62-$B$14)+lane_off)/v_sh+v_sh/a_sh,2*SQRT((ABS(B62-$B$14)+lane_off)/a_sh))))</f>
        <v/>
      </c>
      <c r="F62" s="34" t="str">
        <f aca="false">IF(OR(A62&gt;NL_b,$B$15=""),"",IF((ABS(B62-$B$15)+lane_off)&lt;=0,0,IF((ABS(B62-$B$15)+lane_off)&gt;=v_sh^2/a_sh,(ABS(B62-$B$15)+lane_off)/v_sh+v_sh/a_sh,2*SQRT((ABS(B62-$B$15)+lane_off)/a_sh))))</f>
        <v/>
      </c>
      <c r="G62" s="34" t="str">
        <f aca="false">IF(OR(A62&gt;NL_b,$B$16=""),"",IF((ABS(B62-$B$16)+lane_off)&lt;=0,0,IF((ABS(B62-$B$16)+lane_off)&gt;=v_sh^2/a_sh,(ABS(B62-$B$16)+lane_off)/v_sh+v_sh/a_sh,2*SQRT((ABS(B62-$B$16)+lane_off)/a_sh))))</f>
        <v/>
      </c>
      <c r="H62" s="34" t="str">
        <f aca="false">IF(OR(A62&gt;NL_b,$B$17=""),"",IF((ABS(B62-$B$17)+lane_off)&lt;=0,0,IF((ABS(B62-$B$17)+lane_off)&gt;=v_sh^2/a_sh,(ABS(B62-$B$17)+lane_off)/v_sh+v_sh/a_sh,2*SQRT((ABS(B62-$B$17)+lane_off)/a_sh))))</f>
        <v/>
      </c>
      <c r="I62" s="34" t="str">
        <f aca="false">IF(C62="","",2*C62+w_conv*$D$12/v_conv)</f>
        <v/>
      </c>
      <c r="J62" s="34" t="str">
        <f aca="false">IF(D62="","",2*D62+w_conv*$D$13/v_conv)</f>
        <v/>
      </c>
      <c r="K62" s="34" t="str">
        <f aca="false">IF(E62="","",2*E62+w_conv*$D$14/v_conv)</f>
        <v/>
      </c>
      <c r="L62" s="34" t="str">
        <f aca="false">IF(F62="","",2*F62+w_conv*$D$15/v_conv)</f>
        <v/>
      </c>
      <c r="M62" s="34" t="str">
        <f aca="false">IF(G62="","",2*G62+w_conv*$D$16/v_conv)</f>
        <v/>
      </c>
      <c r="N62" s="34" t="str">
        <f aca="false">IF(H62="","",2*H62+w_conv*$D$17/v_conv)</f>
        <v/>
      </c>
      <c r="O62" s="34" t="str">
        <f aca="false">IF(A62&gt;NL_b,"",MIN(I62:N62))</f>
        <v/>
      </c>
      <c r="P62" s="34" t="str">
        <f aca="false">IF(O62="","",INDEX(C62:H62,MATCH(O62,I62:N62,0)))</f>
        <v/>
      </c>
      <c r="Q62" s="34" t="str">
        <f aca="false">IF(O62="","",INDEX($D$12:$D$17,MATCH(O62,I62:N62,0)))</f>
        <v/>
      </c>
    </row>
    <row r="63" customFormat="false" ht="15" hidden="false" customHeight="true" outlineLevel="0" collapsed="false">
      <c r="A63" s="54" t="n">
        <v>43</v>
      </c>
      <c r="B63" s="34" t="n">
        <f aca="false">(A63-0.5)*u_w</f>
        <v>42.5</v>
      </c>
      <c r="C63" s="34" t="str">
        <f aca="false">IF(OR(A63&gt;NL_b,$B$12=""),"",IF((ABS(B63-$B$12)+lane_off)&lt;=0,0,IF((ABS(B63-$B$12)+lane_off)&gt;=v_sh^2/a_sh,(ABS(B63-$B$12)+lane_off)/v_sh+v_sh/a_sh,2*SQRT((ABS(B63-$B$12)+lane_off)/a_sh))))</f>
        <v/>
      </c>
      <c r="D63" s="34" t="str">
        <f aca="false">IF(OR(A63&gt;NL_b,$B$13=""),"",IF((ABS(B63-$B$13)+lane_off)&lt;=0,0,IF((ABS(B63-$B$13)+lane_off)&gt;=v_sh^2/a_sh,(ABS(B63-$B$13)+lane_off)/v_sh+v_sh/a_sh,2*SQRT((ABS(B63-$B$13)+lane_off)/a_sh))))</f>
        <v/>
      </c>
      <c r="E63" s="34" t="str">
        <f aca="false">IF(OR(A63&gt;NL_b,$B$14=""),"",IF((ABS(B63-$B$14)+lane_off)&lt;=0,0,IF((ABS(B63-$B$14)+lane_off)&gt;=v_sh^2/a_sh,(ABS(B63-$B$14)+lane_off)/v_sh+v_sh/a_sh,2*SQRT((ABS(B63-$B$14)+lane_off)/a_sh))))</f>
        <v/>
      </c>
      <c r="F63" s="34" t="str">
        <f aca="false">IF(OR(A63&gt;NL_b,$B$15=""),"",IF((ABS(B63-$B$15)+lane_off)&lt;=0,0,IF((ABS(B63-$B$15)+lane_off)&gt;=v_sh^2/a_sh,(ABS(B63-$B$15)+lane_off)/v_sh+v_sh/a_sh,2*SQRT((ABS(B63-$B$15)+lane_off)/a_sh))))</f>
        <v/>
      </c>
      <c r="G63" s="34" t="str">
        <f aca="false">IF(OR(A63&gt;NL_b,$B$16=""),"",IF((ABS(B63-$B$16)+lane_off)&lt;=0,0,IF((ABS(B63-$B$16)+lane_off)&gt;=v_sh^2/a_sh,(ABS(B63-$B$16)+lane_off)/v_sh+v_sh/a_sh,2*SQRT((ABS(B63-$B$16)+lane_off)/a_sh))))</f>
        <v/>
      </c>
      <c r="H63" s="34" t="str">
        <f aca="false">IF(OR(A63&gt;NL_b,$B$17=""),"",IF((ABS(B63-$B$17)+lane_off)&lt;=0,0,IF((ABS(B63-$B$17)+lane_off)&gt;=v_sh^2/a_sh,(ABS(B63-$B$17)+lane_off)/v_sh+v_sh/a_sh,2*SQRT((ABS(B63-$B$17)+lane_off)/a_sh))))</f>
        <v/>
      </c>
      <c r="I63" s="34" t="str">
        <f aca="false">IF(C63="","",2*C63+w_conv*$D$12/v_conv)</f>
        <v/>
      </c>
      <c r="J63" s="34" t="str">
        <f aca="false">IF(D63="","",2*D63+w_conv*$D$13/v_conv)</f>
        <v/>
      </c>
      <c r="K63" s="34" t="str">
        <f aca="false">IF(E63="","",2*E63+w_conv*$D$14/v_conv)</f>
        <v/>
      </c>
      <c r="L63" s="34" t="str">
        <f aca="false">IF(F63="","",2*F63+w_conv*$D$15/v_conv)</f>
        <v/>
      </c>
      <c r="M63" s="34" t="str">
        <f aca="false">IF(G63="","",2*G63+w_conv*$D$16/v_conv)</f>
        <v/>
      </c>
      <c r="N63" s="34" t="str">
        <f aca="false">IF(H63="","",2*H63+w_conv*$D$17/v_conv)</f>
        <v/>
      </c>
      <c r="O63" s="34" t="str">
        <f aca="false">IF(A63&gt;NL_b,"",MIN(I63:N63))</f>
        <v/>
      </c>
      <c r="P63" s="34" t="str">
        <f aca="false">IF(O63="","",INDEX(C63:H63,MATCH(O63,I63:N63,0)))</f>
        <v/>
      </c>
      <c r="Q63" s="34" t="str">
        <f aca="false">IF(O63="","",INDEX($D$12:$D$17,MATCH(O63,I63:N63,0)))</f>
        <v/>
      </c>
    </row>
    <row r="64" customFormat="false" ht="15" hidden="false" customHeight="true" outlineLevel="0" collapsed="false">
      <c r="A64" s="54" t="n">
        <v>44</v>
      </c>
      <c r="B64" s="34" t="n">
        <f aca="false">(A64-0.5)*u_w</f>
        <v>43.5</v>
      </c>
      <c r="C64" s="34" t="str">
        <f aca="false">IF(OR(A64&gt;NL_b,$B$12=""),"",IF((ABS(B64-$B$12)+lane_off)&lt;=0,0,IF((ABS(B64-$B$12)+lane_off)&gt;=v_sh^2/a_sh,(ABS(B64-$B$12)+lane_off)/v_sh+v_sh/a_sh,2*SQRT((ABS(B64-$B$12)+lane_off)/a_sh))))</f>
        <v/>
      </c>
      <c r="D64" s="34" t="str">
        <f aca="false">IF(OR(A64&gt;NL_b,$B$13=""),"",IF((ABS(B64-$B$13)+lane_off)&lt;=0,0,IF((ABS(B64-$B$13)+lane_off)&gt;=v_sh^2/a_sh,(ABS(B64-$B$13)+lane_off)/v_sh+v_sh/a_sh,2*SQRT((ABS(B64-$B$13)+lane_off)/a_sh))))</f>
        <v/>
      </c>
      <c r="E64" s="34" t="str">
        <f aca="false">IF(OR(A64&gt;NL_b,$B$14=""),"",IF((ABS(B64-$B$14)+lane_off)&lt;=0,0,IF((ABS(B64-$B$14)+lane_off)&gt;=v_sh^2/a_sh,(ABS(B64-$B$14)+lane_off)/v_sh+v_sh/a_sh,2*SQRT((ABS(B64-$B$14)+lane_off)/a_sh))))</f>
        <v/>
      </c>
      <c r="F64" s="34" t="str">
        <f aca="false">IF(OR(A64&gt;NL_b,$B$15=""),"",IF((ABS(B64-$B$15)+lane_off)&lt;=0,0,IF((ABS(B64-$B$15)+lane_off)&gt;=v_sh^2/a_sh,(ABS(B64-$B$15)+lane_off)/v_sh+v_sh/a_sh,2*SQRT((ABS(B64-$B$15)+lane_off)/a_sh))))</f>
        <v/>
      </c>
      <c r="G64" s="34" t="str">
        <f aca="false">IF(OR(A64&gt;NL_b,$B$16=""),"",IF((ABS(B64-$B$16)+lane_off)&lt;=0,0,IF((ABS(B64-$B$16)+lane_off)&gt;=v_sh^2/a_sh,(ABS(B64-$B$16)+lane_off)/v_sh+v_sh/a_sh,2*SQRT((ABS(B64-$B$16)+lane_off)/a_sh))))</f>
        <v/>
      </c>
      <c r="H64" s="34" t="str">
        <f aca="false">IF(OR(A64&gt;NL_b,$B$17=""),"",IF((ABS(B64-$B$17)+lane_off)&lt;=0,0,IF((ABS(B64-$B$17)+lane_off)&gt;=v_sh^2/a_sh,(ABS(B64-$B$17)+lane_off)/v_sh+v_sh/a_sh,2*SQRT((ABS(B64-$B$17)+lane_off)/a_sh))))</f>
        <v/>
      </c>
      <c r="I64" s="34" t="str">
        <f aca="false">IF(C64="","",2*C64+w_conv*$D$12/v_conv)</f>
        <v/>
      </c>
      <c r="J64" s="34" t="str">
        <f aca="false">IF(D64="","",2*D64+w_conv*$D$13/v_conv)</f>
        <v/>
      </c>
      <c r="K64" s="34" t="str">
        <f aca="false">IF(E64="","",2*E64+w_conv*$D$14/v_conv)</f>
        <v/>
      </c>
      <c r="L64" s="34" t="str">
        <f aca="false">IF(F64="","",2*F64+w_conv*$D$15/v_conv)</f>
        <v/>
      </c>
      <c r="M64" s="34" t="str">
        <f aca="false">IF(G64="","",2*G64+w_conv*$D$16/v_conv)</f>
        <v/>
      </c>
      <c r="N64" s="34" t="str">
        <f aca="false">IF(H64="","",2*H64+w_conv*$D$17/v_conv)</f>
        <v/>
      </c>
      <c r="O64" s="34" t="str">
        <f aca="false">IF(A64&gt;NL_b,"",MIN(I64:N64))</f>
        <v/>
      </c>
      <c r="P64" s="34" t="str">
        <f aca="false">IF(O64="","",INDEX(C64:H64,MATCH(O64,I64:N64,0)))</f>
        <v/>
      </c>
      <c r="Q64" s="34" t="str">
        <f aca="false">IF(O64="","",INDEX($D$12:$D$17,MATCH(O64,I64:N64,0)))</f>
        <v/>
      </c>
    </row>
    <row r="65" customFormat="false" ht="15" hidden="false" customHeight="true" outlineLevel="0" collapsed="false">
      <c r="A65" s="54" t="n">
        <v>45</v>
      </c>
      <c r="B65" s="34" t="n">
        <f aca="false">(A65-0.5)*u_w</f>
        <v>44.5</v>
      </c>
      <c r="C65" s="34" t="str">
        <f aca="false">IF(OR(A65&gt;NL_b,$B$12=""),"",IF((ABS(B65-$B$12)+lane_off)&lt;=0,0,IF((ABS(B65-$B$12)+lane_off)&gt;=v_sh^2/a_sh,(ABS(B65-$B$12)+lane_off)/v_sh+v_sh/a_sh,2*SQRT((ABS(B65-$B$12)+lane_off)/a_sh))))</f>
        <v/>
      </c>
      <c r="D65" s="34" t="str">
        <f aca="false">IF(OR(A65&gt;NL_b,$B$13=""),"",IF((ABS(B65-$B$13)+lane_off)&lt;=0,0,IF((ABS(B65-$B$13)+lane_off)&gt;=v_sh^2/a_sh,(ABS(B65-$B$13)+lane_off)/v_sh+v_sh/a_sh,2*SQRT((ABS(B65-$B$13)+lane_off)/a_sh))))</f>
        <v/>
      </c>
      <c r="E65" s="34" t="str">
        <f aca="false">IF(OR(A65&gt;NL_b,$B$14=""),"",IF((ABS(B65-$B$14)+lane_off)&lt;=0,0,IF((ABS(B65-$B$14)+lane_off)&gt;=v_sh^2/a_sh,(ABS(B65-$B$14)+lane_off)/v_sh+v_sh/a_sh,2*SQRT((ABS(B65-$B$14)+lane_off)/a_sh))))</f>
        <v/>
      </c>
      <c r="F65" s="34" t="str">
        <f aca="false">IF(OR(A65&gt;NL_b,$B$15=""),"",IF((ABS(B65-$B$15)+lane_off)&lt;=0,0,IF((ABS(B65-$B$15)+lane_off)&gt;=v_sh^2/a_sh,(ABS(B65-$B$15)+lane_off)/v_sh+v_sh/a_sh,2*SQRT((ABS(B65-$B$15)+lane_off)/a_sh))))</f>
        <v/>
      </c>
      <c r="G65" s="34" t="str">
        <f aca="false">IF(OR(A65&gt;NL_b,$B$16=""),"",IF((ABS(B65-$B$16)+lane_off)&lt;=0,0,IF((ABS(B65-$B$16)+lane_off)&gt;=v_sh^2/a_sh,(ABS(B65-$B$16)+lane_off)/v_sh+v_sh/a_sh,2*SQRT((ABS(B65-$B$16)+lane_off)/a_sh))))</f>
        <v/>
      </c>
      <c r="H65" s="34" t="str">
        <f aca="false">IF(OR(A65&gt;NL_b,$B$17=""),"",IF((ABS(B65-$B$17)+lane_off)&lt;=0,0,IF((ABS(B65-$B$17)+lane_off)&gt;=v_sh^2/a_sh,(ABS(B65-$B$17)+lane_off)/v_sh+v_sh/a_sh,2*SQRT((ABS(B65-$B$17)+lane_off)/a_sh))))</f>
        <v/>
      </c>
      <c r="I65" s="34" t="str">
        <f aca="false">IF(C65="","",2*C65+w_conv*$D$12/v_conv)</f>
        <v/>
      </c>
      <c r="J65" s="34" t="str">
        <f aca="false">IF(D65="","",2*D65+w_conv*$D$13/v_conv)</f>
        <v/>
      </c>
      <c r="K65" s="34" t="str">
        <f aca="false">IF(E65="","",2*E65+w_conv*$D$14/v_conv)</f>
        <v/>
      </c>
      <c r="L65" s="34" t="str">
        <f aca="false">IF(F65="","",2*F65+w_conv*$D$15/v_conv)</f>
        <v/>
      </c>
      <c r="M65" s="34" t="str">
        <f aca="false">IF(G65="","",2*G65+w_conv*$D$16/v_conv)</f>
        <v/>
      </c>
      <c r="N65" s="34" t="str">
        <f aca="false">IF(H65="","",2*H65+w_conv*$D$17/v_conv)</f>
        <v/>
      </c>
      <c r="O65" s="34" t="str">
        <f aca="false">IF(A65&gt;NL_b,"",MIN(I65:N65))</f>
        <v/>
      </c>
      <c r="P65" s="34" t="str">
        <f aca="false">IF(O65="","",INDEX(C65:H65,MATCH(O65,I65:N65,0)))</f>
        <v/>
      </c>
      <c r="Q65" s="34" t="str">
        <f aca="false">IF(O65="","",INDEX($D$12:$D$17,MATCH(O65,I65:N65,0)))</f>
        <v/>
      </c>
    </row>
    <row r="66" customFormat="false" ht="15" hidden="false" customHeight="true" outlineLevel="0" collapsed="false">
      <c r="A66" s="54" t="n">
        <v>46</v>
      </c>
      <c r="B66" s="34" t="n">
        <f aca="false">(A66-0.5)*u_w</f>
        <v>45.5</v>
      </c>
      <c r="C66" s="34" t="str">
        <f aca="false">IF(OR(A66&gt;NL_b,$B$12=""),"",IF((ABS(B66-$B$12)+lane_off)&lt;=0,0,IF((ABS(B66-$B$12)+lane_off)&gt;=v_sh^2/a_sh,(ABS(B66-$B$12)+lane_off)/v_sh+v_sh/a_sh,2*SQRT((ABS(B66-$B$12)+lane_off)/a_sh))))</f>
        <v/>
      </c>
      <c r="D66" s="34" t="str">
        <f aca="false">IF(OR(A66&gt;NL_b,$B$13=""),"",IF((ABS(B66-$B$13)+lane_off)&lt;=0,0,IF((ABS(B66-$B$13)+lane_off)&gt;=v_sh^2/a_sh,(ABS(B66-$B$13)+lane_off)/v_sh+v_sh/a_sh,2*SQRT((ABS(B66-$B$13)+lane_off)/a_sh))))</f>
        <v/>
      </c>
      <c r="E66" s="34" t="str">
        <f aca="false">IF(OR(A66&gt;NL_b,$B$14=""),"",IF((ABS(B66-$B$14)+lane_off)&lt;=0,0,IF((ABS(B66-$B$14)+lane_off)&gt;=v_sh^2/a_sh,(ABS(B66-$B$14)+lane_off)/v_sh+v_sh/a_sh,2*SQRT((ABS(B66-$B$14)+lane_off)/a_sh))))</f>
        <v/>
      </c>
      <c r="F66" s="34" t="str">
        <f aca="false">IF(OR(A66&gt;NL_b,$B$15=""),"",IF((ABS(B66-$B$15)+lane_off)&lt;=0,0,IF((ABS(B66-$B$15)+lane_off)&gt;=v_sh^2/a_sh,(ABS(B66-$B$15)+lane_off)/v_sh+v_sh/a_sh,2*SQRT((ABS(B66-$B$15)+lane_off)/a_sh))))</f>
        <v/>
      </c>
      <c r="G66" s="34" t="str">
        <f aca="false">IF(OR(A66&gt;NL_b,$B$16=""),"",IF((ABS(B66-$B$16)+lane_off)&lt;=0,0,IF((ABS(B66-$B$16)+lane_off)&gt;=v_sh^2/a_sh,(ABS(B66-$B$16)+lane_off)/v_sh+v_sh/a_sh,2*SQRT((ABS(B66-$B$16)+lane_off)/a_sh))))</f>
        <v/>
      </c>
      <c r="H66" s="34" t="str">
        <f aca="false">IF(OR(A66&gt;NL_b,$B$17=""),"",IF((ABS(B66-$B$17)+lane_off)&lt;=0,0,IF((ABS(B66-$B$17)+lane_off)&gt;=v_sh^2/a_sh,(ABS(B66-$B$17)+lane_off)/v_sh+v_sh/a_sh,2*SQRT((ABS(B66-$B$17)+lane_off)/a_sh))))</f>
        <v/>
      </c>
      <c r="I66" s="34" t="str">
        <f aca="false">IF(C66="","",2*C66+w_conv*$D$12/v_conv)</f>
        <v/>
      </c>
      <c r="J66" s="34" t="str">
        <f aca="false">IF(D66="","",2*D66+w_conv*$D$13/v_conv)</f>
        <v/>
      </c>
      <c r="K66" s="34" t="str">
        <f aca="false">IF(E66="","",2*E66+w_conv*$D$14/v_conv)</f>
        <v/>
      </c>
      <c r="L66" s="34" t="str">
        <f aca="false">IF(F66="","",2*F66+w_conv*$D$15/v_conv)</f>
        <v/>
      </c>
      <c r="M66" s="34" t="str">
        <f aca="false">IF(G66="","",2*G66+w_conv*$D$16/v_conv)</f>
        <v/>
      </c>
      <c r="N66" s="34" t="str">
        <f aca="false">IF(H66="","",2*H66+w_conv*$D$17/v_conv)</f>
        <v/>
      </c>
      <c r="O66" s="34" t="str">
        <f aca="false">IF(A66&gt;NL_b,"",MIN(I66:N66))</f>
        <v/>
      </c>
      <c r="P66" s="34" t="str">
        <f aca="false">IF(O66="","",INDEX(C66:H66,MATCH(O66,I66:N66,0)))</f>
        <v/>
      </c>
      <c r="Q66" s="34" t="str">
        <f aca="false">IF(O66="","",INDEX($D$12:$D$17,MATCH(O66,I66:N66,0)))</f>
        <v/>
      </c>
    </row>
    <row r="67" customFormat="false" ht="15" hidden="false" customHeight="true" outlineLevel="0" collapsed="false">
      <c r="A67" s="54" t="n">
        <v>47</v>
      </c>
      <c r="B67" s="34" t="n">
        <f aca="false">(A67-0.5)*u_w</f>
        <v>46.5</v>
      </c>
      <c r="C67" s="34" t="str">
        <f aca="false">IF(OR(A67&gt;NL_b,$B$12=""),"",IF((ABS(B67-$B$12)+lane_off)&lt;=0,0,IF((ABS(B67-$B$12)+lane_off)&gt;=v_sh^2/a_sh,(ABS(B67-$B$12)+lane_off)/v_sh+v_sh/a_sh,2*SQRT((ABS(B67-$B$12)+lane_off)/a_sh))))</f>
        <v/>
      </c>
      <c r="D67" s="34" t="str">
        <f aca="false">IF(OR(A67&gt;NL_b,$B$13=""),"",IF((ABS(B67-$B$13)+lane_off)&lt;=0,0,IF((ABS(B67-$B$13)+lane_off)&gt;=v_sh^2/a_sh,(ABS(B67-$B$13)+lane_off)/v_sh+v_sh/a_sh,2*SQRT((ABS(B67-$B$13)+lane_off)/a_sh))))</f>
        <v/>
      </c>
      <c r="E67" s="34" t="str">
        <f aca="false">IF(OR(A67&gt;NL_b,$B$14=""),"",IF((ABS(B67-$B$14)+lane_off)&lt;=0,0,IF((ABS(B67-$B$14)+lane_off)&gt;=v_sh^2/a_sh,(ABS(B67-$B$14)+lane_off)/v_sh+v_sh/a_sh,2*SQRT((ABS(B67-$B$14)+lane_off)/a_sh))))</f>
        <v/>
      </c>
      <c r="F67" s="34" t="str">
        <f aca="false">IF(OR(A67&gt;NL_b,$B$15=""),"",IF((ABS(B67-$B$15)+lane_off)&lt;=0,0,IF((ABS(B67-$B$15)+lane_off)&gt;=v_sh^2/a_sh,(ABS(B67-$B$15)+lane_off)/v_sh+v_sh/a_sh,2*SQRT((ABS(B67-$B$15)+lane_off)/a_sh))))</f>
        <v/>
      </c>
      <c r="G67" s="34" t="str">
        <f aca="false">IF(OR(A67&gt;NL_b,$B$16=""),"",IF((ABS(B67-$B$16)+lane_off)&lt;=0,0,IF((ABS(B67-$B$16)+lane_off)&gt;=v_sh^2/a_sh,(ABS(B67-$B$16)+lane_off)/v_sh+v_sh/a_sh,2*SQRT((ABS(B67-$B$16)+lane_off)/a_sh))))</f>
        <v/>
      </c>
      <c r="H67" s="34" t="str">
        <f aca="false">IF(OR(A67&gt;NL_b,$B$17=""),"",IF((ABS(B67-$B$17)+lane_off)&lt;=0,0,IF((ABS(B67-$B$17)+lane_off)&gt;=v_sh^2/a_sh,(ABS(B67-$B$17)+lane_off)/v_sh+v_sh/a_sh,2*SQRT((ABS(B67-$B$17)+lane_off)/a_sh))))</f>
        <v/>
      </c>
      <c r="I67" s="34" t="str">
        <f aca="false">IF(C67="","",2*C67+w_conv*$D$12/v_conv)</f>
        <v/>
      </c>
      <c r="J67" s="34" t="str">
        <f aca="false">IF(D67="","",2*D67+w_conv*$D$13/v_conv)</f>
        <v/>
      </c>
      <c r="K67" s="34" t="str">
        <f aca="false">IF(E67="","",2*E67+w_conv*$D$14/v_conv)</f>
        <v/>
      </c>
      <c r="L67" s="34" t="str">
        <f aca="false">IF(F67="","",2*F67+w_conv*$D$15/v_conv)</f>
        <v/>
      </c>
      <c r="M67" s="34" t="str">
        <f aca="false">IF(G67="","",2*G67+w_conv*$D$16/v_conv)</f>
        <v/>
      </c>
      <c r="N67" s="34" t="str">
        <f aca="false">IF(H67="","",2*H67+w_conv*$D$17/v_conv)</f>
        <v/>
      </c>
      <c r="O67" s="34" t="str">
        <f aca="false">IF(A67&gt;NL_b,"",MIN(I67:N67))</f>
        <v/>
      </c>
      <c r="P67" s="34" t="str">
        <f aca="false">IF(O67="","",INDEX(C67:H67,MATCH(O67,I67:N67,0)))</f>
        <v/>
      </c>
      <c r="Q67" s="34" t="str">
        <f aca="false">IF(O67="","",INDEX($D$12:$D$17,MATCH(O67,I67:N67,0)))</f>
        <v/>
      </c>
    </row>
    <row r="68" customFormat="false" ht="15" hidden="false" customHeight="true" outlineLevel="0" collapsed="false">
      <c r="A68" s="54" t="n">
        <v>48</v>
      </c>
      <c r="B68" s="34" t="n">
        <f aca="false">(A68-0.5)*u_w</f>
        <v>47.5</v>
      </c>
      <c r="C68" s="34" t="str">
        <f aca="false">IF(OR(A68&gt;NL_b,$B$12=""),"",IF((ABS(B68-$B$12)+lane_off)&lt;=0,0,IF((ABS(B68-$B$12)+lane_off)&gt;=v_sh^2/a_sh,(ABS(B68-$B$12)+lane_off)/v_sh+v_sh/a_sh,2*SQRT((ABS(B68-$B$12)+lane_off)/a_sh))))</f>
        <v/>
      </c>
      <c r="D68" s="34" t="str">
        <f aca="false">IF(OR(A68&gt;NL_b,$B$13=""),"",IF((ABS(B68-$B$13)+lane_off)&lt;=0,0,IF((ABS(B68-$B$13)+lane_off)&gt;=v_sh^2/a_sh,(ABS(B68-$B$13)+lane_off)/v_sh+v_sh/a_sh,2*SQRT((ABS(B68-$B$13)+lane_off)/a_sh))))</f>
        <v/>
      </c>
      <c r="E68" s="34" t="str">
        <f aca="false">IF(OR(A68&gt;NL_b,$B$14=""),"",IF((ABS(B68-$B$14)+lane_off)&lt;=0,0,IF((ABS(B68-$B$14)+lane_off)&gt;=v_sh^2/a_sh,(ABS(B68-$B$14)+lane_off)/v_sh+v_sh/a_sh,2*SQRT((ABS(B68-$B$14)+lane_off)/a_sh))))</f>
        <v/>
      </c>
      <c r="F68" s="34" t="str">
        <f aca="false">IF(OR(A68&gt;NL_b,$B$15=""),"",IF((ABS(B68-$B$15)+lane_off)&lt;=0,0,IF((ABS(B68-$B$15)+lane_off)&gt;=v_sh^2/a_sh,(ABS(B68-$B$15)+lane_off)/v_sh+v_sh/a_sh,2*SQRT((ABS(B68-$B$15)+lane_off)/a_sh))))</f>
        <v/>
      </c>
      <c r="G68" s="34" t="str">
        <f aca="false">IF(OR(A68&gt;NL_b,$B$16=""),"",IF((ABS(B68-$B$16)+lane_off)&lt;=0,0,IF((ABS(B68-$B$16)+lane_off)&gt;=v_sh^2/a_sh,(ABS(B68-$B$16)+lane_off)/v_sh+v_sh/a_sh,2*SQRT((ABS(B68-$B$16)+lane_off)/a_sh))))</f>
        <v/>
      </c>
      <c r="H68" s="34" t="str">
        <f aca="false">IF(OR(A68&gt;NL_b,$B$17=""),"",IF((ABS(B68-$B$17)+lane_off)&lt;=0,0,IF((ABS(B68-$B$17)+lane_off)&gt;=v_sh^2/a_sh,(ABS(B68-$B$17)+lane_off)/v_sh+v_sh/a_sh,2*SQRT((ABS(B68-$B$17)+lane_off)/a_sh))))</f>
        <v/>
      </c>
      <c r="I68" s="34" t="str">
        <f aca="false">IF(C68="","",2*C68+w_conv*$D$12/v_conv)</f>
        <v/>
      </c>
      <c r="J68" s="34" t="str">
        <f aca="false">IF(D68="","",2*D68+w_conv*$D$13/v_conv)</f>
        <v/>
      </c>
      <c r="K68" s="34" t="str">
        <f aca="false">IF(E68="","",2*E68+w_conv*$D$14/v_conv)</f>
        <v/>
      </c>
      <c r="L68" s="34" t="str">
        <f aca="false">IF(F68="","",2*F68+w_conv*$D$15/v_conv)</f>
        <v/>
      </c>
      <c r="M68" s="34" t="str">
        <f aca="false">IF(G68="","",2*G68+w_conv*$D$16/v_conv)</f>
        <v/>
      </c>
      <c r="N68" s="34" t="str">
        <f aca="false">IF(H68="","",2*H68+w_conv*$D$17/v_conv)</f>
        <v/>
      </c>
      <c r="O68" s="34" t="str">
        <f aca="false">IF(A68&gt;NL_b,"",MIN(I68:N68))</f>
        <v/>
      </c>
      <c r="P68" s="34" t="str">
        <f aca="false">IF(O68="","",INDEX(C68:H68,MATCH(O68,I68:N68,0)))</f>
        <v/>
      </c>
      <c r="Q68" s="34" t="str">
        <f aca="false">IF(O68="","",INDEX($D$12:$D$17,MATCH(O68,I68:N68,0)))</f>
        <v/>
      </c>
    </row>
    <row r="69" customFormat="false" ht="15" hidden="false" customHeight="true" outlineLevel="0" collapsed="false">
      <c r="A69" s="54" t="n">
        <v>49</v>
      </c>
      <c r="B69" s="34" t="n">
        <f aca="false">(A69-0.5)*u_w</f>
        <v>48.5</v>
      </c>
      <c r="C69" s="34" t="str">
        <f aca="false">IF(OR(A69&gt;NL_b,$B$12=""),"",IF((ABS(B69-$B$12)+lane_off)&lt;=0,0,IF((ABS(B69-$B$12)+lane_off)&gt;=v_sh^2/a_sh,(ABS(B69-$B$12)+lane_off)/v_sh+v_sh/a_sh,2*SQRT((ABS(B69-$B$12)+lane_off)/a_sh))))</f>
        <v/>
      </c>
      <c r="D69" s="34" t="str">
        <f aca="false">IF(OR(A69&gt;NL_b,$B$13=""),"",IF((ABS(B69-$B$13)+lane_off)&lt;=0,0,IF((ABS(B69-$B$13)+lane_off)&gt;=v_sh^2/a_sh,(ABS(B69-$B$13)+lane_off)/v_sh+v_sh/a_sh,2*SQRT((ABS(B69-$B$13)+lane_off)/a_sh))))</f>
        <v/>
      </c>
      <c r="E69" s="34" t="str">
        <f aca="false">IF(OR(A69&gt;NL_b,$B$14=""),"",IF((ABS(B69-$B$14)+lane_off)&lt;=0,0,IF((ABS(B69-$B$14)+lane_off)&gt;=v_sh^2/a_sh,(ABS(B69-$B$14)+lane_off)/v_sh+v_sh/a_sh,2*SQRT((ABS(B69-$B$14)+lane_off)/a_sh))))</f>
        <v/>
      </c>
      <c r="F69" s="34" t="str">
        <f aca="false">IF(OR(A69&gt;NL_b,$B$15=""),"",IF((ABS(B69-$B$15)+lane_off)&lt;=0,0,IF((ABS(B69-$B$15)+lane_off)&gt;=v_sh^2/a_sh,(ABS(B69-$B$15)+lane_off)/v_sh+v_sh/a_sh,2*SQRT((ABS(B69-$B$15)+lane_off)/a_sh))))</f>
        <v/>
      </c>
      <c r="G69" s="34" t="str">
        <f aca="false">IF(OR(A69&gt;NL_b,$B$16=""),"",IF((ABS(B69-$B$16)+lane_off)&lt;=0,0,IF((ABS(B69-$B$16)+lane_off)&gt;=v_sh^2/a_sh,(ABS(B69-$B$16)+lane_off)/v_sh+v_sh/a_sh,2*SQRT((ABS(B69-$B$16)+lane_off)/a_sh))))</f>
        <v/>
      </c>
      <c r="H69" s="34" t="str">
        <f aca="false">IF(OR(A69&gt;NL_b,$B$17=""),"",IF((ABS(B69-$B$17)+lane_off)&lt;=0,0,IF((ABS(B69-$B$17)+lane_off)&gt;=v_sh^2/a_sh,(ABS(B69-$B$17)+lane_off)/v_sh+v_sh/a_sh,2*SQRT((ABS(B69-$B$17)+lane_off)/a_sh))))</f>
        <v/>
      </c>
      <c r="I69" s="34" t="str">
        <f aca="false">IF(C69="","",2*C69+w_conv*$D$12/v_conv)</f>
        <v/>
      </c>
      <c r="J69" s="34" t="str">
        <f aca="false">IF(D69="","",2*D69+w_conv*$D$13/v_conv)</f>
        <v/>
      </c>
      <c r="K69" s="34" t="str">
        <f aca="false">IF(E69="","",2*E69+w_conv*$D$14/v_conv)</f>
        <v/>
      </c>
      <c r="L69" s="34" t="str">
        <f aca="false">IF(F69="","",2*F69+w_conv*$D$15/v_conv)</f>
        <v/>
      </c>
      <c r="M69" s="34" t="str">
        <f aca="false">IF(G69="","",2*G69+w_conv*$D$16/v_conv)</f>
        <v/>
      </c>
      <c r="N69" s="34" t="str">
        <f aca="false">IF(H69="","",2*H69+w_conv*$D$17/v_conv)</f>
        <v/>
      </c>
      <c r="O69" s="34" t="str">
        <f aca="false">IF(A69&gt;NL_b,"",MIN(I69:N69))</f>
        <v/>
      </c>
      <c r="P69" s="34" t="str">
        <f aca="false">IF(O69="","",INDEX(C69:H69,MATCH(O69,I69:N69,0)))</f>
        <v/>
      </c>
      <c r="Q69" s="34" t="str">
        <f aca="false">IF(O69="","",INDEX($D$12:$D$17,MATCH(O69,I69:N69,0)))</f>
        <v/>
      </c>
    </row>
    <row r="70" customFormat="false" ht="15" hidden="false" customHeight="true" outlineLevel="0" collapsed="false">
      <c r="A70" s="54" t="n">
        <v>50</v>
      </c>
      <c r="B70" s="34" t="n">
        <f aca="false">(A70-0.5)*u_w</f>
        <v>49.5</v>
      </c>
      <c r="C70" s="34" t="str">
        <f aca="false">IF(OR(A70&gt;NL_b,$B$12=""),"",IF((ABS(B70-$B$12)+lane_off)&lt;=0,0,IF((ABS(B70-$B$12)+lane_off)&gt;=v_sh^2/a_sh,(ABS(B70-$B$12)+lane_off)/v_sh+v_sh/a_sh,2*SQRT((ABS(B70-$B$12)+lane_off)/a_sh))))</f>
        <v/>
      </c>
      <c r="D70" s="34" t="str">
        <f aca="false">IF(OR(A70&gt;NL_b,$B$13=""),"",IF((ABS(B70-$B$13)+lane_off)&lt;=0,0,IF((ABS(B70-$B$13)+lane_off)&gt;=v_sh^2/a_sh,(ABS(B70-$B$13)+lane_off)/v_sh+v_sh/a_sh,2*SQRT((ABS(B70-$B$13)+lane_off)/a_sh))))</f>
        <v/>
      </c>
      <c r="E70" s="34" t="str">
        <f aca="false">IF(OR(A70&gt;NL_b,$B$14=""),"",IF((ABS(B70-$B$14)+lane_off)&lt;=0,0,IF((ABS(B70-$B$14)+lane_off)&gt;=v_sh^2/a_sh,(ABS(B70-$B$14)+lane_off)/v_sh+v_sh/a_sh,2*SQRT((ABS(B70-$B$14)+lane_off)/a_sh))))</f>
        <v/>
      </c>
      <c r="F70" s="34" t="str">
        <f aca="false">IF(OR(A70&gt;NL_b,$B$15=""),"",IF((ABS(B70-$B$15)+lane_off)&lt;=0,0,IF((ABS(B70-$B$15)+lane_off)&gt;=v_sh^2/a_sh,(ABS(B70-$B$15)+lane_off)/v_sh+v_sh/a_sh,2*SQRT((ABS(B70-$B$15)+lane_off)/a_sh))))</f>
        <v/>
      </c>
      <c r="G70" s="34" t="str">
        <f aca="false">IF(OR(A70&gt;NL_b,$B$16=""),"",IF((ABS(B70-$B$16)+lane_off)&lt;=0,0,IF((ABS(B70-$B$16)+lane_off)&gt;=v_sh^2/a_sh,(ABS(B70-$B$16)+lane_off)/v_sh+v_sh/a_sh,2*SQRT((ABS(B70-$B$16)+lane_off)/a_sh))))</f>
        <v/>
      </c>
      <c r="H70" s="34" t="str">
        <f aca="false">IF(OR(A70&gt;NL_b,$B$17=""),"",IF((ABS(B70-$B$17)+lane_off)&lt;=0,0,IF((ABS(B70-$B$17)+lane_off)&gt;=v_sh^2/a_sh,(ABS(B70-$B$17)+lane_off)/v_sh+v_sh/a_sh,2*SQRT((ABS(B70-$B$17)+lane_off)/a_sh))))</f>
        <v/>
      </c>
      <c r="I70" s="34" t="str">
        <f aca="false">IF(C70="","",2*C70+w_conv*$D$12/v_conv)</f>
        <v/>
      </c>
      <c r="J70" s="34" t="str">
        <f aca="false">IF(D70="","",2*D70+w_conv*$D$13/v_conv)</f>
        <v/>
      </c>
      <c r="K70" s="34" t="str">
        <f aca="false">IF(E70="","",2*E70+w_conv*$D$14/v_conv)</f>
        <v/>
      </c>
      <c r="L70" s="34" t="str">
        <f aca="false">IF(F70="","",2*F70+w_conv*$D$15/v_conv)</f>
        <v/>
      </c>
      <c r="M70" s="34" t="str">
        <f aca="false">IF(G70="","",2*G70+w_conv*$D$16/v_conv)</f>
        <v/>
      </c>
      <c r="N70" s="34" t="str">
        <f aca="false">IF(H70="","",2*H70+w_conv*$D$17/v_conv)</f>
        <v/>
      </c>
      <c r="O70" s="34" t="str">
        <f aca="false">IF(A70&gt;NL_b,"",MIN(I70:N70))</f>
        <v/>
      </c>
      <c r="P70" s="34" t="str">
        <f aca="false">IF(O70="","",INDEX(C70:H70,MATCH(O70,I70:N70,0)))</f>
        <v/>
      </c>
      <c r="Q70" s="34" t="str">
        <f aca="false">IF(O70="","",INDEX($D$12:$D$17,MATCH(O70,I70:N70,0)))</f>
        <v/>
      </c>
    </row>
    <row r="71" customFormat="false" ht="15" hidden="false" customHeight="true" outlineLevel="0" collapsed="false">
      <c r="A71" s="54" t="n">
        <v>51</v>
      </c>
      <c r="B71" s="34" t="n">
        <f aca="false">(A71-0.5)*u_w</f>
        <v>50.5</v>
      </c>
      <c r="C71" s="34" t="str">
        <f aca="false">IF(OR(A71&gt;NL_b,$B$12=""),"",IF((ABS(B71-$B$12)+lane_off)&lt;=0,0,IF((ABS(B71-$B$12)+lane_off)&gt;=v_sh^2/a_sh,(ABS(B71-$B$12)+lane_off)/v_sh+v_sh/a_sh,2*SQRT((ABS(B71-$B$12)+lane_off)/a_sh))))</f>
        <v/>
      </c>
      <c r="D71" s="34" t="str">
        <f aca="false">IF(OR(A71&gt;NL_b,$B$13=""),"",IF((ABS(B71-$B$13)+lane_off)&lt;=0,0,IF((ABS(B71-$B$13)+lane_off)&gt;=v_sh^2/a_sh,(ABS(B71-$B$13)+lane_off)/v_sh+v_sh/a_sh,2*SQRT((ABS(B71-$B$13)+lane_off)/a_sh))))</f>
        <v/>
      </c>
      <c r="E71" s="34" t="str">
        <f aca="false">IF(OR(A71&gt;NL_b,$B$14=""),"",IF((ABS(B71-$B$14)+lane_off)&lt;=0,0,IF((ABS(B71-$B$14)+lane_off)&gt;=v_sh^2/a_sh,(ABS(B71-$B$14)+lane_off)/v_sh+v_sh/a_sh,2*SQRT((ABS(B71-$B$14)+lane_off)/a_sh))))</f>
        <v/>
      </c>
      <c r="F71" s="34" t="str">
        <f aca="false">IF(OR(A71&gt;NL_b,$B$15=""),"",IF((ABS(B71-$B$15)+lane_off)&lt;=0,0,IF((ABS(B71-$B$15)+lane_off)&gt;=v_sh^2/a_sh,(ABS(B71-$B$15)+lane_off)/v_sh+v_sh/a_sh,2*SQRT((ABS(B71-$B$15)+lane_off)/a_sh))))</f>
        <v/>
      </c>
      <c r="G71" s="34" t="str">
        <f aca="false">IF(OR(A71&gt;NL_b,$B$16=""),"",IF((ABS(B71-$B$16)+lane_off)&lt;=0,0,IF((ABS(B71-$B$16)+lane_off)&gt;=v_sh^2/a_sh,(ABS(B71-$B$16)+lane_off)/v_sh+v_sh/a_sh,2*SQRT((ABS(B71-$B$16)+lane_off)/a_sh))))</f>
        <v/>
      </c>
      <c r="H71" s="34" t="str">
        <f aca="false">IF(OR(A71&gt;NL_b,$B$17=""),"",IF((ABS(B71-$B$17)+lane_off)&lt;=0,0,IF((ABS(B71-$B$17)+lane_off)&gt;=v_sh^2/a_sh,(ABS(B71-$B$17)+lane_off)/v_sh+v_sh/a_sh,2*SQRT((ABS(B71-$B$17)+lane_off)/a_sh))))</f>
        <v/>
      </c>
      <c r="I71" s="34" t="str">
        <f aca="false">IF(C71="","",2*C71+w_conv*$D$12/v_conv)</f>
        <v/>
      </c>
      <c r="J71" s="34" t="str">
        <f aca="false">IF(D71="","",2*D71+w_conv*$D$13/v_conv)</f>
        <v/>
      </c>
      <c r="K71" s="34" t="str">
        <f aca="false">IF(E71="","",2*E71+w_conv*$D$14/v_conv)</f>
        <v/>
      </c>
      <c r="L71" s="34" t="str">
        <f aca="false">IF(F71="","",2*F71+w_conv*$D$15/v_conv)</f>
        <v/>
      </c>
      <c r="M71" s="34" t="str">
        <f aca="false">IF(G71="","",2*G71+w_conv*$D$16/v_conv)</f>
        <v/>
      </c>
      <c r="N71" s="34" t="str">
        <f aca="false">IF(H71="","",2*H71+w_conv*$D$17/v_conv)</f>
        <v/>
      </c>
      <c r="O71" s="34" t="str">
        <f aca="false">IF(A71&gt;NL_b,"",MIN(I71:N71))</f>
        <v/>
      </c>
      <c r="P71" s="34" t="str">
        <f aca="false">IF(O71="","",INDEX(C71:H71,MATCH(O71,I71:N71,0)))</f>
        <v/>
      </c>
      <c r="Q71" s="34" t="str">
        <f aca="false">IF(O71="","",INDEX($D$12:$D$17,MATCH(O71,I71:N71,0)))</f>
        <v/>
      </c>
    </row>
    <row r="72" customFormat="false" ht="15" hidden="false" customHeight="true" outlineLevel="0" collapsed="false">
      <c r="A72" s="54" t="n">
        <v>52</v>
      </c>
      <c r="B72" s="34" t="n">
        <f aca="false">(A72-0.5)*u_w</f>
        <v>51.5</v>
      </c>
      <c r="C72" s="34" t="str">
        <f aca="false">IF(OR(A72&gt;NL_b,$B$12=""),"",IF((ABS(B72-$B$12)+lane_off)&lt;=0,0,IF((ABS(B72-$B$12)+lane_off)&gt;=v_sh^2/a_sh,(ABS(B72-$B$12)+lane_off)/v_sh+v_sh/a_sh,2*SQRT((ABS(B72-$B$12)+lane_off)/a_sh))))</f>
        <v/>
      </c>
      <c r="D72" s="34" t="str">
        <f aca="false">IF(OR(A72&gt;NL_b,$B$13=""),"",IF((ABS(B72-$B$13)+lane_off)&lt;=0,0,IF((ABS(B72-$B$13)+lane_off)&gt;=v_sh^2/a_sh,(ABS(B72-$B$13)+lane_off)/v_sh+v_sh/a_sh,2*SQRT((ABS(B72-$B$13)+lane_off)/a_sh))))</f>
        <v/>
      </c>
      <c r="E72" s="34" t="str">
        <f aca="false">IF(OR(A72&gt;NL_b,$B$14=""),"",IF((ABS(B72-$B$14)+lane_off)&lt;=0,0,IF((ABS(B72-$B$14)+lane_off)&gt;=v_sh^2/a_sh,(ABS(B72-$B$14)+lane_off)/v_sh+v_sh/a_sh,2*SQRT((ABS(B72-$B$14)+lane_off)/a_sh))))</f>
        <v/>
      </c>
      <c r="F72" s="34" t="str">
        <f aca="false">IF(OR(A72&gt;NL_b,$B$15=""),"",IF((ABS(B72-$B$15)+lane_off)&lt;=0,0,IF((ABS(B72-$B$15)+lane_off)&gt;=v_sh^2/a_sh,(ABS(B72-$B$15)+lane_off)/v_sh+v_sh/a_sh,2*SQRT((ABS(B72-$B$15)+lane_off)/a_sh))))</f>
        <v/>
      </c>
      <c r="G72" s="34" t="str">
        <f aca="false">IF(OR(A72&gt;NL_b,$B$16=""),"",IF((ABS(B72-$B$16)+lane_off)&lt;=0,0,IF((ABS(B72-$B$16)+lane_off)&gt;=v_sh^2/a_sh,(ABS(B72-$B$16)+lane_off)/v_sh+v_sh/a_sh,2*SQRT((ABS(B72-$B$16)+lane_off)/a_sh))))</f>
        <v/>
      </c>
      <c r="H72" s="34" t="str">
        <f aca="false">IF(OR(A72&gt;NL_b,$B$17=""),"",IF((ABS(B72-$B$17)+lane_off)&lt;=0,0,IF((ABS(B72-$B$17)+lane_off)&gt;=v_sh^2/a_sh,(ABS(B72-$B$17)+lane_off)/v_sh+v_sh/a_sh,2*SQRT((ABS(B72-$B$17)+lane_off)/a_sh))))</f>
        <v/>
      </c>
      <c r="I72" s="34" t="str">
        <f aca="false">IF(C72="","",2*C72+w_conv*$D$12/v_conv)</f>
        <v/>
      </c>
      <c r="J72" s="34" t="str">
        <f aca="false">IF(D72="","",2*D72+w_conv*$D$13/v_conv)</f>
        <v/>
      </c>
      <c r="K72" s="34" t="str">
        <f aca="false">IF(E72="","",2*E72+w_conv*$D$14/v_conv)</f>
        <v/>
      </c>
      <c r="L72" s="34" t="str">
        <f aca="false">IF(F72="","",2*F72+w_conv*$D$15/v_conv)</f>
        <v/>
      </c>
      <c r="M72" s="34" t="str">
        <f aca="false">IF(G72="","",2*G72+w_conv*$D$16/v_conv)</f>
        <v/>
      </c>
      <c r="N72" s="34" t="str">
        <f aca="false">IF(H72="","",2*H72+w_conv*$D$17/v_conv)</f>
        <v/>
      </c>
      <c r="O72" s="34" t="str">
        <f aca="false">IF(A72&gt;NL_b,"",MIN(I72:N72))</f>
        <v/>
      </c>
      <c r="P72" s="34" t="str">
        <f aca="false">IF(O72="","",INDEX(C72:H72,MATCH(O72,I72:N72,0)))</f>
        <v/>
      </c>
      <c r="Q72" s="34" t="str">
        <f aca="false">IF(O72="","",INDEX($D$12:$D$17,MATCH(O72,I72:N72,0)))</f>
        <v/>
      </c>
    </row>
    <row r="73" customFormat="false" ht="15" hidden="false" customHeight="true" outlineLevel="0" collapsed="false">
      <c r="A73" s="54" t="n">
        <v>53</v>
      </c>
      <c r="B73" s="34" t="n">
        <f aca="false">(A73-0.5)*u_w</f>
        <v>52.5</v>
      </c>
      <c r="C73" s="34" t="str">
        <f aca="false">IF(OR(A73&gt;NL_b,$B$12=""),"",IF((ABS(B73-$B$12)+lane_off)&lt;=0,0,IF((ABS(B73-$B$12)+lane_off)&gt;=v_sh^2/a_sh,(ABS(B73-$B$12)+lane_off)/v_sh+v_sh/a_sh,2*SQRT((ABS(B73-$B$12)+lane_off)/a_sh))))</f>
        <v/>
      </c>
      <c r="D73" s="34" t="str">
        <f aca="false">IF(OR(A73&gt;NL_b,$B$13=""),"",IF((ABS(B73-$B$13)+lane_off)&lt;=0,0,IF((ABS(B73-$B$13)+lane_off)&gt;=v_sh^2/a_sh,(ABS(B73-$B$13)+lane_off)/v_sh+v_sh/a_sh,2*SQRT((ABS(B73-$B$13)+lane_off)/a_sh))))</f>
        <v/>
      </c>
      <c r="E73" s="34" t="str">
        <f aca="false">IF(OR(A73&gt;NL_b,$B$14=""),"",IF((ABS(B73-$B$14)+lane_off)&lt;=0,0,IF((ABS(B73-$B$14)+lane_off)&gt;=v_sh^2/a_sh,(ABS(B73-$B$14)+lane_off)/v_sh+v_sh/a_sh,2*SQRT((ABS(B73-$B$14)+lane_off)/a_sh))))</f>
        <v/>
      </c>
      <c r="F73" s="34" t="str">
        <f aca="false">IF(OR(A73&gt;NL_b,$B$15=""),"",IF((ABS(B73-$B$15)+lane_off)&lt;=0,0,IF((ABS(B73-$B$15)+lane_off)&gt;=v_sh^2/a_sh,(ABS(B73-$B$15)+lane_off)/v_sh+v_sh/a_sh,2*SQRT((ABS(B73-$B$15)+lane_off)/a_sh))))</f>
        <v/>
      </c>
      <c r="G73" s="34" t="str">
        <f aca="false">IF(OR(A73&gt;NL_b,$B$16=""),"",IF((ABS(B73-$B$16)+lane_off)&lt;=0,0,IF((ABS(B73-$B$16)+lane_off)&gt;=v_sh^2/a_sh,(ABS(B73-$B$16)+lane_off)/v_sh+v_sh/a_sh,2*SQRT((ABS(B73-$B$16)+lane_off)/a_sh))))</f>
        <v/>
      </c>
      <c r="H73" s="34" t="str">
        <f aca="false">IF(OR(A73&gt;NL_b,$B$17=""),"",IF((ABS(B73-$B$17)+lane_off)&lt;=0,0,IF((ABS(B73-$B$17)+lane_off)&gt;=v_sh^2/a_sh,(ABS(B73-$B$17)+lane_off)/v_sh+v_sh/a_sh,2*SQRT((ABS(B73-$B$17)+lane_off)/a_sh))))</f>
        <v/>
      </c>
      <c r="I73" s="34" t="str">
        <f aca="false">IF(C73="","",2*C73+w_conv*$D$12/v_conv)</f>
        <v/>
      </c>
      <c r="J73" s="34" t="str">
        <f aca="false">IF(D73="","",2*D73+w_conv*$D$13/v_conv)</f>
        <v/>
      </c>
      <c r="K73" s="34" t="str">
        <f aca="false">IF(E73="","",2*E73+w_conv*$D$14/v_conv)</f>
        <v/>
      </c>
      <c r="L73" s="34" t="str">
        <f aca="false">IF(F73="","",2*F73+w_conv*$D$15/v_conv)</f>
        <v/>
      </c>
      <c r="M73" s="34" t="str">
        <f aca="false">IF(G73="","",2*G73+w_conv*$D$16/v_conv)</f>
        <v/>
      </c>
      <c r="N73" s="34" t="str">
        <f aca="false">IF(H73="","",2*H73+w_conv*$D$17/v_conv)</f>
        <v/>
      </c>
      <c r="O73" s="34" t="str">
        <f aca="false">IF(A73&gt;NL_b,"",MIN(I73:N73))</f>
        <v/>
      </c>
      <c r="P73" s="34" t="str">
        <f aca="false">IF(O73="","",INDEX(C73:H73,MATCH(O73,I73:N73,0)))</f>
        <v/>
      </c>
      <c r="Q73" s="34" t="str">
        <f aca="false">IF(O73="","",INDEX($D$12:$D$17,MATCH(O73,I73:N73,0)))</f>
        <v/>
      </c>
    </row>
    <row r="74" customFormat="false" ht="15" hidden="false" customHeight="true" outlineLevel="0" collapsed="false">
      <c r="A74" s="54" t="n">
        <v>54</v>
      </c>
      <c r="B74" s="34" t="n">
        <f aca="false">(A74-0.5)*u_w</f>
        <v>53.5</v>
      </c>
      <c r="C74" s="34" t="str">
        <f aca="false">IF(OR(A74&gt;NL_b,$B$12=""),"",IF((ABS(B74-$B$12)+lane_off)&lt;=0,0,IF((ABS(B74-$B$12)+lane_off)&gt;=v_sh^2/a_sh,(ABS(B74-$B$12)+lane_off)/v_sh+v_sh/a_sh,2*SQRT((ABS(B74-$B$12)+lane_off)/a_sh))))</f>
        <v/>
      </c>
      <c r="D74" s="34" t="str">
        <f aca="false">IF(OR(A74&gt;NL_b,$B$13=""),"",IF((ABS(B74-$B$13)+lane_off)&lt;=0,0,IF((ABS(B74-$B$13)+lane_off)&gt;=v_sh^2/a_sh,(ABS(B74-$B$13)+lane_off)/v_sh+v_sh/a_sh,2*SQRT((ABS(B74-$B$13)+lane_off)/a_sh))))</f>
        <v/>
      </c>
      <c r="E74" s="34" t="str">
        <f aca="false">IF(OR(A74&gt;NL_b,$B$14=""),"",IF((ABS(B74-$B$14)+lane_off)&lt;=0,0,IF((ABS(B74-$B$14)+lane_off)&gt;=v_sh^2/a_sh,(ABS(B74-$B$14)+lane_off)/v_sh+v_sh/a_sh,2*SQRT((ABS(B74-$B$14)+lane_off)/a_sh))))</f>
        <v/>
      </c>
      <c r="F74" s="34" t="str">
        <f aca="false">IF(OR(A74&gt;NL_b,$B$15=""),"",IF((ABS(B74-$B$15)+lane_off)&lt;=0,0,IF((ABS(B74-$B$15)+lane_off)&gt;=v_sh^2/a_sh,(ABS(B74-$B$15)+lane_off)/v_sh+v_sh/a_sh,2*SQRT((ABS(B74-$B$15)+lane_off)/a_sh))))</f>
        <v/>
      </c>
      <c r="G74" s="34" t="str">
        <f aca="false">IF(OR(A74&gt;NL_b,$B$16=""),"",IF((ABS(B74-$B$16)+lane_off)&lt;=0,0,IF((ABS(B74-$B$16)+lane_off)&gt;=v_sh^2/a_sh,(ABS(B74-$B$16)+lane_off)/v_sh+v_sh/a_sh,2*SQRT((ABS(B74-$B$16)+lane_off)/a_sh))))</f>
        <v/>
      </c>
      <c r="H74" s="34" t="str">
        <f aca="false">IF(OR(A74&gt;NL_b,$B$17=""),"",IF((ABS(B74-$B$17)+lane_off)&lt;=0,0,IF((ABS(B74-$B$17)+lane_off)&gt;=v_sh^2/a_sh,(ABS(B74-$B$17)+lane_off)/v_sh+v_sh/a_sh,2*SQRT((ABS(B74-$B$17)+lane_off)/a_sh))))</f>
        <v/>
      </c>
      <c r="I74" s="34" t="str">
        <f aca="false">IF(C74="","",2*C74+w_conv*$D$12/v_conv)</f>
        <v/>
      </c>
      <c r="J74" s="34" t="str">
        <f aca="false">IF(D74="","",2*D74+w_conv*$D$13/v_conv)</f>
        <v/>
      </c>
      <c r="K74" s="34" t="str">
        <f aca="false">IF(E74="","",2*E74+w_conv*$D$14/v_conv)</f>
        <v/>
      </c>
      <c r="L74" s="34" t="str">
        <f aca="false">IF(F74="","",2*F74+w_conv*$D$15/v_conv)</f>
        <v/>
      </c>
      <c r="M74" s="34" t="str">
        <f aca="false">IF(G74="","",2*G74+w_conv*$D$16/v_conv)</f>
        <v/>
      </c>
      <c r="N74" s="34" t="str">
        <f aca="false">IF(H74="","",2*H74+w_conv*$D$17/v_conv)</f>
        <v/>
      </c>
      <c r="O74" s="34" t="str">
        <f aca="false">IF(A74&gt;NL_b,"",MIN(I74:N74))</f>
        <v/>
      </c>
      <c r="P74" s="34" t="str">
        <f aca="false">IF(O74="","",INDEX(C74:H74,MATCH(O74,I74:N74,0)))</f>
        <v/>
      </c>
      <c r="Q74" s="34" t="str">
        <f aca="false">IF(O74="","",INDEX($D$12:$D$17,MATCH(O74,I74:N74,0)))</f>
        <v/>
      </c>
    </row>
    <row r="75" customFormat="false" ht="15" hidden="false" customHeight="true" outlineLevel="0" collapsed="false">
      <c r="A75" s="54" t="n">
        <v>55</v>
      </c>
      <c r="B75" s="34" t="n">
        <f aca="false">(A75-0.5)*u_w</f>
        <v>54.5</v>
      </c>
      <c r="C75" s="34" t="str">
        <f aca="false">IF(OR(A75&gt;NL_b,$B$12=""),"",IF((ABS(B75-$B$12)+lane_off)&lt;=0,0,IF((ABS(B75-$B$12)+lane_off)&gt;=v_sh^2/a_sh,(ABS(B75-$B$12)+lane_off)/v_sh+v_sh/a_sh,2*SQRT((ABS(B75-$B$12)+lane_off)/a_sh))))</f>
        <v/>
      </c>
      <c r="D75" s="34" t="str">
        <f aca="false">IF(OR(A75&gt;NL_b,$B$13=""),"",IF((ABS(B75-$B$13)+lane_off)&lt;=0,0,IF((ABS(B75-$B$13)+lane_off)&gt;=v_sh^2/a_sh,(ABS(B75-$B$13)+lane_off)/v_sh+v_sh/a_sh,2*SQRT((ABS(B75-$B$13)+lane_off)/a_sh))))</f>
        <v/>
      </c>
      <c r="E75" s="34" t="str">
        <f aca="false">IF(OR(A75&gt;NL_b,$B$14=""),"",IF((ABS(B75-$B$14)+lane_off)&lt;=0,0,IF((ABS(B75-$B$14)+lane_off)&gt;=v_sh^2/a_sh,(ABS(B75-$B$14)+lane_off)/v_sh+v_sh/a_sh,2*SQRT((ABS(B75-$B$14)+lane_off)/a_sh))))</f>
        <v/>
      </c>
      <c r="F75" s="34" t="str">
        <f aca="false">IF(OR(A75&gt;NL_b,$B$15=""),"",IF((ABS(B75-$B$15)+lane_off)&lt;=0,0,IF((ABS(B75-$B$15)+lane_off)&gt;=v_sh^2/a_sh,(ABS(B75-$B$15)+lane_off)/v_sh+v_sh/a_sh,2*SQRT((ABS(B75-$B$15)+lane_off)/a_sh))))</f>
        <v/>
      </c>
      <c r="G75" s="34" t="str">
        <f aca="false">IF(OR(A75&gt;NL_b,$B$16=""),"",IF((ABS(B75-$B$16)+lane_off)&lt;=0,0,IF((ABS(B75-$B$16)+lane_off)&gt;=v_sh^2/a_sh,(ABS(B75-$B$16)+lane_off)/v_sh+v_sh/a_sh,2*SQRT((ABS(B75-$B$16)+lane_off)/a_sh))))</f>
        <v/>
      </c>
      <c r="H75" s="34" t="str">
        <f aca="false">IF(OR(A75&gt;NL_b,$B$17=""),"",IF((ABS(B75-$B$17)+lane_off)&lt;=0,0,IF((ABS(B75-$B$17)+lane_off)&gt;=v_sh^2/a_sh,(ABS(B75-$B$17)+lane_off)/v_sh+v_sh/a_sh,2*SQRT((ABS(B75-$B$17)+lane_off)/a_sh))))</f>
        <v/>
      </c>
      <c r="I75" s="34" t="str">
        <f aca="false">IF(C75="","",2*C75+w_conv*$D$12/v_conv)</f>
        <v/>
      </c>
      <c r="J75" s="34" t="str">
        <f aca="false">IF(D75="","",2*D75+w_conv*$D$13/v_conv)</f>
        <v/>
      </c>
      <c r="K75" s="34" t="str">
        <f aca="false">IF(E75="","",2*E75+w_conv*$D$14/v_conv)</f>
        <v/>
      </c>
      <c r="L75" s="34" t="str">
        <f aca="false">IF(F75="","",2*F75+w_conv*$D$15/v_conv)</f>
        <v/>
      </c>
      <c r="M75" s="34" t="str">
        <f aca="false">IF(G75="","",2*G75+w_conv*$D$16/v_conv)</f>
        <v/>
      </c>
      <c r="N75" s="34" t="str">
        <f aca="false">IF(H75="","",2*H75+w_conv*$D$17/v_conv)</f>
        <v/>
      </c>
      <c r="O75" s="34" t="str">
        <f aca="false">IF(A75&gt;NL_b,"",MIN(I75:N75))</f>
        <v/>
      </c>
      <c r="P75" s="34" t="str">
        <f aca="false">IF(O75="","",INDEX(C75:H75,MATCH(O75,I75:N75,0)))</f>
        <v/>
      </c>
      <c r="Q75" s="34" t="str">
        <f aca="false">IF(O75="","",INDEX($D$12:$D$17,MATCH(O75,I75:N75,0)))</f>
        <v/>
      </c>
    </row>
    <row r="76" customFormat="false" ht="15" hidden="false" customHeight="true" outlineLevel="0" collapsed="false">
      <c r="A76" s="54" t="n">
        <v>56</v>
      </c>
      <c r="B76" s="34" t="n">
        <f aca="false">(A76-0.5)*u_w</f>
        <v>55.5</v>
      </c>
      <c r="C76" s="34" t="str">
        <f aca="false">IF(OR(A76&gt;NL_b,$B$12=""),"",IF((ABS(B76-$B$12)+lane_off)&lt;=0,0,IF((ABS(B76-$B$12)+lane_off)&gt;=v_sh^2/a_sh,(ABS(B76-$B$12)+lane_off)/v_sh+v_sh/a_sh,2*SQRT((ABS(B76-$B$12)+lane_off)/a_sh))))</f>
        <v/>
      </c>
      <c r="D76" s="34" t="str">
        <f aca="false">IF(OR(A76&gt;NL_b,$B$13=""),"",IF((ABS(B76-$B$13)+lane_off)&lt;=0,0,IF((ABS(B76-$B$13)+lane_off)&gt;=v_sh^2/a_sh,(ABS(B76-$B$13)+lane_off)/v_sh+v_sh/a_sh,2*SQRT((ABS(B76-$B$13)+lane_off)/a_sh))))</f>
        <v/>
      </c>
      <c r="E76" s="34" t="str">
        <f aca="false">IF(OR(A76&gt;NL_b,$B$14=""),"",IF((ABS(B76-$B$14)+lane_off)&lt;=0,0,IF((ABS(B76-$B$14)+lane_off)&gt;=v_sh^2/a_sh,(ABS(B76-$B$14)+lane_off)/v_sh+v_sh/a_sh,2*SQRT((ABS(B76-$B$14)+lane_off)/a_sh))))</f>
        <v/>
      </c>
      <c r="F76" s="34" t="str">
        <f aca="false">IF(OR(A76&gt;NL_b,$B$15=""),"",IF((ABS(B76-$B$15)+lane_off)&lt;=0,0,IF((ABS(B76-$B$15)+lane_off)&gt;=v_sh^2/a_sh,(ABS(B76-$B$15)+lane_off)/v_sh+v_sh/a_sh,2*SQRT((ABS(B76-$B$15)+lane_off)/a_sh))))</f>
        <v/>
      </c>
      <c r="G76" s="34" t="str">
        <f aca="false">IF(OR(A76&gt;NL_b,$B$16=""),"",IF((ABS(B76-$B$16)+lane_off)&lt;=0,0,IF((ABS(B76-$B$16)+lane_off)&gt;=v_sh^2/a_sh,(ABS(B76-$B$16)+lane_off)/v_sh+v_sh/a_sh,2*SQRT((ABS(B76-$B$16)+lane_off)/a_sh))))</f>
        <v/>
      </c>
      <c r="H76" s="34" t="str">
        <f aca="false">IF(OR(A76&gt;NL_b,$B$17=""),"",IF((ABS(B76-$B$17)+lane_off)&lt;=0,0,IF((ABS(B76-$B$17)+lane_off)&gt;=v_sh^2/a_sh,(ABS(B76-$B$17)+lane_off)/v_sh+v_sh/a_sh,2*SQRT((ABS(B76-$B$17)+lane_off)/a_sh))))</f>
        <v/>
      </c>
      <c r="I76" s="34" t="str">
        <f aca="false">IF(C76="","",2*C76+w_conv*$D$12/v_conv)</f>
        <v/>
      </c>
      <c r="J76" s="34" t="str">
        <f aca="false">IF(D76="","",2*D76+w_conv*$D$13/v_conv)</f>
        <v/>
      </c>
      <c r="K76" s="34" t="str">
        <f aca="false">IF(E76="","",2*E76+w_conv*$D$14/v_conv)</f>
        <v/>
      </c>
      <c r="L76" s="34" t="str">
        <f aca="false">IF(F76="","",2*F76+w_conv*$D$15/v_conv)</f>
        <v/>
      </c>
      <c r="M76" s="34" t="str">
        <f aca="false">IF(G76="","",2*G76+w_conv*$D$16/v_conv)</f>
        <v/>
      </c>
      <c r="N76" s="34" t="str">
        <f aca="false">IF(H76="","",2*H76+w_conv*$D$17/v_conv)</f>
        <v/>
      </c>
      <c r="O76" s="34" t="str">
        <f aca="false">IF(A76&gt;NL_b,"",MIN(I76:N76))</f>
        <v/>
      </c>
      <c r="P76" s="34" t="str">
        <f aca="false">IF(O76="","",INDEX(C76:H76,MATCH(O76,I76:N76,0)))</f>
        <v/>
      </c>
      <c r="Q76" s="34" t="str">
        <f aca="false">IF(O76="","",INDEX($D$12:$D$17,MATCH(O76,I76:N76,0)))</f>
        <v/>
      </c>
    </row>
    <row r="77" customFormat="false" ht="15" hidden="false" customHeight="true" outlineLevel="0" collapsed="false">
      <c r="A77" s="54" t="n">
        <v>57</v>
      </c>
      <c r="B77" s="34" t="n">
        <f aca="false">(A77-0.5)*u_w</f>
        <v>56.5</v>
      </c>
      <c r="C77" s="34" t="str">
        <f aca="false">IF(OR(A77&gt;NL_b,$B$12=""),"",IF((ABS(B77-$B$12)+lane_off)&lt;=0,0,IF((ABS(B77-$B$12)+lane_off)&gt;=v_sh^2/a_sh,(ABS(B77-$B$12)+lane_off)/v_sh+v_sh/a_sh,2*SQRT((ABS(B77-$B$12)+lane_off)/a_sh))))</f>
        <v/>
      </c>
      <c r="D77" s="34" t="str">
        <f aca="false">IF(OR(A77&gt;NL_b,$B$13=""),"",IF((ABS(B77-$B$13)+lane_off)&lt;=0,0,IF((ABS(B77-$B$13)+lane_off)&gt;=v_sh^2/a_sh,(ABS(B77-$B$13)+lane_off)/v_sh+v_sh/a_sh,2*SQRT((ABS(B77-$B$13)+lane_off)/a_sh))))</f>
        <v/>
      </c>
      <c r="E77" s="34" t="str">
        <f aca="false">IF(OR(A77&gt;NL_b,$B$14=""),"",IF((ABS(B77-$B$14)+lane_off)&lt;=0,0,IF((ABS(B77-$B$14)+lane_off)&gt;=v_sh^2/a_sh,(ABS(B77-$B$14)+lane_off)/v_sh+v_sh/a_sh,2*SQRT((ABS(B77-$B$14)+lane_off)/a_sh))))</f>
        <v/>
      </c>
      <c r="F77" s="34" t="str">
        <f aca="false">IF(OR(A77&gt;NL_b,$B$15=""),"",IF((ABS(B77-$B$15)+lane_off)&lt;=0,0,IF((ABS(B77-$B$15)+lane_off)&gt;=v_sh^2/a_sh,(ABS(B77-$B$15)+lane_off)/v_sh+v_sh/a_sh,2*SQRT((ABS(B77-$B$15)+lane_off)/a_sh))))</f>
        <v/>
      </c>
      <c r="G77" s="34" t="str">
        <f aca="false">IF(OR(A77&gt;NL_b,$B$16=""),"",IF((ABS(B77-$B$16)+lane_off)&lt;=0,0,IF((ABS(B77-$B$16)+lane_off)&gt;=v_sh^2/a_sh,(ABS(B77-$B$16)+lane_off)/v_sh+v_sh/a_sh,2*SQRT((ABS(B77-$B$16)+lane_off)/a_sh))))</f>
        <v/>
      </c>
      <c r="H77" s="34" t="str">
        <f aca="false">IF(OR(A77&gt;NL_b,$B$17=""),"",IF((ABS(B77-$B$17)+lane_off)&lt;=0,0,IF((ABS(B77-$B$17)+lane_off)&gt;=v_sh^2/a_sh,(ABS(B77-$B$17)+lane_off)/v_sh+v_sh/a_sh,2*SQRT((ABS(B77-$B$17)+lane_off)/a_sh))))</f>
        <v/>
      </c>
      <c r="I77" s="34" t="str">
        <f aca="false">IF(C77="","",2*C77+w_conv*$D$12/v_conv)</f>
        <v/>
      </c>
      <c r="J77" s="34" t="str">
        <f aca="false">IF(D77="","",2*D77+w_conv*$D$13/v_conv)</f>
        <v/>
      </c>
      <c r="K77" s="34" t="str">
        <f aca="false">IF(E77="","",2*E77+w_conv*$D$14/v_conv)</f>
        <v/>
      </c>
      <c r="L77" s="34" t="str">
        <f aca="false">IF(F77="","",2*F77+w_conv*$D$15/v_conv)</f>
        <v/>
      </c>
      <c r="M77" s="34" t="str">
        <f aca="false">IF(G77="","",2*G77+w_conv*$D$16/v_conv)</f>
        <v/>
      </c>
      <c r="N77" s="34" t="str">
        <f aca="false">IF(H77="","",2*H77+w_conv*$D$17/v_conv)</f>
        <v/>
      </c>
      <c r="O77" s="34" t="str">
        <f aca="false">IF(A77&gt;NL_b,"",MIN(I77:N77))</f>
        <v/>
      </c>
      <c r="P77" s="34" t="str">
        <f aca="false">IF(O77="","",INDEX(C77:H77,MATCH(O77,I77:N77,0)))</f>
        <v/>
      </c>
      <c r="Q77" s="34" t="str">
        <f aca="false">IF(O77="","",INDEX($D$12:$D$17,MATCH(O77,I77:N77,0)))</f>
        <v/>
      </c>
    </row>
    <row r="78" customFormat="false" ht="15" hidden="false" customHeight="true" outlineLevel="0" collapsed="false">
      <c r="A78" s="54" t="n">
        <v>58</v>
      </c>
      <c r="B78" s="34" t="n">
        <f aca="false">(A78-0.5)*u_w</f>
        <v>57.5</v>
      </c>
      <c r="C78" s="34" t="str">
        <f aca="false">IF(OR(A78&gt;NL_b,$B$12=""),"",IF((ABS(B78-$B$12)+lane_off)&lt;=0,0,IF((ABS(B78-$B$12)+lane_off)&gt;=v_sh^2/a_sh,(ABS(B78-$B$12)+lane_off)/v_sh+v_sh/a_sh,2*SQRT((ABS(B78-$B$12)+lane_off)/a_sh))))</f>
        <v/>
      </c>
      <c r="D78" s="34" t="str">
        <f aca="false">IF(OR(A78&gt;NL_b,$B$13=""),"",IF((ABS(B78-$B$13)+lane_off)&lt;=0,0,IF((ABS(B78-$B$13)+lane_off)&gt;=v_sh^2/a_sh,(ABS(B78-$B$13)+lane_off)/v_sh+v_sh/a_sh,2*SQRT((ABS(B78-$B$13)+lane_off)/a_sh))))</f>
        <v/>
      </c>
      <c r="E78" s="34" t="str">
        <f aca="false">IF(OR(A78&gt;NL_b,$B$14=""),"",IF((ABS(B78-$B$14)+lane_off)&lt;=0,0,IF((ABS(B78-$B$14)+lane_off)&gt;=v_sh^2/a_sh,(ABS(B78-$B$14)+lane_off)/v_sh+v_sh/a_sh,2*SQRT((ABS(B78-$B$14)+lane_off)/a_sh))))</f>
        <v/>
      </c>
      <c r="F78" s="34" t="str">
        <f aca="false">IF(OR(A78&gt;NL_b,$B$15=""),"",IF((ABS(B78-$B$15)+lane_off)&lt;=0,0,IF((ABS(B78-$B$15)+lane_off)&gt;=v_sh^2/a_sh,(ABS(B78-$B$15)+lane_off)/v_sh+v_sh/a_sh,2*SQRT((ABS(B78-$B$15)+lane_off)/a_sh))))</f>
        <v/>
      </c>
      <c r="G78" s="34" t="str">
        <f aca="false">IF(OR(A78&gt;NL_b,$B$16=""),"",IF((ABS(B78-$B$16)+lane_off)&lt;=0,0,IF((ABS(B78-$B$16)+lane_off)&gt;=v_sh^2/a_sh,(ABS(B78-$B$16)+lane_off)/v_sh+v_sh/a_sh,2*SQRT((ABS(B78-$B$16)+lane_off)/a_sh))))</f>
        <v/>
      </c>
      <c r="H78" s="34" t="str">
        <f aca="false">IF(OR(A78&gt;NL_b,$B$17=""),"",IF((ABS(B78-$B$17)+lane_off)&lt;=0,0,IF((ABS(B78-$B$17)+lane_off)&gt;=v_sh^2/a_sh,(ABS(B78-$B$17)+lane_off)/v_sh+v_sh/a_sh,2*SQRT((ABS(B78-$B$17)+lane_off)/a_sh))))</f>
        <v/>
      </c>
      <c r="I78" s="34" t="str">
        <f aca="false">IF(C78="","",2*C78+w_conv*$D$12/v_conv)</f>
        <v/>
      </c>
      <c r="J78" s="34" t="str">
        <f aca="false">IF(D78="","",2*D78+w_conv*$D$13/v_conv)</f>
        <v/>
      </c>
      <c r="K78" s="34" t="str">
        <f aca="false">IF(E78="","",2*E78+w_conv*$D$14/v_conv)</f>
        <v/>
      </c>
      <c r="L78" s="34" t="str">
        <f aca="false">IF(F78="","",2*F78+w_conv*$D$15/v_conv)</f>
        <v/>
      </c>
      <c r="M78" s="34" t="str">
        <f aca="false">IF(G78="","",2*G78+w_conv*$D$16/v_conv)</f>
        <v/>
      </c>
      <c r="N78" s="34" t="str">
        <f aca="false">IF(H78="","",2*H78+w_conv*$D$17/v_conv)</f>
        <v/>
      </c>
      <c r="O78" s="34" t="str">
        <f aca="false">IF(A78&gt;NL_b,"",MIN(I78:N78))</f>
        <v/>
      </c>
      <c r="P78" s="34" t="str">
        <f aca="false">IF(O78="","",INDEX(C78:H78,MATCH(O78,I78:N78,0)))</f>
        <v/>
      </c>
      <c r="Q78" s="34" t="str">
        <f aca="false">IF(O78="","",INDEX($D$12:$D$17,MATCH(O78,I78:N78,0)))</f>
        <v/>
      </c>
    </row>
    <row r="79" customFormat="false" ht="15" hidden="false" customHeight="true" outlineLevel="0" collapsed="false">
      <c r="A79" s="54" t="n">
        <v>59</v>
      </c>
      <c r="B79" s="34" t="n">
        <f aca="false">(A79-0.5)*u_w</f>
        <v>58.5</v>
      </c>
      <c r="C79" s="34" t="str">
        <f aca="false">IF(OR(A79&gt;NL_b,$B$12=""),"",IF((ABS(B79-$B$12)+lane_off)&lt;=0,0,IF((ABS(B79-$B$12)+lane_off)&gt;=v_sh^2/a_sh,(ABS(B79-$B$12)+lane_off)/v_sh+v_sh/a_sh,2*SQRT((ABS(B79-$B$12)+lane_off)/a_sh))))</f>
        <v/>
      </c>
      <c r="D79" s="34" t="str">
        <f aca="false">IF(OR(A79&gt;NL_b,$B$13=""),"",IF((ABS(B79-$B$13)+lane_off)&lt;=0,0,IF((ABS(B79-$B$13)+lane_off)&gt;=v_sh^2/a_sh,(ABS(B79-$B$13)+lane_off)/v_sh+v_sh/a_sh,2*SQRT((ABS(B79-$B$13)+lane_off)/a_sh))))</f>
        <v/>
      </c>
      <c r="E79" s="34" t="str">
        <f aca="false">IF(OR(A79&gt;NL_b,$B$14=""),"",IF((ABS(B79-$B$14)+lane_off)&lt;=0,0,IF((ABS(B79-$B$14)+lane_off)&gt;=v_sh^2/a_sh,(ABS(B79-$B$14)+lane_off)/v_sh+v_sh/a_sh,2*SQRT((ABS(B79-$B$14)+lane_off)/a_sh))))</f>
        <v/>
      </c>
      <c r="F79" s="34" t="str">
        <f aca="false">IF(OR(A79&gt;NL_b,$B$15=""),"",IF((ABS(B79-$B$15)+lane_off)&lt;=0,0,IF((ABS(B79-$B$15)+lane_off)&gt;=v_sh^2/a_sh,(ABS(B79-$B$15)+lane_off)/v_sh+v_sh/a_sh,2*SQRT((ABS(B79-$B$15)+lane_off)/a_sh))))</f>
        <v/>
      </c>
      <c r="G79" s="34" t="str">
        <f aca="false">IF(OR(A79&gt;NL_b,$B$16=""),"",IF((ABS(B79-$B$16)+lane_off)&lt;=0,0,IF((ABS(B79-$B$16)+lane_off)&gt;=v_sh^2/a_sh,(ABS(B79-$B$16)+lane_off)/v_sh+v_sh/a_sh,2*SQRT((ABS(B79-$B$16)+lane_off)/a_sh))))</f>
        <v/>
      </c>
      <c r="H79" s="34" t="str">
        <f aca="false">IF(OR(A79&gt;NL_b,$B$17=""),"",IF((ABS(B79-$B$17)+lane_off)&lt;=0,0,IF((ABS(B79-$B$17)+lane_off)&gt;=v_sh^2/a_sh,(ABS(B79-$B$17)+lane_off)/v_sh+v_sh/a_sh,2*SQRT((ABS(B79-$B$17)+lane_off)/a_sh))))</f>
        <v/>
      </c>
      <c r="I79" s="34" t="str">
        <f aca="false">IF(C79="","",2*C79+w_conv*$D$12/v_conv)</f>
        <v/>
      </c>
      <c r="J79" s="34" t="str">
        <f aca="false">IF(D79="","",2*D79+w_conv*$D$13/v_conv)</f>
        <v/>
      </c>
      <c r="K79" s="34" t="str">
        <f aca="false">IF(E79="","",2*E79+w_conv*$D$14/v_conv)</f>
        <v/>
      </c>
      <c r="L79" s="34" t="str">
        <f aca="false">IF(F79="","",2*F79+w_conv*$D$15/v_conv)</f>
        <v/>
      </c>
      <c r="M79" s="34" t="str">
        <f aca="false">IF(G79="","",2*G79+w_conv*$D$16/v_conv)</f>
        <v/>
      </c>
      <c r="N79" s="34" t="str">
        <f aca="false">IF(H79="","",2*H79+w_conv*$D$17/v_conv)</f>
        <v/>
      </c>
      <c r="O79" s="34" t="str">
        <f aca="false">IF(A79&gt;NL_b,"",MIN(I79:N79))</f>
        <v/>
      </c>
      <c r="P79" s="34" t="str">
        <f aca="false">IF(O79="","",INDEX(C79:H79,MATCH(O79,I79:N79,0)))</f>
        <v/>
      </c>
      <c r="Q79" s="34" t="str">
        <f aca="false">IF(O79="","",INDEX($D$12:$D$17,MATCH(O79,I79:N79,0)))</f>
        <v/>
      </c>
    </row>
    <row r="80" customFormat="false" ht="15" hidden="false" customHeight="true" outlineLevel="0" collapsed="false">
      <c r="A80" s="54" t="n">
        <v>60</v>
      </c>
      <c r="B80" s="34" t="n">
        <f aca="false">(A80-0.5)*u_w</f>
        <v>59.5</v>
      </c>
      <c r="C80" s="34" t="str">
        <f aca="false">IF(OR(A80&gt;NL_b,$B$12=""),"",IF((ABS(B80-$B$12)+lane_off)&lt;=0,0,IF((ABS(B80-$B$12)+lane_off)&gt;=v_sh^2/a_sh,(ABS(B80-$B$12)+lane_off)/v_sh+v_sh/a_sh,2*SQRT((ABS(B80-$B$12)+lane_off)/a_sh))))</f>
        <v/>
      </c>
      <c r="D80" s="34" t="str">
        <f aca="false">IF(OR(A80&gt;NL_b,$B$13=""),"",IF((ABS(B80-$B$13)+lane_off)&lt;=0,0,IF((ABS(B80-$B$13)+lane_off)&gt;=v_sh^2/a_sh,(ABS(B80-$B$13)+lane_off)/v_sh+v_sh/a_sh,2*SQRT((ABS(B80-$B$13)+lane_off)/a_sh))))</f>
        <v/>
      </c>
      <c r="E80" s="34" t="str">
        <f aca="false">IF(OR(A80&gt;NL_b,$B$14=""),"",IF((ABS(B80-$B$14)+lane_off)&lt;=0,0,IF((ABS(B80-$B$14)+lane_off)&gt;=v_sh^2/a_sh,(ABS(B80-$B$14)+lane_off)/v_sh+v_sh/a_sh,2*SQRT((ABS(B80-$B$14)+lane_off)/a_sh))))</f>
        <v/>
      </c>
      <c r="F80" s="34" t="str">
        <f aca="false">IF(OR(A80&gt;NL_b,$B$15=""),"",IF((ABS(B80-$B$15)+lane_off)&lt;=0,0,IF((ABS(B80-$B$15)+lane_off)&gt;=v_sh^2/a_sh,(ABS(B80-$B$15)+lane_off)/v_sh+v_sh/a_sh,2*SQRT((ABS(B80-$B$15)+lane_off)/a_sh))))</f>
        <v/>
      </c>
      <c r="G80" s="34" t="str">
        <f aca="false">IF(OR(A80&gt;NL_b,$B$16=""),"",IF((ABS(B80-$B$16)+lane_off)&lt;=0,0,IF((ABS(B80-$B$16)+lane_off)&gt;=v_sh^2/a_sh,(ABS(B80-$B$16)+lane_off)/v_sh+v_sh/a_sh,2*SQRT((ABS(B80-$B$16)+lane_off)/a_sh))))</f>
        <v/>
      </c>
      <c r="H80" s="34" t="str">
        <f aca="false">IF(OR(A80&gt;NL_b,$B$17=""),"",IF((ABS(B80-$B$17)+lane_off)&lt;=0,0,IF((ABS(B80-$B$17)+lane_off)&gt;=v_sh^2/a_sh,(ABS(B80-$B$17)+lane_off)/v_sh+v_sh/a_sh,2*SQRT((ABS(B80-$B$17)+lane_off)/a_sh))))</f>
        <v/>
      </c>
      <c r="I80" s="34" t="str">
        <f aca="false">IF(C80="","",2*C80+w_conv*$D$12/v_conv)</f>
        <v/>
      </c>
      <c r="J80" s="34" t="str">
        <f aca="false">IF(D80="","",2*D80+w_conv*$D$13/v_conv)</f>
        <v/>
      </c>
      <c r="K80" s="34" t="str">
        <f aca="false">IF(E80="","",2*E80+w_conv*$D$14/v_conv)</f>
        <v/>
      </c>
      <c r="L80" s="34" t="str">
        <f aca="false">IF(F80="","",2*F80+w_conv*$D$15/v_conv)</f>
        <v/>
      </c>
      <c r="M80" s="34" t="str">
        <f aca="false">IF(G80="","",2*G80+w_conv*$D$16/v_conv)</f>
        <v/>
      </c>
      <c r="N80" s="34" t="str">
        <f aca="false">IF(H80="","",2*H80+w_conv*$D$17/v_conv)</f>
        <v/>
      </c>
      <c r="O80" s="34" t="str">
        <f aca="false">IF(A80&gt;NL_b,"",MIN(I80:N80))</f>
        <v/>
      </c>
      <c r="P80" s="34" t="str">
        <f aca="false">IF(O80="","",INDEX(C80:H80,MATCH(O80,I80:N80,0)))</f>
        <v/>
      </c>
      <c r="Q80" s="34" t="str">
        <f aca="false">IF(O80="","",INDEX($D$12:$D$17,MATCH(O80,I80:N80,0)))</f>
        <v/>
      </c>
    </row>
    <row r="81" customFormat="false" ht="15" hidden="false" customHeight="true" outlineLevel="0" collapsed="false">
      <c r="A81" s="54" t="n">
        <v>61</v>
      </c>
      <c r="B81" s="34" t="n">
        <f aca="false">(A81-0.5)*u_w</f>
        <v>60.5</v>
      </c>
      <c r="C81" s="34" t="str">
        <f aca="false">IF(OR(A81&gt;NL_b,$B$12=""),"",IF((ABS(B81-$B$12)+lane_off)&lt;=0,0,IF((ABS(B81-$B$12)+lane_off)&gt;=v_sh^2/a_sh,(ABS(B81-$B$12)+lane_off)/v_sh+v_sh/a_sh,2*SQRT((ABS(B81-$B$12)+lane_off)/a_sh))))</f>
        <v/>
      </c>
      <c r="D81" s="34" t="str">
        <f aca="false">IF(OR(A81&gt;NL_b,$B$13=""),"",IF((ABS(B81-$B$13)+lane_off)&lt;=0,0,IF((ABS(B81-$B$13)+lane_off)&gt;=v_sh^2/a_sh,(ABS(B81-$B$13)+lane_off)/v_sh+v_sh/a_sh,2*SQRT((ABS(B81-$B$13)+lane_off)/a_sh))))</f>
        <v/>
      </c>
      <c r="E81" s="34" t="str">
        <f aca="false">IF(OR(A81&gt;NL_b,$B$14=""),"",IF((ABS(B81-$B$14)+lane_off)&lt;=0,0,IF((ABS(B81-$B$14)+lane_off)&gt;=v_sh^2/a_sh,(ABS(B81-$B$14)+lane_off)/v_sh+v_sh/a_sh,2*SQRT((ABS(B81-$B$14)+lane_off)/a_sh))))</f>
        <v/>
      </c>
      <c r="F81" s="34" t="str">
        <f aca="false">IF(OR(A81&gt;NL_b,$B$15=""),"",IF((ABS(B81-$B$15)+lane_off)&lt;=0,0,IF((ABS(B81-$B$15)+lane_off)&gt;=v_sh^2/a_sh,(ABS(B81-$B$15)+lane_off)/v_sh+v_sh/a_sh,2*SQRT((ABS(B81-$B$15)+lane_off)/a_sh))))</f>
        <v/>
      </c>
      <c r="G81" s="34" t="str">
        <f aca="false">IF(OR(A81&gt;NL_b,$B$16=""),"",IF((ABS(B81-$B$16)+lane_off)&lt;=0,0,IF((ABS(B81-$B$16)+lane_off)&gt;=v_sh^2/a_sh,(ABS(B81-$B$16)+lane_off)/v_sh+v_sh/a_sh,2*SQRT((ABS(B81-$B$16)+lane_off)/a_sh))))</f>
        <v/>
      </c>
      <c r="H81" s="34" t="str">
        <f aca="false">IF(OR(A81&gt;NL_b,$B$17=""),"",IF((ABS(B81-$B$17)+lane_off)&lt;=0,0,IF((ABS(B81-$B$17)+lane_off)&gt;=v_sh^2/a_sh,(ABS(B81-$B$17)+lane_off)/v_sh+v_sh/a_sh,2*SQRT((ABS(B81-$B$17)+lane_off)/a_sh))))</f>
        <v/>
      </c>
      <c r="I81" s="34" t="str">
        <f aca="false">IF(C81="","",2*C81+w_conv*$D$12/v_conv)</f>
        <v/>
      </c>
      <c r="J81" s="34" t="str">
        <f aca="false">IF(D81="","",2*D81+w_conv*$D$13/v_conv)</f>
        <v/>
      </c>
      <c r="K81" s="34" t="str">
        <f aca="false">IF(E81="","",2*E81+w_conv*$D$14/v_conv)</f>
        <v/>
      </c>
      <c r="L81" s="34" t="str">
        <f aca="false">IF(F81="","",2*F81+w_conv*$D$15/v_conv)</f>
        <v/>
      </c>
      <c r="M81" s="34" t="str">
        <f aca="false">IF(G81="","",2*G81+w_conv*$D$16/v_conv)</f>
        <v/>
      </c>
      <c r="N81" s="34" t="str">
        <f aca="false">IF(H81="","",2*H81+w_conv*$D$17/v_conv)</f>
        <v/>
      </c>
      <c r="O81" s="34" t="str">
        <f aca="false">IF(A81&gt;NL_b,"",MIN(I81:N81))</f>
        <v/>
      </c>
      <c r="P81" s="34" t="str">
        <f aca="false">IF(O81="","",INDEX(C81:H81,MATCH(O81,I81:N81,0)))</f>
        <v/>
      </c>
      <c r="Q81" s="34" t="str">
        <f aca="false">IF(O81="","",INDEX($D$12:$D$17,MATCH(O81,I81:N81,0)))</f>
        <v/>
      </c>
    </row>
    <row r="82" customFormat="false" ht="15" hidden="false" customHeight="true" outlineLevel="0" collapsed="false">
      <c r="A82" s="54" t="n">
        <v>62</v>
      </c>
      <c r="B82" s="34" t="n">
        <f aca="false">(A82-0.5)*u_w</f>
        <v>61.5</v>
      </c>
      <c r="C82" s="34" t="str">
        <f aca="false">IF(OR(A82&gt;NL_b,$B$12=""),"",IF((ABS(B82-$B$12)+lane_off)&lt;=0,0,IF((ABS(B82-$B$12)+lane_off)&gt;=v_sh^2/a_sh,(ABS(B82-$B$12)+lane_off)/v_sh+v_sh/a_sh,2*SQRT((ABS(B82-$B$12)+lane_off)/a_sh))))</f>
        <v/>
      </c>
      <c r="D82" s="34" t="str">
        <f aca="false">IF(OR(A82&gt;NL_b,$B$13=""),"",IF((ABS(B82-$B$13)+lane_off)&lt;=0,0,IF((ABS(B82-$B$13)+lane_off)&gt;=v_sh^2/a_sh,(ABS(B82-$B$13)+lane_off)/v_sh+v_sh/a_sh,2*SQRT((ABS(B82-$B$13)+lane_off)/a_sh))))</f>
        <v/>
      </c>
      <c r="E82" s="34" t="str">
        <f aca="false">IF(OR(A82&gt;NL_b,$B$14=""),"",IF((ABS(B82-$B$14)+lane_off)&lt;=0,0,IF((ABS(B82-$B$14)+lane_off)&gt;=v_sh^2/a_sh,(ABS(B82-$B$14)+lane_off)/v_sh+v_sh/a_sh,2*SQRT((ABS(B82-$B$14)+lane_off)/a_sh))))</f>
        <v/>
      </c>
      <c r="F82" s="34" t="str">
        <f aca="false">IF(OR(A82&gt;NL_b,$B$15=""),"",IF((ABS(B82-$B$15)+lane_off)&lt;=0,0,IF((ABS(B82-$B$15)+lane_off)&gt;=v_sh^2/a_sh,(ABS(B82-$B$15)+lane_off)/v_sh+v_sh/a_sh,2*SQRT((ABS(B82-$B$15)+lane_off)/a_sh))))</f>
        <v/>
      </c>
      <c r="G82" s="34" t="str">
        <f aca="false">IF(OR(A82&gt;NL_b,$B$16=""),"",IF((ABS(B82-$B$16)+lane_off)&lt;=0,0,IF((ABS(B82-$B$16)+lane_off)&gt;=v_sh^2/a_sh,(ABS(B82-$B$16)+lane_off)/v_sh+v_sh/a_sh,2*SQRT((ABS(B82-$B$16)+lane_off)/a_sh))))</f>
        <v/>
      </c>
      <c r="H82" s="34" t="str">
        <f aca="false">IF(OR(A82&gt;NL_b,$B$17=""),"",IF((ABS(B82-$B$17)+lane_off)&lt;=0,0,IF((ABS(B82-$B$17)+lane_off)&gt;=v_sh^2/a_sh,(ABS(B82-$B$17)+lane_off)/v_sh+v_sh/a_sh,2*SQRT((ABS(B82-$B$17)+lane_off)/a_sh))))</f>
        <v/>
      </c>
      <c r="I82" s="34" t="str">
        <f aca="false">IF(C82="","",2*C82+w_conv*$D$12/v_conv)</f>
        <v/>
      </c>
      <c r="J82" s="34" t="str">
        <f aca="false">IF(D82="","",2*D82+w_conv*$D$13/v_conv)</f>
        <v/>
      </c>
      <c r="K82" s="34" t="str">
        <f aca="false">IF(E82="","",2*E82+w_conv*$D$14/v_conv)</f>
        <v/>
      </c>
      <c r="L82" s="34" t="str">
        <f aca="false">IF(F82="","",2*F82+w_conv*$D$15/v_conv)</f>
        <v/>
      </c>
      <c r="M82" s="34" t="str">
        <f aca="false">IF(G82="","",2*G82+w_conv*$D$16/v_conv)</f>
        <v/>
      </c>
      <c r="N82" s="34" t="str">
        <f aca="false">IF(H82="","",2*H82+w_conv*$D$17/v_conv)</f>
        <v/>
      </c>
      <c r="O82" s="34" t="str">
        <f aca="false">IF(A82&gt;NL_b,"",MIN(I82:N82))</f>
        <v/>
      </c>
      <c r="P82" s="34" t="str">
        <f aca="false">IF(O82="","",INDEX(C82:H82,MATCH(O82,I82:N82,0)))</f>
        <v/>
      </c>
      <c r="Q82" s="34" t="str">
        <f aca="false">IF(O82="","",INDEX($D$12:$D$17,MATCH(O82,I82:N82,0)))</f>
        <v/>
      </c>
    </row>
    <row r="83" customFormat="false" ht="15" hidden="false" customHeight="true" outlineLevel="0" collapsed="false">
      <c r="A83" s="54" t="n">
        <v>63</v>
      </c>
      <c r="B83" s="34" t="n">
        <f aca="false">(A83-0.5)*u_w</f>
        <v>62.5</v>
      </c>
      <c r="C83" s="34" t="str">
        <f aca="false">IF(OR(A83&gt;NL_b,$B$12=""),"",IF((ABS(B83-$B$12)+lane_off)&lt;=0,0,IF((ABS(B83-$B$12)+lane_off)&gt;=v_sh^2/a_sh,(ABS(B83-$B$12)+lane_off)/v_sh+v_sh/a_sh,2*SQRT((ABS(B83-$B$12)+lane_off)/a_sh))))</f>
        <v/>
      </c>
      <c r="D83" s="34" t="str">
        <f aca="false">IF(OR(A83&gt;NL_b,$B$13=""),"",IF((ABS(B83-$B$13)+lane_off)&lt;=0,0,IF((ABS(B83-$B$13)+lane_off)&gt;=v_sh^2/a_sh,(ABS(B83-$B$13)+lane_off)/v_sh+v_sh/a_sh,2*SQRT((ABS(B83-$B$13)+lane_off)/a_sh))))</f>
        <v/>
      </c>
      <c r="E83" s="34" t="str">
        <f aca="false">IF(OR(A83&gt;NL_b,$B$14=""),"",IF((ABS(B83-$B$14)+lane_off)&lt;=0,0,IF((ABS(B83-$B$14)+lane_off)&gt;=v_sh^2/a_sh,(ABS(B83-$B$14)+lane_off)/v_sh+v_sh/a_sh,2*SQRT((ABS(B83-$B$14)+lane_off)/a_sh))))</f>
        <v/>
      </c>
      <c r="F83" s="34" t="str">
        <f aca="false">IF(OR(A83&gt;NL_b,$B$15=""),"",IF((ABS(B83-$B$15)+lane_off)&lt;=0,0,IF((ABS(B83-$B$15)+lane_off)&gt;=v_sh^2/a_sh,(ABS(B83-$B$15)+lane_off)/v_sh+v_sh/a_sh,2*SQRT((ABS(B83-$B$15)+lane_off)/a_sh))))</f>
        <v/>
      </c>
      <c r="G83" s="34" t="str">
        <f aca="false">IF(OR(A83&gt;NL_b,$B$16=""),"",IF((ABS(B83-$B$16)+lane_off)&lt;=0,0,IF((ABS(B83-$B$16)+lane_off)&gt;=v_sh^2/a_sh,(ABS(B83-$B$16)+lane_off)/v_sh+v_sh/a_sh,2*SQRT((ABS(B83-$B$16)+lane_off)/a_sh))))</f>
        <v/>
      </c>
      <c r="H83" s="34" t="str">
        <f aca="false">IF(OR(A83&gt;NL_b,$B$17=""),"",IF((ABS(B83-$B$17)+lane_off)&lt;=0,0,IF((ABS(B83-$B$17)+lane_off)&gt;=v_sh^2/a_sh,(ABS(B83-$B$17)+lane_off)/v_sh+v_sh/a_sh,2*SQRT((ABS(B83-$B$17)+lane_off)/a_sh))))</f>
        <v/>
      </c>
      <c r="I83" s="34" t="str">
        <f aca="false">IF(C83="","",2*C83+w_conv*$D$12/v_conv)</f>
        <v/>
      </c>
      <c r="J83" s="34" t="str">
        <f aca="false">IF(D83="","",2*D83+w_conv*$D$13/v_conv)</f>
        <v/>
      </c>
      <c r="K83" s="34" t="str">
        <f aca="false">IF(E83="","",2*E83+w_conv*$D$14/v_conv)</f>
        <v/>
      </c>
      <c r="L83" s="34" t="str">
        <f aca="false">IF(F83="","",2*F83+w_conv*$D$15/v_conv)</f>
        <v/>
      </c>
      <c r="M83" s="34" t="str">
        <f aca="false">IF(G83="","",2*G83+w_conv*$D$16/v_conv)</f>
        <v/>
      </c>
      <c r="N83" s="34" t="str">
        <f aca="false">IF(H83="","",2*H83+w_conv*$D$17/v_conv)</f>
        <v/>
      </c>
      <c r="O83" s="34" t="str">
        <f aca="false">IF(A83&gt;NL_b,"",MIN(I83:N83))</f>
        <v/>
      </c>
      <c r="P83" s="34" t="str">
        <f aca="false">IF(O83="","",INDEX(C83:H83,MATCH(O83,I83:N83,0)))</f>
        <v/>
      </c>
      <c r="Q83" s="34" t="str">
        <f aca="false">IF(O83="","",INDEX($D$12:$D$17,MATCH(O83,I83:N83,0)))</f>
        <v/>
      </c>
    </row>
    <row r="84" customFormat="false" ht="15" hidden="false" customHeight="true" outlineLevel="0" collapsed="false">
      <c r="A84" s="54" t="n">
        <v>64</v>
      </c>
      <c r="B84" s="34" t="n">
        <f aca="false">(A84-0.5)*u_w</f>
        <v>63.5</v>
      </c>
      <c r="C84" s="34" t="str">
        <f aca="false">IF(OR(A84&gt;NL_b,$B$12=""),"",IF((ABS(B84-$B$12)+lane_off)&lt;=0,0,IF((ABS(B84-$B$12)+lane_off)&gt;=v_sh^2/a_sh,(ABS(B84-$B$12)+lane_off)/v_sh+v_sh/a_sh,2*SQRT((ABS(B84-$B$12)+lane_off)/a_sh))))</f>
        <v/>
      </c>
      <c r="D84" s="34" t="str">
        <f aca="false">IF(OR(A84&gt;NL_b,$B$13=""),"",IF((ABS(B84-$B$13)+lane_off)&lt;=0,0,IF((ABS(B84-$B$13)+lane_off)&gt;=v_sh^2/a_sh,(ABS(B84-$B$13)+lane_off)/v_sh+v_sh/a_sh,2*SQRT((ABS(B84-$B$13)+lane_off)/a_sh))))</f>
        <v/>
      </c>
      <c r="E84" s="34" t="str">
        <f aca="false">IF(OR(A84&gt;NL_b,$B$14=""),"",IF((ABS(B84-$B$14)+lane_off)&lt;=0,0,IF((ABS(B84-$B$14)+lane_off)&gt;=v_sh^2/a_sh,(ABS(B84-$B$14)+lane_off)/v_sh+v_sh/a_sh,2*SQRT((ABS(B84-$B$14)+lane_off)/a_sh))))</f>
        <v/>
      </c>
      <c r="F84" s="34" t="str">
        <f aca="false">IF(OR(A84&gt;NL_b,$B$15=""),"",IF((ABS(B84-$B$15)+lane_off)&lt;=0,0,IF((ABS(B84-$B$15)+lane_off)&gt;=v_sh^2/a_sh,(ABS(B84-$B$15)+lane_off)/v_sh+v_sh/a_sh,2*SQRT((ABS(B84-$B$15)+lane_off)/a_sh))))</f>
        <v/>
      </c>
      <c r="G84" s="34" t="str">
        <f aca="false">IF(OR(A84&gt;NL_b,$B$16=""),"",IF((ABS(B84-$B$16)+lane_off)&lt;=0,0,IF((ABS(B84-$B$16)+lane_off)&gt;=v_sh^2/a_sh,(ABS(B84-$B$16)+lane_off)/v_sh+v_sh/a_sh,2*SQRT((ABS(B84-$B$16)+lane_off)/a_sh))))</f>
        <v/>
      </c>
      <c r="H84" s="34" t="str">
        <f aca="false">IF(OR(A84&gt;NL_b,$B$17=""),"",IF((ABS(B84-$B$17)+lane_off)&lt;=0,0,IF((ABS(B84-$B$17)+lane_off)&gt;=v_sh^2/a_sh,(ABS(B84-$B$17)+lane_off)/v_sh+v_sh/a_sh,2*SQRT((ABS(B84-$B$17)+lane_off)/a_sh))))</f>
        <v/>
      </c>
      <c r="I84" s="34" t="str">
        <f aca="false">IF(C84="","",2*C84+w_conv*$D$12/v_conv)</f>
        <v/>
      </c>
      <c r="J84" s="34" t="str">
        <f aca="false">IF(D84="","",2*D84+w_conv*$D$13/v_conv)</f>
        <v/>
      </c>
      <c r="K84" s="34" t="str">
        <f aca="false">IF(E84="","",2*E84+w_conv*$D$14/v_conv)</f>
        <v/>
      </c>
      <c r="L84" s="34" t="str">
        <f aca="false">IF(F84="","",2*F84+w_conv*$D$15/v_conv)</f>
        <v/>
      </c>
      <c r="M84" s="34" t="str">
        <f aca="false">IF(G84="","",2*G84+w_conv*$D$16/v_conv)</f>
        <v/>
      </c>
      <c r="N84" s="34" t="str">
        <f aca="false">IF(H84="","",2*H84+w_conv*$D$17/v_conv)</f>
        <v/>
      </c>
      <c r="O84" s="34" t="str">
        <f aca="false">IF(A84&gt;NL_b,"",MIN(I84:N84))</f>
        <v/>
      </c>
      <c r="P84" s="34" t="str">
        <f aca="false">IF(O84="","",INDEX(C84:H84,MATCH(O84,I84:N84,0)))</f>
        <v/>
      </c>
      <c r="Q84" s="34" t="str">
        <f aca="false">IF(O84="","",INDEX($D$12:$D$17,MATCH(O84,I84:N84,0)))</f>
        <v/>
      </c>
    </row>
    <row r="85" customFormat="false" ht="15" hidden="false" customHeight="true" outlineLevel="0" collapsed="false">
      <c r="A85" s="54" t="n">
        <v>65</v>
      </c>
      <c r="B85" s="34" t="n">
        <f aca="false">(A85-0.5)*u_w</f>
        <v>64.5</v>
      </c>
      <c r="C85" s="34" t="str">
        <f aca="false">IF(OR(A85&gt;NL_b,$B$12=""),"",IF((ABS(B85-$B$12)+lane_off)&lt;=0,0,IF((ABS(B85-$B$12)+lane_off)&gt;=v_sh^2/a_sh,(ABS(B85-$B$12)+lane_off)/v_sh+v_sh/a_sh,2*SQRT((ABS(B85-$B$12)+lane_off)/a_sh))))</f>
        <v/>
      </c>
      <c r="D85" s="34" t="str">
        <f aca="false">IF(OR(A85&gt;NL_b,$B$13=""),"",IF((ABS(B85-$B$13)+lane_off)&lt;=0,0,IF((ABS(B85-$B$13)+lane_off)&gt;=v_sh^2/a_sh,(ABS(B85-$B$13)+lane_off)/v_sh+v_sh/a_sh,2*SQRT((ABS(B85-$B$13)+lane_off)/a_sh))))</f>
        <v/>
      </c>
      <c r="E85" s="34" t="str">
        <f aca="false">IF(OR(A85&gt;NL_b,$B$14=""),"",IF((ABS(B85-$B$14)+lane_off)&lt;=0,0,IF((ABS(B85-$B$14)+lane_off)&gt;=v_sh^2/a_sh,(ABS(B85-$B$14)+lane_off)/v_sh+v_sh/a_sh,2*SQRT((ABS(B85-$B$14)+lane_off)/a_sh))))</f>
        <v/>
      </c>
      <c r="F85" s="34" t="str">
        <f aca="false">IF(OR(A85&gt;NL_b,$B$15=""),"",IF((ABS(B85-$B$15)+lane_off)&lt;=0,0,IF((ABS(B85-$B$15)+lane_off)&gt;=v_sh^2/a_sh,(ABS(B85-$B$15)+lane_off)/v_sh+v_sh/a_sh,2*SQRT((ABS(B85-$B$15)+lane_off)/a_sh))))</f>
        <v/>
      </c>
      <c r="G85" s="34" t="str">
        <f aca="false">IF(OR(A85&gt;NL_b,$B$16=""),"",IF((ABS(B85-$B$16)+lane_off)&lt;=0,0,IF((ABS(B85-$B$16)+lane_off)&gt;=v_sh^2/a_sh,(ABS(B85-$B$16)+lane_off)/v_sh+v_sh/a_sh,2*SQRT((ABS(B85-$B$16)+lane_off)/a_sh))))</f>
        <v/>
      </c>
      <c r="H85" s="34" t="str">
        <f aca="false">IF(OR(A85&gt;NL_b,$B$17=""),"",IF((ABS(B85-$B$17)+lane_off)&lt;=0,0,IF((ABS(B85-$B$17)+lane_off)&gt;=v_sh^2/a_sh,(ABS(B85-$B$17)+lane_off)/v_sh+v_sh/a_sh,2*SQRT((ABS(B85-$B$17)+lane_off)/a_sh))))</f>
        <v/>
      </c>
      <c r="I85" s="34" t="str">
        <f aca="false">IF(C85="","",2*C85+w_conv*$D$12/v_conv)</f>
        <v/>
      </c>
      <c r="J85" s="34" t="str">
        <f aca="false">IF(D85="","",2*D85+w_conv*$D$13/v_conv)</f>
        <v/>
      </c>
      <c r="K85" s="34" t="str">
        <f aca="false">IF(E85="","",2*E85+w_conv*$D$14/v_conv)</f>
        <v/>
      </c>
      <c r="L85" s="34" t="str">
        <f aca="false">IF(F85="","",2*F85+w_conv*$D$15/v_conv)</f>
        <v/>
      </c>
      <c r="M85" s="34" t="str">
        <f aca="false">IF(G85="","",2*G85+w_conv*$D$16/v_conv)</f>
        <v/>
      </c>
      <c r="N85" s="34" t="str">
        <f aca="false">IF(H85="","",2*H85+w_conv*$D$17/v_conv)</f>
        <v/>
      </c>
      <c r="O85" s="34" t="str">
        <f aca="false">IF(A85&gt;NL_b,"",MIN(I85:N85))</f>
        <v/>
      </c>
      <c r="P85" s="34" t="str">
        <f aca="false">IF(O85="","",INDEX(C85:H85,MATCH(O85,I85:N85,0)))</f>
        <v/>
      </c>
      <c r="Q85" s="34" t="str">
        <f aca="false">IF(O85="","",INDEX($D$12:$D$17,MATCH(O85,I85:N85,0)))</f>
        <v/>
      </c>
    </row>
    <row r="86" customFormat="false" ht="15" hidden="false" customHeight="true" outlineLevel="0" collapsed="false">
      <c r="A86" s="54" t="n">
        <v>66</v>
      </c>
      <c r="B86" s="34" t="n">
        <f aca="false">(A86-0.5)*u_w</f>
        <v>65.5</v>
      </c>
      <c r="C86" s="34" t="str">
        <f aca="false">IF(OR(A86&gt;NL_b,$B$12=""),"",IF((ABS(B86-$B$12)+lane_off)&lt;=0,0,IF((ABS(B86-$B$12)+lane_off)&gt;=v_sh^2/a_sh,(ABS(B86-$B$12)+lane_off)/v_sh+v_sh/a_sh,2*SQRT((ABS(B86-$B$12)+lane_off)/a_sh))))</f>
        <v/>
      </c>
      <c r="D86" s="34" t="str">
        <f aca="false">IF(OR(A86&gt;NL_b,$B$13=""),"",IF((ABS(B86-$B$13)+lane_off)&lt;=0,0,IF((ABS(B86-$B$13)+lane_off)&gt;=v_sh^2/a_sh,(ABS(B86-$B$13)+lane_off)/v_sh+v_sh/a_sh,2*SQRT((ABS(B86-$B$13)+lane_off)/a_sh))))</f>
        <v/>
      </c>
      <c r="E86" s="34" t="str">
        <f aca="false">IF(OR(A86&gt;NL_b,$B$14=""),"",IF((ABS(B86-$B$14)+lane_off)&lt;=0,0,IF((ABS(B86-$B$14)+lane_off)&gt;=v_sh^2/a_sh,(ABS(B86-$B$14)+lane_off)/v_sh+v_sh/a_sh,2*SQRT((ABS(B86-$B$14)+lane_off)/a_sh))))</f>
        <v/>
      </c>
      <c r="F86" s="34" t="str">
        <f aca="false">IF(OR(A86&gt;NL_b,$B$15=""),"",IF((ABS(B86-$B$15)+lane_off)&lt;=0,0,IF((ABS(B86-$B$15)+lane_off)&gt;=v_sh^2/a_sh,(ABS(B86-$B$15)+lane_off)/v_sh+v_sh/a_sh,2*SQRT((ABS(B86-$B$15)+lane_off)/a_sh))))</f>
        <v/>
      </c>
      <c r="G86" s="34" t="str">
        <f aca="false">IF(OR(A86&gt;NL_b,$B$16=""),"",IF((ABS(B86-$B$16)+lane_off)&lt;=0,0,IF((ABS(B86-$B$16)+lane_off)&gt;=v_sh^2/a_sh,(ABS(B86-$B$16)+lane_off)/v_sh+v_sh/a_sh,2*SQRT((ABS(B86-$B$16)+lane_off)/a_sh))))</f>
        <v/>
      </c>
      <c r="H86" s="34" t="str">
        <f aca="false">IF(OR(A86&gt;NL_b,$B$17=""),"",IF((ABS(B86-$B$17)+lane_off)&lt;=0,0,IF((ABS(B86-$B$17)+lane_off)&gt;=v_sh^2/a_sh,(ABS(B86-$B$17)+lane_off)/v_sh+v_sh/a_sh,2*SQRT((ABS(B86-$B$17)+lane_off)/a_sh))))</f>
        <v/>
      </c>
      <c r="I86" s="34" t="str">
        <f aca="false">IF(C86="","",2*C86+w_conv*$D$12/v_conv)</f>
        <v/>
      </c>
      <c r="J86" s="34" t="str">
        <f aca="false">IF(D86="","",2*D86+w_conv*$D$13/v_conv)</f>
        <v/>
      </c>
      <c r="K86" s="34" t="str">
        <f aca="false">IF(E86="","",2*E86+w_conv*$D$14/v_conv)</f>
        <v/>
      </c>
      <c r="L86" s="34" t="str">
        <f aca="false">IF(F86="","",2*F86+w_conv*$D$15/v_conv)</f>
        <v/>
      </c>
      <c r="M86" s="34" t="str">
        <f aca="false">IF(G86="","",2*G86+w_conv*$D$16/v_conv)</f>
        <v/>
      </c>
      <c r="N86" s="34" t="str">
        <f aca="false">IF(H86="","",2*H86+w_conv*$D$17/v_conv)</f>
        <v/>
      </c>
      <c r="O86" s="34" t="str">
        <f aca="false">IF(A86&gt;NL_b,"",MIN(I86:N86))</f>
        <v/>
      </c>
      <c r="P86" s="34" t="str">
        <f aca="false">IF(O86="","",INDEX(C86:H86,MATCH(O86,I86:N86,0)))</f>
        <v/>
      </c>
      <c r="Q86" s="34" t="str">
        <f aca="false">IF(O86="","",INDEX($D$12:$D$17,MATCH(O86,I86:N86,0)))</f>
        <v/>
      </c>
    </row>
    <row r="87" customFormat="false" ht="15" hidden="false" customHeight="true" outlineLevel="0" collapsed="false">
      <c r="A87" s="54" t="n">
        <v>67</v>
      </c>
      <c r="B87" s="34" t="n">
        <f aca="false">(A87-0.5)*u_w</f>
        <v>66.5</v>
      </c>
      <c r="C87" s="34" t="str">
        <f aca="false">IF(OR(A87&gt;NL_b,$B$12=""),"",IF((ABS(B87-$B$12)+lane_off)&lt;=0,0,IF((ABS(B87-$B$12)+lane_off)&gt;=v_sh^2/a_sh,(ABS(B87-$B$12)+lane_off)/v_sh+v_sh/a_sh,2*SQRT((ABS(B87-$B$12)+lane_off)/a_sh))))</f>
        <v/>
      </c>
      <c r="D87" s="34" t="str">
        <f aca="false">IF(OR(A87&gt;NL_b,$B$13=""),"",IF((ABS(B87-$B$13)+lane_off)&lt;=0,0,IF((ABS(B87-$B$13)+lane_off)&gt;=v_sh^2/a_sh,(ABS(B87-$B$13)+lane_off)/v_sh+v_sh/a_sh,2*SQRT((ABS(B87-$B$13)+lane_off)/a_sh))))</f>
        <v/>
      </c>
      <c r="E87" s="34" t="str">
        <f aca="false">IF(OR(A87&gt;NL_b,$B$14=""),"",IF((ABS(B87-$B$14)+lane_off)&lt;=0,0,IF((ABS(B87-$B$14)+lane_off)&gt;=v_sh^2/a_sh,(ABS(B87-$B$14)+lane_off)/v_sh+v_sh/a_sh,2*SQRT((ABS(B87-$B$14)+lane_off)/a_sh))))</f>
        <v/>
      </c>
      <c r="F87" s="34" t="str">
        <f aca="false">IF(OR(A87&gt;NL_b,$B$15=""),"",IF((ABS(B87-$B$15)+lane_off)&lt;=0,0,IF((ABS(B87-$B$15)+lane_off)&gt;=v_sh^2/a_sh,(ABS(B87-$B$15)+lane_off)/v_sh+v_sh/a_sh,2*SQRT((ABS(B87-$B$15)+lane_off)/a_sh))))</f>
        <v/>
      </c>
      <c r="G87" s="34" t="str">
        <f aca="false">IF(OR(A87&gt;NL_b,$B$16=""),"",IF((ABS(B87-$B$16)+lane_off)&lt;=0,0,IF((ABS(B87-$B$16)+lane_off)&gt;=v_sh^2/a_sh,(ABS(B87-$B$16)+lane_off)/v_sh+v_sh/a_sh,2*SQRT((ABS(B87-$B$16)+lane_off)/a_sh))))</f>
        <v/>
      </c>
      <c r="H87" s="34" t="str">
        <f aca="false">IF(OR(A87&gt;NL_b,$B$17=""),"",IF((ABS(B87-$B$17)+lane_off)&lt;=0,0,IF((ABS(B87-$B$17)+lane_off)&gt;=v_sh^2/a_sh,(ABS(B87-$B$17)+lane_off)/v_sh+v_sh/a_sh,2*SQRT((ABS(B87-$B$17)+lane_off)/a_sh))))</f>
        <v/>
      </c>
      <c r="I87" s="34" t="str">
        <f aca="false">IF(C87="","",2*C87+w_conv*$D$12/v_conv)</f>
        <v/>
      </c>
      <c r="J87" s="34" t="str">
        <f aca="false">IF(D87="","",2*D87+w_conv*$D$13/v_conv)</f>
        <v/>
      </c>
      <c r="K87" s="34" t="str">
        <f aca="false">IF(E87="","",2*E87+w_conv*$D$14/v_conv)</f>
        <v/>
      </c>
      <c r="L87" s="34" t="str">
        <f aca="false">IF(F87="","",2*F87+w_conv*$D$15/v_conv)</f>
        <v/>
      </c>
      <c r="M87" s="34" t="str">
        <f aca="false">IF(G87="","",2*G87+w_conv*$D$16/v_conv)</f>
        <v/>
      </c>
      <c r="N87" s="34" t="str">
        <f aca="false">IF(H87="","",2*H87+w_conv*$D$17/v_conv)</f>
        <v/>
      </c>
      <c r="O87" s="34" t="str">
        <f aca="false">IF(A87&gt;NL_b,"",MIN(I87:N87))</f>
        <v/>
      </c>
      <c r="P87" s="34" t="str">
        <f aca="false">IF(O87="","",INDEX(C87:H87,MATCH(O87,I87:N87,0)))</f>
        <v/>
      </c>
      <c r="Q87" s="34" t="str">
        <f aca="false">IF(O87="","",INDEX($D$12:$D$17,MATCH(O87,I87:N87,0)))</f>
        <v/>
      </c>
    </row>
    <row r="88" customFormat="false" ht="15" hidden="false" customHeight="true" outlineLevel="0" collapsed="false">
      <c r="A88" s="54" t="n">
        <v>68</v>
      </c>
      <c r="B88" s="34" t="n">
        <f aca="false">(A88-0.5)*u_w</f>
        <v>67.5</v>
      </c>
      <c r="C88" s="34" t="str">
        <f aca="false">IF(OR(A88&gt;NL_b,$B$12=""),"",IF((ABS(B88-$B$12)+lane_off)&lt;=0,0,IF((ABS(B88-$B$12)+lane_off)&gt;=v_sh^2/a_sh,(ABS(B88-$B$12)+lane_off)/v_sh+v_sh/a_sh,2*SQRT((ABS(B88-$B$12)+lane_off)/a_sh))))</f>
        <v/>
      </c>
      <c r="D88" s="34" t="str">
        <f aca="false">IF(OR(A88&gt;NL_b,$B$13=""),"",IF((ABS(B88-$B$13)+lane_off)&lt;=0,0,IF((ABS(B88-$B$13)+lane_off)&gt;=v_sh^2/a_sh,(ABS(B88-$B$13)+lane_off)/v_sh+v_sh/a_sh,2*SQRT((ABS(B88-$B$13)+lane_off)/a_sh))))</f>
        <v/>
      </c>
      <c r="E88" s="34" t="str">
        <f aca="false">IF(OR(A88&gt;NL_b,$B$14=""),"",IF((ABS(B88-$B$14)+lane_off)&lt;=0,0,IF((ABS(B88-$B$14)+lane_off)&gt;=v_sh^2/a_sh,(ABS(B88-$B$14)+lane_off)/v_sh+v_sh/a_sh,2*SQRT((ABS(B88-$B$14)+lane_off)/a_sh))))</f>
        <v/>
      </c>
      <c r="F88" s="34" t="str">
        <f aca="false">IF(OR(A88&gt;NL_b,$B$15=""),"",IF((ABS(B88-$B$15)+lane_off)&lt;=0,0,IF((ABS(B88-$B$15)+lane_off)&gt;=v_sh^2/a_sh,(ABS(B88-$B$15)+lane_off)/v_sh+v_sh/a_sh,2*SQRT((ABS(B88-$B$15)+lane_off)/a_sh))))</f>
        <v/>
      </c>
      <c r="G88" s="34" t="str">
        <f aca="false">IF(OR(A88&gt;NL_b,$B$16=""),"",IF((ABS(B88-$B$16)+lane_off)&lt;=0,0,IF((ABS(B88-$B$16)+lane_off)&gt;=v_sh^2/a_sh,(ABS(B88-$B$16)+lane_off)/v_sh+v_sh/a_sh,2*SQRT((ABS(B88-$B$16)+lane_off)/a_sh))))</f>
        <v/>
      </c>
      <c r="H88" s="34" t="str">
        <f aca="false">IF(OR(A88&gt;NL_b,$B$17=""),"",IF((ABS(B88-$B$17)+lane_off)&lt;=0,0,IF((ABS(B88-$B$17)+lane_off)&gt;=v_sh^2/a_sh,(ABS(B88-$B$17)+lane_off)/v_sh+v_sh/a_sh,2*SQRT((ABS(B88-$B$17)+lane_off)/a_sh))))</f>
        <v/>
      </c>
      <c r="I88" s="34" t="str">
        <f aca="false">IF(C88="","",2*C88+w_conv*$D$12/v_conv)</f>
        <v/>
      </c>
      <c r="J88" s="34" t="str">
        <f aca="false">IF(D88="","",2*D88+w_conv*$D$13/v_conv)</f>
        <v/>
      </c>
      <c r="K88" s="34" t="str">
        <f aca="false">IF(E88="","",2*E88+w_conv*$D$14/v_conv)</f>
        <v/>
      </c>
      <c r="L88" s="34" t="str">
        <f aca="false">IF(F88="","",2*F88+w_conv*$D$15/v_conv)</f>
        <v/>
      </c>
      <c r="M88" s="34" t="str">
        <f aca="false">IF(G88="","",2*G88+w_conv*$D$16/v_conv)</f>
        <v/>
      </c>
      <c r="N88" s="34" t="str">
        <f aca="false">IF(H88="","",2*H88+w_conv*$D$17/v_conv)</f>
        <v/>
      </c>
      <c r="O88" s="34" t="str">
        <f aca="false">IF(A88&gt;NL_b,"",MIN(I88:N88))</f>
        <v/>
      </c>
      <c r="P88" s="34" t="str">
        <f aca="false">IF(O88="","",INDEX(C88:H88,MATCH(O88,I88:N88,0)))</f>
        <v/>
      </c>
      <c r="Q88" s="34" t="str">
        <f aca="false">IF(O88="","",INDEX($D$12:$D$17,MATCH(O88,I88:N88,0)))</f>
        <v/>
      </c>
    </row>
    <row r="89" customFormat="false" ht="15" hidden="false" customHeight="true" outlineLevel="0" collapsed="false">
      <c r="A89" s="54" t="n">
        <v>69</v>
      </c>
      <c r="B89" s="34" t="n">
        <f aca="false">(A89-0.5)*u_w</f>
        <v>68.5</v>
      </c>
      <c r="C89" s="34" t="str">
        <f aca="false">IF(OR(A89&gt;NL_b,$B$12=""),"",IF((ABS(B89-$B$12)+lane_off)&lt;=0,0,IF((ABS(B89-$B$12)+lane_off)&gt;=v_sh^2/a_sh,(ABS(B89-$B$12)+lane_off)/v_sh+v_sh/a_sh,2*SQRT((ABS(B89-$B$12)+lane_off)/a_sh))))</f>
        <v/>
      </c>
      <c r="D89" s="34" t="str">
        <f aca="false">IF(OR(A89&gt;NL_b,$B$13=""),"",IF((ABS(B89-$B$13)+lane_off)&lt;=0,0,IF((ABS(B89-$B$13)+lane_off)&gt;=v_sh^2/a_sh,(ABS(B89-$B$13)+lane_off)/v_sh+v_sh/a_sh,2*SQRT((ABS(B89-$B$13)+lane_off)/a_sh))))</f>
        <v/>
      </c>
      <c r="E89" s="34" t="str">
        <f aca="false">IF(OR(A89&gt;NL_b,$B$14=""),"",IF((ABS(B89-$B$14)+lane_off)&lt;=0,0,IF((ABS(B89-$B$14)+lane_off)&gt;=v_sh^2/a_sh,(ABS(B89-$B$14)+lane_off)/v_sh+v_sh/a_sh,2*SQRT((ABS(B89-$B$14)+lane_off)/a_sh))))</f>
        <v/>
      </c>
      <c r="F89" s="34" t="str">
        <f aca="false">IF(OR(A89&gt;NL_b,$B$15=""),"",IF((ABS(B89-$B$15)+lane_off)&lt;=0,0,IF((ABS(B89-$B$15)+lane_off)&gt;=v_sh^2/a_sh,(ABS(B89-$B$15)+lane_off)/v_sh+v_sh/a_sh,2*SQRT((ABS(B89-$B$15)+lane_off)/a_sh))))</f>
        <v/>
      </c>
      <c r="G89" s="34" t="str">
        <f aca="false">IF(OR(A89&gt;NL_b,$B$16=""),"",IF((ABS(B89-$B$16)+lane_off)&lt;=0,0,IF((ABS(B89-$B$16)+lane_off)&gt;=v_sh^2/a_sh,(ABS(B89-$B$16)+lane_off)/v_sh+v_sh/a_sh,2*SQRT((ABS(B89-$B$16)+lane_off)/a_sh))))</f>
        <v/>
      </c>
      <c r="H89" s="34" t="str">
        <f aca="false">IF(OR(A89&gt;NL_b,$B$17=""),"",IF((ABS(B89-$B$17)+lane_off)&lt;=0,0,IF((ABS(B89-$B$17)+lane_off)&gt;=v_sh^2/a_sh,(ABS(B89-$B$17)+lane_off)/v_sh+v_sh/a_sh,2*SQRT((ABS(B89-$B$17)+lane_off)/a_sh))))</f>
        <v/>
      </c>
      <c r="I89" s="34" t="str">
        <f aca="false">IF(C89="","",2*C89+w_conv*$D$12/v_conv)</f>
        <v/>
      </c>
      <c r="J89" s="34" t="str">
        <f aca="false">IF(D89="","",2*D89+w_conv*$D$13/v_conv)</f>
        <v/>
      </c>
      <c r="K89" s="34" t="str">
        <f aca="false">IF(E89="","",2*E89+w_conv*$D$14/v_conv)</f>
        <v/>
      </c>
      <c r="L89" s="34" t="str">
        <f aca="false">IF(F89="","",2*F89+w_conv*$D$15/v_conv)</f>
        <v/>
      </c>
      <c r="M89" s="34" t="str">
        <f aca="false">IF(G89="","",2*G89+w_conv*$D$16/v_conv)</f>
        <v/>
      </c>
      <c r="N89" s="34" t="str">
        <f aca="false">IF(H89="","",2*H89+w_conv*$D$17/v_conv)</f>
        <v/>
      </c>
      <c r="O89" s="34" t="str">
        <f aca="false">IF(A89&gt;NL_b,"",MIN(I89:N89))</f>
        <v/>
      </c>
      <c r="P89" s="34" t="str">
        <f aca="false">IF(O89="","",INDEX(C89:H89,MATCH(O89,I89:N89,0)))</f>
        <v/>
      </c>
      <c r="Q89" s="34" t="str">
        <f aca="false">IF(O89="","",INDEX($D$12:$D$17,MATCH(O89,I89:N89,0)))</f>
        <v/>
      </c>
    </row>
    <row r="90" customFormat="false" ht="15" hidden="false" customHeight="true" outlineLevel="0" collapsed="false">
      <c r="A90" s="54" t="n">
        <v>70</v>
      </c>
      <c r="B90" s="34" t="n">
        <f aca="false">(A90-0.5)*u_w</f>
        <v>69.5</v>
      </c>
      <c r="C90" s="34" t="str">
        <f aca="false">IF(OR(A90&gt;NL_b,$B$12=""),"",IF((ABS(B90-$B$12)+lane_off)&lt;=0,0,IF((ABS(B90-$B$12)+lane_off)&gt;=v_sh^2/a_sh,(ABS(B90-$B$12)+lane_off)/v_sh+v_sh/a_sh,2*SQRT((ABS(B90-$B$12)+lane_off)/a_sh))))</f>
        <v/>
      </c>
      <c r="D90" s="34" t="str">
        <f aca="false">IF(OR(A90&gt;NL_b,$B$13=""),"",IF((ABS(B90-$B$13)+lane_off)&lt;=0,0,IF((ABS(B90-$B$13)+lane_off)&gt;=v_sh^2/a_sh,(ABS(B90-$B$13)+lane_off)/v_sh+v_sh/a_sh,2*SQRT((ABS(B90-$B$13)+lane_off)/a_sh))))</f>
        <v/>
      </c>
      <c r="E90" s="34" t="str">
        <f aca="false">IF(OR(A90&gt;NL_b,$B$14=""),"",IF((ABS(B90-$B$14)+lane_off)&lt;=0,0,IF((ABS(B90-$B$14)+lane_off)&gt;=v_sh^2/a_sh,(ABS(B90-$B$14)+lane_off)/v_sh+v_sh/a_sh,2*SQRT((ABS(B90-$B$14)+lane_off)/a_sh))))</f>
        <v/>
      </c>
      <c r="F90" s="34" t="str">
        <f aca="false">IF(OR(A90&gt;NL_b,$B$15=""),"",IF((ABS(B90-$B$15)+lane_off)&lt;=0,0,IF((ABS(B90-$B$15)+lane_off)&gt;=v_sh^2/a_sh,(ABS(B90-$B$15)+lane_off)/v_sh+v_sh/a_sh,2*SQRT((ABS(B90-$B$15)+lane_off)/a_sh))))</f>
        <v/>
      </c>
      <c r="G90" s="34" t="str">
        <f aca="false">IF(OR(A90&gt;NL_b,$B$16=""),"",IF((ABS(B90-$B$16)+lane_off)&lt;=0,0,IF((ABS(B90-$B$16)+lane_off)&gt;=v_sh^2/a_sh,(ABS(B90-$B$16)+lane_off)/v_sh+v_sh/a_sh,2*SQRT((ABS(B90-$B$16)+lane_off)/a_sh))))</f>
        <v/>
      </c>
      <c r="H90" s="34" t="str">
        <f aca="false">IF(OR(A90&gt;NL_b,$B$17=""),"",IF((ABS(B90-$B$17)+lane_off)&lt;=0,0,IF((ABS(B90-$B$17)+lane_off)&gt;=v_sh^2/a_sh,(ABS(B90-$B$17)+lane_off)/v_sh+v_sh/a_sh,2*SQRT((ABS(B90-$B$17)+lane_off)/a_sh))))</f>
        <v/>
      </c>
      <c r="I90" s="34" t="str">
        <f aca="false">IF(C90="","",2*C90+w_conv*$D$12/v_conv)</f>
        <v/>
      </c>
      <c r="J90" s="34" t="str">
        <f aca="false">IF(D90="","",2*D90+w_conv*$D$13/v_conv)</f>
        <v/>
      </c>
      <c r="K90" s="34" t="str">
        <f aca="false">IF(E90="","",2*E90+w_conv*$D$14/v_conv)</f>
        <v/>
      </c>
      <c r="L90" s="34" t="str">
        <f aca="false">IF(F90="","",2*F90+w_conv*$D$15/v_conv)</f>
        <v/>
      </c>
      <c r="M90" s="34" t="str">
        <f aca="false">IF(G90="","",2*G90+w_conv*$D$16/v_conv)</f>
        <v/>
      </c>
      <c r="N90" s="34" t="str">
        <f aca="false">IF(H90="","",2*H90+w_conv*$D$17/v_conv)</f>
        <v/>
      </c>
      <c r="O90" s="34" t="str">
        <f aca="false">IF(A90&gt;NL_b,"",MIN(I90:N90))</f>
        <v/>
      </c>
      <c r="P90" s="34" t="str">
        <f aca="false">IF(O90="","",INDEX(C90:H90,MATCH(O90,I90:N90,0)))</f>
        <v/>
      </c>
      <c r="Q90" s="34" t="str">
        <f aca="false">IF(O90="","",INDEX($D$12:$D$17,MATCH(O90,I90:N90,0)))</f>
        <v/>
      </c>
    </row>
    <row r="91" customFormat="false" ht="15" hidden="false" customHeight="true" outlineLevel="0" collapsed="false">
      <c r="A91" s="54" t="n">
        <v>71</v>
      </c>
      <c r="B91" s="34" t="n">
        <f aca="false">(A91-0.5)*u_w</f>
        <v>70.5</v>
      </c>
      <c r="C91" s="34" t="str">
        <f aca="false">IF(OR(A91&gt;NL_b,$B$12=""),"",IF((ABS(B91-$B$12)+lane_off)&lt;=0,0,IF((ABS(B91-$B$12)+lane_off)&gt;=v_sh^2/a_sh,(ABS(B91-$B$12)+lane_off)/v_sh+v_sh/a_sh,2*SQRT((ABS(B91-$B$12)+lane_off)/a_sh))))</f>
        <v/>
      </c>
      <c r="D91" s="34" t="str">
        <f aca="false">IF(OR(A91&gt;NL_b,$B$13=""),"",IF((ABS(B91-$B$13)+lane_off)&lt;=0,0,IF((ABS(B91-$B$13)+lane_off)&gt;=v_sh^2/a_sh,(ABS(B91-$B$13)+lane_off)/v_sh+v_sh/a_sh,2*SQRT((ABS(B91-$B$13)+lane_off)/a_sh))))</f>
        <v/>
      </c>
      <c r="E91" s="34" t="str">
        <f aca="false">IF(OR(A91&gt;NL_b,$B$14=""),"",IF((ABS(B91-$B$14)+lane_off)&lt;=0,0,IF((ABS(B91-$B$14)+lane_off)&gt;=v_sh^2/a_sh,(ABS(B91-$B$14)+lane_off)/v_sh+v_sh/a_sh,2*SQRT((ABS(B91-$B$14)+lane_off)/a_sh))))</f>
        <v/>
      </c>
      <c r="F91" s="34" t="str">
        <f aca="false">IF(OR(A91&gt;NL_b,$B$15=""),"",IF((ABS(B91-$B$15)+lane_off)&lt;=0,0,IF((ABS(B91-$B$15)+lane_off)&gt;=v_sh^2/a_sh,(ABS(B91-$B$15)+lane_off)/v_sh+v_sh/a_sh,2*SQRT((ABS(B91-$B$15)+lane_off)/a_sh))))</f>
        <v/>
      </c>
      <c r="G91" s="34" t="str">
        <f aca="false">IF(OR(A91&gt;NL_b,$B$16=""),"",IF((ABS(B91-$B$16)+lane_off)&lt;=0,0,IF((ABS(B91-$B$16)+lane_off)&gt;=v_sh^2/a_sh,(ABS(B91-$B$16)+lane_off)/v_sh+v_sh/a_sh,2*SQRT((ABS(B91-$B$16)+lane_off)/a_sh))))</f>
        <v/>
      </c>
      <c r="H91" s="34" t="str">
        <f aca="false">IF(OR(A91&gt;NL_b,$B$17=""),"",IF((ABS(B91-$B$17)+lane_off)&lt;=0,0,IF((ABS(B91-$B$17)+lane_off)&gt;=v_sh^2/a_sh,(ABS(B91-$B$17)+lane_off)/v_sh+v_sh/a_sh,2*SQRT((ABS(B91-$B$17)+lane_off)/a_sh))))</f>
        <v/>
      </c>
      <c r="I91" s="34" t="str">
        <f aca="false">IF(C91="","",2*C91+w_conv*$D$12/v_conv)</f>
        <v/>
      </c>
      <c r="J91" s="34" t="str">
        <f aca="false">IF(D91="","",2*D91+w_conv*$D$13/v_conv)</f>
        <v/>
      </c>
      <c r="K91" s="34" t="str">
        <f aca="false">IF(E91="","",2*E91+w_conv*$D$14/v_conv)</f>
        <v/>
      </c>
      <c r="L91" s="34" t="str">
        <f aca="false">IF(F91="","",2*F91+w_conv*$D$15/v_conv)</f>
        <v/>
      </c>
      <c r="M91" s="34" t="str">
        <f aca="false">IF(G91="","",2*G91+w_conv*$D$16/v_conv)</f>
        <v/>
      </c>
      <c r="N91" s="34" t="str">
        <f aca="false">IF(H91="","",2*H91+w_conv*$D$17/v_conv)</f>
        <v/>
      </c>
      <c r="O91" s="34" t="str">
        <f aca="false">IF(A91&gt;NL_b,"",MIN(I91:N91))</f>
        <v/>
      </c>
      <c r="P91" s="34" t="str">
        <f aca="false">IF(O91="","",INDEX(C91:H91,MATCH(O91,I91:N91,0)))</f>
        <v/>
      </c>
      <c r="Q91" s="34" t="str">
        <f aca="false">IF(O91="","",INDEX($D$12:$D$17,MATCH(O91,I91:N91,0)))</f>
        <v/>
      </c>
    </row>
    <row r="92" customFormat="false" ht="15" hidden="false" customHeight="true" outlineLevel="0" collapsed="false">
      <c r="A92" s="54" t="n">
        <v>72</v>
      </c>
      <c r="B92" s="34" t="n">
        <f aca="false">(A92-0.5)*u_w</f>
        <v>71.5</v>
      </c>
      <c r="C92" s="34" t="str">
        <f aca="false">IF(OR(A92&gt;NL_b,$B$12=""),"",IF((ABS(B92-$B$12)+lane_off)&lt;=0,0,IF((ABS(B92-$B$12)+lane_off)&gt;=v_sh^2/a_sh,(ABS(B92-$B$12)+lane_off)/v_sh+v_sh/a_sh,2*SQRT((ABS(B92-$B$12)+lane_off)/a_sh))))</f>
        <v/>
      </c>
      <c r="D92" s="34" t="str">
        <f aca="false">IF(OR(A92&gt;NL_b,$B$13=""),"",IF((ABS(B92-$B$13)+lane_off)&lt;=0,0,IF((ABS(B92-$B$13)+lane_off)&gt;=v_sh^2/a_sh,(ABS(B92-$B$13)+lane_off)/v_sh+v_sh/a_sh,2*SQRT((ABS(B92-$B$13)+lane_off)/a_sh))))</f>
        <v/>
      </c>
      <c r="E92" s="34" t="str">
        <f aca="false">IF(OR(A92&gt;NL_b,$B$14=""),"",IF((ABS(B92-$B$14)+lane_off)&lt;=0,0,IF((ABS(B92-$B$14)+lane_off)&gt;=v_sh^2/a_sh,(ABS(B92-$B$14)+lane_off)/v_sh+v_sh/a_sh,2*SQRT((ABS(B92-$B$14)+lane_off)/a_sh))))</f>
        <v/>
      </c>
      <c r="F92" s="34" t="str">
        <f aca="false">IF(OR(A92&gt;NL_b,$B$15=""),"",IF((ABS(B92-$B$15)+lane_off)&lt;=0,0,IF((ABS(B92-$B$15)+lane_off)&gt;=v_sh^2/a_sh,(ABS(B92-$B$15)+lane_off)/v_sh+v_sh/a_sh,2*SQRT((ABS(B92-$B$15)+lane_off)/a_sh))))</f>
        <v/>
      </c>
      <c r="G92" s="34" t="str">
        <f aca="false">IF(OR(A92&gt;NL_b,$B$16=""),"",IF((ABS(B92-$B$16)+lane_off)&lt;=0,0,IF((ABS(B92-$B$16)+lane_off)&gt;=v_sh^2/a_sh,(ABS(B92-$B$16)+lane_off)/v_sh+v_sh/a_sh,2*SQRT((ABS(B92-$B$16)+lane_off)/a_sh))))</f>
        <v/>
      </c>
      <c r="H92" s="34" t="str">
        <f aca="false">IF(OR(A92&gt;NL_b,$B$17=""),"",IF((ABS(B92-$B$17)+lane_off)&lt;=0,0,IF((ABS(B92-$B$17)+lane_off)&gt;=v_sh^2/a_sh,(ABS(B92-$B$17)+lane_off)/v_sh+v_sh/a_sh,2*SQRT((ABS(B92-$B$17)+lane_off)/a_sh))))</f>
        <v/>
      </c>
      <c r="I92" s="34" t="str">
        <f aca="false">IF(C92="","",2*C92+w_conv*$D$12/v_conv)</f>
        <v/>
      </c>
      <c r="J92" s="34" t="str">
        <f aca="false">IF(D92="","",2*D92+w_conv*$D$13/v_conv)</f>
        <v/>
      </c>
      <c r="K92" s="34" t="str">
        <f aca="false">IF(E92="","",2*E92+w_conv*$D$14/v_conv)</f>
        <v/>
      </c>
      <c r="L92" s="34" t="str">
        <f aca="false">IF(F92="","",2*F92+w_conv*$D$15/v_conv)</f>
        <v/>
      </c>
      <c r="M92" s="34" t="str">
        <f aca="false">IF(G92="","",2*G92+w_conv*$D$16/v_conv)</f>
        <v/>
      </c>
      <c r="N92" s="34" t="str">
        <f aca="false">IF(H92="","",2*H92+w_conv*$D$17/v_conv)</f>
        <v/>
      </c>
      <c r="O92" s="34" t="str">
        <f aca="false">IF(A92&gt;NL_b,"",MIN(I92:N92))</f>
        <v/>
      </c>
      <c r="P92" s="34" t="str">
        <f aca="false">IF(O92="","",INDEX(C92:H92,MATCH(O92,I92:N92,0)))</f>
        <v/>
      </c>
      <c r="Q92" s="34" t="str">
        <f aca="false">IF(O92="","",INDEX($D$12:$D$17,MATCH(O92,I92:N92,0)))</f>
        <v/>
      </c>
    </row>
    <row r="93" customFormat="false" ht="15" hidden="false" customHeight="true" outlineLevel="0" collapsed="false">
      <c r="A93" s="54" t="n">
        <v>73</v>
      </c>
      <c r="B93" s="34" t="n">
        <f aca="false">(A93-0.5)*u_w</f>
        <v>72.5</v>
      </c>
      <c r="C93" s="34" t="str">
        <f aca="false">IF(OR(A93&gt;NL_b,$B$12=""),"",IF((ABS(B93-$B$12)+lane_off)&lt;=0,0,IF((ABS(B93-$B$12)+lane_off)&gt;=v_sh^2/a_sh,(ABS(B93-$B$12)+lane_off)/v_sh+v_sh/a_sh,2*SQRT((ABS(B93-$B$12)+lane_off)/a_sh))))</f>
        <v/>
      </c>
      <c r="D93" s="34" t="str">
        <f aca="false">IF(OR(A93&gt;NL_b,$B$13=""),"",IF((ABS(B93-$B$13)+lane_off)&lt;=0,0,IF((ABS(B93-$B$13)+lane_off)&gt;=v_sh^2/a_sh,(ABS(B93-$B$13)+lane_off)/v_sh+v_sh/a_sh,2*SQRT((ABS(B93-$B$13)+lane_off)/a_sh))))</f>
        <v/>
      </c>
      <c r="E93" s="34" t="str">
        <f aca="false">IF(OR(A93&gt;NL_b,$B$14=""),"",IF((ABS(B93-$B$14)+lane_off)&lt;=0,0,IF((ABS(B93-$B$14)+lane_off)&gt;=v_sh^2/a_sh,(ABS(B93-$B$14)+lane_off)/v_sh+v_sh/a_sh,2*SQRT((ABS(B93-$B$14)+lane_off)/a_sh))))</f>
        <v/>
      </c>
      <c r="F93" s="34" t="str">
        <f aca="false">IF(OR(A93&gt;NL_b,$B$15=""),"",IF((ABS(B93-$B$15)+lane_off)&lt;=0,0,IF((ABS(B93-$B$15)+lane_off)&gt;=v_sh^2/a_sh,(ABS(B93-$B$15)+lane_off)/v_sh+v_sh/a_sh,2*SQRT((ABS(B93-$B$15)+lane_off)/a_sh))))</f>
        <v/>
      </c>
      <c r="G93" s="34" t="str">
        <f aca="false">IF(OR(A93&gt;NL_b,$B$16=""),"",IF((ABS(B93-$B$16)+lane_off)&lt;=0,0,IF((ABS(B93-$B$16)+lane_off)&gt;=v_sh^2/a_sh,(ABS(B93-$B$16)+lane_off)/v_sh+v_sh/a_sh,2*SQRT((ABS(B93-$B$16)+lane_off)/a_sh))))</f>
        <v/>
      </c>
      <c r="H93" s="34" t="str">
        <f aca="false">IF(OR(A93&gt;NL_b,$B$17=""),"",IF((ABS(B93-$B$17)+lane_off)&lt;=0,0,IF((ABS(B93-$B$17)+lane_off)&gt;=v_sh^2/a_sh,(ABS(B93-$B$17)+lane_off)/v_sh+v_sh/a_sh,2*SQRT((ABS(B93-$B$17)+lane_off)/a_sh))))</f>
        <v/>
      </c>
      <c r="I93" s="34" t="str">
        <f aca="false">IF(C93="","",2*C93+w_conv*$D$12/v_conv)</f>
        <v/>
      </c>
      <c r="J93" s="34" t="str">
        <f aca="false">IF(D93="","",2*D93+w_conv*$D$13/v_conv)</f>
        <v/>
      </c>
      <c r="K93" s="34" t="str">
        <f aca="false">IF(E93="","",2*E93+w_conv*$D$14/v_conv)</f>
        <v/>
      </c>
      <c r="L93" s="34" t="str">
        <f aca="false">IF(F93="","",2*F93+w_conv*$D$15/v_conv)</f>
        <v/>
      </c>
      <c r="M93" s="34" t="str">
        <f aca="false">IF(G93="","",2*G93+w_conv*$D$16/v_conv)</f>
        <v/>
      </c>
      <c r="N93" s="34" t="str">
        <f aca="false">IF(H93="","",2*H93+w_conv*$D$17/v_conv)</f>
        <v/>
      </c>
      <c r="O93" s="34" t="str">
        <f aca="false">IF(A93&gt;NL_b,"",MIN(I93:N93))</f>
        <v/>
      </c>
      <c r="P93" s="34" t="str">
        <f aca="false">IF(O93="","",INDEX(C93:H93,MATCH(O93,I93:N93,0)))</f>
        <v/>
      </c>
      <c r="Q93" s="34" t="str">
        <f aca="false">IF(O93="","",INDEX($D$12:$D$17,MATCH(O93,I93:N93,0)))</f>
        <v/>
      </c>
    </row>
    <row r="94" customFormat="false" ht="15" hidden="false" customHeight="true" outlineLevel="0" collapsed="false">
      <c r="A94" s="54" t="n">
        <v>74</v>
      </c>
      <c r="B94" s="34" t="n">
        <f aca="false">(A94-0.5)*u_w</f>
        <v>73.5</v>
      </c>
      <c r="C94" s="34" t="str">
        <f aca="false">IF(OR(A94&gt;NL_b,$B$12=""),"",IF((ABS(B94-$B$12)+lane_off)&lt;=0,0,IF((ABS(B94-$B$12)+lane_off)&gt;=v_sh^2/a_sh,(ABS(B94-$B$12)+lane_off)/v_sh+v_sh/a_sh,2*SQRT((ABS(B94-$B$12)+lane_off)/a_sh))))</f>
        <v/>
      </c>
      <c r="D94" s="34" t="str">
        <f aca="false">IF(OR(A94&gt;NL_b,$B$13=""),"",IF((ABS(B94-$B$13)+lane_off)&lt;=0,0,IF((ABS(B94-$B$13)+lane_off)&gt;=v_sh^2/a_sh,(ABS(B94-$B$13)+lane_off)/v_sh+v_sh/a_sh,2*SQRT((ABS(B94-$B$13)+lane_off)/a_sh))))</f>
        <v/>
      </c>
      <c r="E94" s="34" t="str">
        <f aca="false">IF(OR(A94&gt;NL_b,$B$14=""),"",IF((ABS(B94-$B$14)+lane_off)&lt;=0,0,IF((ABS(B94-$B$14)+lane_off)&gt;=v_sh^2/a_sh,(ABS(B94-$B$14)+lane_off)/v_sh+v_sh/a_sh,2*SQRT((ABS(B94-$B$14)+lane_off)/a_sh))))</f>
        <v/>
      </c>
      <c r="F94" s="34" t="str">
        <f aca="false">IF(OR(A94&gt;NL_b,$B$15=""),"",IF((ABS(B94-$B$15)+lane_off)&lt;=0,0,IF((ABS(B94-$B$15)+lane_off)&gt;=v_sh^2/a_sh,(ABS(B94-$B$15)+lane_off)/v_sh+v_sh/a_sh,2*SQRT((ABS(B94-$B$15)+lane_off)/a_sh))))</f>
        <v/>
      </c>
      <c r="G94" s="34" t="str">
        <f aca="false">IF(OR(A94&gt;NL_b,$B$16=""),"",IF((ABS(B94-$B$16)+lane_off)&lt;=0,0,IF((ABS(B94-$B$16)+lane_off)&gt;=v_sh^2/a_sh,(ABS(B94-$B$16)+lane_off)/v_sh+v_sh/a_sh,2*SQRT((ABS(B94-$B$16)+lane_off)/a_sh))))</f>
        <v/>
      </c>
      <c r="H94" s="34" t="str">
        <f aca="false">IF(OR(A94&gt;NL_b,$B$17=""),"",IF((ABS(B94-$B$17)+lane_off)&lt;=0,0,IF((ABS(B94-$B$17)+lane_off)&gt;=v_sh^2/a_sh,(ABS(B94-$B$17)+lane_off)/v_sh+v_sh/a_sh,2*SQRT((ABS(B94-$B$17)+lane_off)/a_sh))))</f>
        <v/>
      </c>
      <c r="I94" s="34" t="str">
        <f aca="false">IF(C94="","",2*C94+w_conv*$D$12/v_conv)</f>
        <v/>
      </c>
      <c r="J94" s="34" t="str">
        <f aca="false">IF(D94="","",2*D94+w_conv*$D$13/v_conv)</f>
        <v/>
      </c>
      <c r="K94" s="34" t="str">
        <f aca="false">IF(E94="","",2*E94+w_conv*$D$14/v_conv)</f>
        <v/>
      </c>
      <c r="L94" s="34" t="str">
        <f aca="false">IF(F94="","",2*F94+w_conv*$D$15/v_conv)</f>
        <v/>
      </c>
      <c r="M94" s="34" t="str">
        <f aca="false">IF(G94="","",2*G94+w_conv*$D$16/v_conv)</f>
        <v/>
      </c>
      <c r="N94" s="34" t="str">
        <f aca="false">IF(H94="","",2*H94+w_conv*$D$17/v_conv)</f>
        <v/>
      </c>
      <c r="O94" s="34" t="str">
        <f aca="false">IF(A94&gt;NL_b,"",MIN(I94:N94))</f>
        <v/>
      </c>
      <c r="P94" s="34" t="str">
        <f aca="false">IF(O94="","",INDEX(C94:H94,MATCH(O94,I94:N94,0)))</f>
        <v/>
      </c>
      <c r="Q94" s="34" t="str">
        <f aca="false">IF(O94="","",INDEX($D$12:$D$17,MATCH(O94,I94:N94,0)))</f>
        <v/>
      </c>
    </row>
    <row r="95" customFormat="false" ht="15" hidden="false" customHeight="true" outlineLevel="0" collapsed="false">
      <c r="A95" s="54" t="n">
        <v>75</v>
      </c>
      <c r="B95" s="34" t="n">
        <f aca="false">(A95-0.5)*u_w</f>
        <v>74.5</v>
      </c>
      <c r="C95" s="34" t="str">
        <f aca="false">IF(OR(A95&gt;NL_b,$B$12=""),"",IF((ABS(B95-$B$12)+lane_off)&lt;=0,0,IF((ABS(B95-$B$12)+lane_off)&gt;=v_sh^2/a_sh,(ABS(B95-$B$12)+lane_off)/v_sh+v_sh/a_sh,2*SQRT((ABS(B95-$B$12)+lane_off)/a_sh))))</f>
        <v/>
      </c>
      <c r="D95" s="34" t="str">
        <f aca="false">IF(OR(A95&gt;NL_b,$B$13=""),"",IF((ABS(B95-$B$13)+lane_off)&lt;=0,0,IF((ABS(B95-$B$13)+lane_off)&gt;=v_sh^2/a_sh,(ABS(B95-$B$13)+lane_off)/v_sh+v_sh/a_sh,2*SQRT((ABS(B95-$B$13)+lane_off)/a_sh))))</f>
        <v/>
      </c>
      <c r="E95" s="34" t="str">
        <f aca="false">IF(OR(A95&gt;NL_b,$B$14=""),"",IF((ABS(B95-$B$14)+lane_off)&lt;=0,0,IF((ABS(B95-$B$14)+lane_off)&gt;=v_sh^2/a_sh,(ABS(B95-$B$14)+lane_off)/v_sh+v_sh/a_sh,2*SQRT((ABS(B95-$B$14)+lane_off)/a_sh))))</f>
        <v/>
      </c>
      <c r="F95" s="34" t="str">
        <f aca="false">IF(OR(A95&gt;NL_b,$B$15=""),"",IF((ABS(B95-$B$15)+lane_off)&lt;=0,0,IF((ABS(B95-$B$15)+lane_off)&gt;=v_sh^2/a_sh,(ABS(B95-$B$15)+lane_off)/v_sh+v_sh/a_sh,2*SQRT((ABS(B95-$B$15)+lane_off)/a_sh))))</f>
        <v/>
      </c>
      <c r="G95" s="34" t="str">
        <f aca="false">IF(OR(A95&gt;NL_b,$B$16=""),"",IF((ABS(B95-$B$16)+lane_off)&lt;=0,0,IF((ABS(B95-$B$16)+lane_off)&gt;=v_sh^2/a_sh,(ABS(B95-$B$16)+lane_off)/v_sh+v_sh/a_sh,2*SQRT((ABS(B95-$B$16)+lane_off)/a_sh))))</f>
        <v/>
      </c>
      <c r="H95" s="34" t="str">
        <f aca="false">IF(OR(A95&gt;NL_b,$B$17=""),"",IF((ABS(B95-$B$17)+lane_off)&lt;=0,0,IF((ABS(B95-$B$17)+lane_off)&gt;=v_sh^2/a_sh,(ABS(B95-$B$17)+lane_off)/v_sh+v_sh/a_sh,2*SQRT((ABS(B95-$B$17)+lane_off)/a_sh))))</f>
        <v/>
      </c>
      <c r="I95" s="34" t="str">
        <f aca="false">IF(C95="","",2*C95+w_conv*$D$12/v_conv)</f>
        <v/>
      </c>
      <c r="J95" s="34" t="str">
        <f aca="false">IF(D95="","",2*D95+w_conv*$D$13/v_conv)</f>
        <v/>
      </c>
      <c r="K95" s="34" t="str">
        <f aca="false">IF(E95="","",2*E95+w_conv*$D$14/v_conv)</f>
        <v/>
      </c>
      <c r="L95" s="34" t="str">
        <f aca="false">IF(F95="","",2*F95+w_conv*$D$15/v_conv)</f>
        <v/>
      </c>
      <c r="M95" s="34" t="str">
        <f aca="false">IF(G95="","",2*G95+w_conv*$D$16/v_conv)</f>
        <v/>
      </c>
      <c r="N95" s="34" t="str">
        <f aca="false">IF(H95="","",2*H95+w_conv*$D$17/v_conv)</f>
        <v/>
      </c>
      <c r="O95" s="34" t="str">
        <f aca="false">IF(A95&gt;NL_b,"",MIN(I95:N95))</f>
        <v/>
      </c>
      <c r="P95" s="34" t="str">
        <f aca="false">IF(O95="","",INDEX(C95:H95,MATCH(O95,I95:N95,0)))</f>
        <v/>
      </c>
      <c r="Q95" s="34" t="str">
        <f aca="false">IF(O95="","",INDEX($D$12:$D$17,MATCH(O95,I95:N95,0)))</f>
        <v/>
      </c>
    </row>
    <row r="96" customFormat="false" ht="15" hidden="false" customHeight="true" outlineLevel="0" collapsed="false">
      <c r="A96" s="54" t="n">
        <v>76</v>
      </c>
      <c r="B96" s="34" t="n">
        <f aca="false">(A96-0.5)*u_w</f>
        <v>75.5</v>
      </c>
      <c r="C96" s="34" t="str">
        <f aca="false">IF(OR(A96&gt;NL_b,$B$12=""),"",IF((ABS(B96-$B$12)+lane_off)&lt;=0,0,IF((ABS(B96-$B$12)+lane_off)&gt;=v_sh^2/a_sh,(ABS(B96-$B$12)+lane_off)/v_sh+v_sh/a_sh,2*SQRT((ABS(B96-$B$12)+lane_off)/a_sh))))</f>
        <v/>
      </c>
      <c r="D96" s="34" t="str">
        <f aca="false">IF(OR(A96&gt;NL_b,$B$13=""),"",IF((ABS(B96-$B$13)+lane_off)&lt;=0,0,IF((ABS(B96-$B$13)+lane_off)&gt;=v_sh^2/a_sh,(ABS(B96-$B$13)+lane_off)/v_sh+v_sh/a_sh,2*SQRT((ABS(B96-$B$13)+lane_off)/a_sh))))</f>
        <v/>
      </c>
      <c r="E96" s="34" t="str">
        <f aca="false">IF(OR(A96&gt;NL_b,$B$14=""),"",IF((ABS(B96-$B$14)+lane_off)&lt;=0,0,IF((ABS(B96-$B$14)+lane_off)&gt;=v_sh^2/a_sh,(ABS(B96-$B$14)+lane_off)/v_sh+v_sh/a_sh,2*SQRT((ABS(B96-$B$14)+lane_off)/a_sh))))</f>
        <v/>
      </c>
      <c r="F96" s="34" t="str">
        <f aca="false">IF(OR(A96&gt;NL_b,$B$15=""),"",IF((ABS(B96-$B$15)+lane_off)&lt;=0,0,IF((ABS(B96-$B$15)+lane_off)&gt;=v_sh^2/a_sh,(ABS(B96-$B$15)+lane_off)/v_sh+v_sh/a_sh,2*SQRT((ABS(B96-$B$15)+lane_off)/a_sh))))</f>
        <v/>
      </c>
      <c r="G96" s="34" t="str">
        <f aca="false">IF(OR(A96&gt;NL_b,$B$16=""),"",IF((ABS(B96-$B$16)+lane_off)&lt;=0,0,IF((ABS(B96-$B$16)+lane_off)&gt;=v_sh^2/a_sh,(ABS(B96-$B$16)+lane_off)/v_sh+v_sh/a_sh,2*SQRT((ABS(B96-$B$16)+lane_off)/a_sh))))</f>
        <v/>
      </c>
      <c r="H96" s="34" t="str">
        <f aca="false">IF(OR(A96&gt;NL_b,$B$17=""),"",IF((ABS(B96-$B$17)+lane_off)&lt;=0,0,IF((ABS(B96-$B$17)+lane_off)&gt;=v_sh^2/a_sh,(ABS(B96-$B$17)+lane_off)/v_sh+v_sh/a_sh,2*SQRT((ABS(B96-$B$17)+lane_off)/a_sh))))</f>
        <v/>
      </c>
      <c r="I96" s="34" t="str">
        <f aca="false">IF(C96="","",2*C96+w_conv*$D$12/v_conv)</f>
        <v/>
      </c>
      <c r="J96" s="34" t="str">
        <f aca="false">IF(D96="","",2*D96+w_conv*$D$13/v_conv)</f>
        <v/>
      </c>
      <c r="K96" s="34" t="str">
        <f aca="false">IF(E96="","",2*E96+w_conv*$D$14/v_conv)</f>
        <v/>
      </c>
      <c r="L96" s="34" t="str">
        <f aca="false">IF(F96="","",2*F96+w_conv*$D$15/v_conv)</f>
        <v/>
      </c>
      <c r="M96" s="34" t="str">
        <f aca="false">IF(G96="","",2*G96+w_conv*$D$16/v_conv)</f>
        <v/>
      </c>
      <c r="N96" s="34" t="str">
        <f aca="false">IF(H96="","",2*H96+w_conv*$D$17/v_conv)</f>
        <v/>
      </c>
      <c r="O96" s="34" t="str">
        <f aca="false">IF(A96&gt;NL_b,"",MIN(I96:N96))</f>
        <v/>
      </c>
      <c r="P96" s="34" t="str">
        <f aca="false">IF(O96="","",INDEX(C96:H96,MATCH(O96,I96:N96,0)))</f>
        <v/>
      </c>
      <c r="Q96" s="34" t="str">
        <f aca="false">IF(O96="","",INDEX($D$12:$D$17,MATCH(O96,I96:N96,0)))</f>
        <v/>
      </c>
    </row>
    <row r="97" customFormat="false" ht="15" hidden="false" customHeight="true" outlineLevel="0" collapsed="false">
      <c r="A97" s="54" t="n">
        <v>77</v>
      </c>
      <c r="B97" s="34" t="n">
        <f aca="false">(A97-0.5)*u_w</f>
        <v>76.5</v>
      </c>
      <c r="C97" s="34" t="str">
        <f aca="false">IF(OR(A97&gt;NL_b,$B$12=""),"",IF((ABS(B97-$B$12)+lane_off)&lt;=0,0,IF((ABS(B97-$B$12)+lane_off)&gt;=v_sh^2/a_sh,(ABS(B97-$B$12)+lane_off)/v_sh+v_sh/a_sh,2*SQRT((ABS(B97-$B$12)+lane_off)/a_sh))))</f>
        <v/>
      </c>
      <c r="D97" s="34" t="str">
        <f aca="false">IF(OR(A97&gt;NL_b,$B$13=""),"",IF((ABS(B97-$B$13)+lane_off)&lt;=0,0,IF((ABS(B97-$B$13)+lane_off)&gt;=v_sh^2/a_sh,(ABS(B97-$B$13)+lane_off)/v_sh+v_sh/a_sh,2*SQRT((ABS(B97-$B$13)+lane_off)/a_sh))))</f>
        <v/>
      </c>
      <c r="E97" s="34" t="str">
        <f aca="false">IF(OR(A97&gt;NL_b,$B$14=""),"",IF((ABS(B97-$B$14)+lane_off)&lt;=0,0,IF((ABS(B97-$B$14)+lane_off)&gt;=v_sh^2/a_sh,(ABS(B97-$B$14)+lane_off)/v_sh+v_sh/a_sh,2*SQRT((ABS(B97-$B$14)+lane_off)/a_sh))))</f>
        <v/>
      </c>
      <c r="F97" s="34" t="str">
        <f aca="false">IF(OR(A97&gt;NL_b,$B$15=""),"",IF((ABS(B97-$B$15)+lane_off)&lt;=0,0,IF((ABS(B97-$B$15)+lane_off)&gt;=v_sh^2/a_sh,(ABS(B97-$B$15)+lane_off)/v_sh+v_sh/a_sh,2*SQRT((ABS(B97-$B$15)+lane_off)/a_sh))))</f>
        <v/>
      </c>
      <c r="G97" s="34" t="str">
        <f aca="false">IF(OR(A97&gt;NL_b,$B$16=""),"",IF((ABS(B97-$B$16)+lane_off)&lt;=0,0,IF((ABS(B97-$B$16)+lane_off)&gt;=v_sh^2/a_sh,(ABS(B97-$B$16)+lane_off)/v_sh+v_sh/a_sh,2*SQRT((ABS(B97-$B$16)+lane_off)/a_sh))))</f>
        <v/>
      </c>
      <c r="H97" s="34" t="str">
        <f aca="false">IF(OR(A97&gt;NL_b,$B$17=""),"",IF((ABS(B97-$B$17)+lane_off)&lt;=0,0,IF((ABS(B97-$B$17)+lane_off)&gt;=v_sh^2/a_sh,(ABS(B97-$B$17)+lane_off)/v_sh+v_sh/a_sh,2*SQRT((ABS(B97-$B$17)+lane_off)/a_sh))))</f>
        <v/>
      </c>
      <c r="I97" s="34" t="str">
        <f aca="false">IF(C97="","",2*C97+w_conv*$D$12/v_conv)</f>
        <v/>
      </c>
      <c r="J97" s="34" t="str">
        <f aca="false">IF(D97="","",2*D97+w_conv*$D$13/v_conv)</f>
        <v/>
      </c>
      <c r="K97" s="34" t="str">
        <f aca="false">IF(E97="","",2*E97+w_conv*$D$14/v_conv)</f>
        <v/>
      </c>
      <c r="L97" s="34" t="str">
        <f aca="false">IF(F97="","",2*F97+w_conv*$D$15/v_conv)</f>
        <v/>
      </c>
      <c r="M97" s="34" t="str">
        <f aca="false">IF(G97="","",2*G97+w_conv*$D$16/v_conv)</f>
        <v/>
      </c>
      <c r="N97" s="34" t="str">
        <f aca="false">IF(H97="","",2*H97+w_conv*$D$17/v_conv)</f>
        <v/>
      </c>
      <c r="O97" s="34" t="str">
        <f aca="false">IF(A97&gt;NL_b,"",MIN(I97:N97))</f>
        <v/>
      </c>
      <c r="P97" s="34" t="str">
        <f aca="false">IF(O97="","",INDEX(C97:H97,MATCH(O97,I97:N97,0)))</f>
        <v/>
      </c>
      <c r="Q97" s="34" t="str">
        <f aca="false">IF(O97="","",INDEX($D$12:$D$17,MATCH(O97,I97:N97,0)))</f>
        <v/>
      </c>
    </row>
    <row r="98" customFormat="false" ht="15" hidden="false" customHeight="true" outlineLevel="0" collapsed="false">
      <c r="A98" s="54" t="n">
        <v>78</v>
      </c>
      <c r="B98" s="34" t="n">
        <f aca="false">(A98-0.5)*u_w</f>
        <v>77.5</v>
      </c>
      <c r="C98" s="34" t="str">
        <f aca="false">IF(OR(A98&gt;NL_b,$B$12=""),"",IF((ABS(B98-$B$12)+lane_off)&lt;=0,0,IF((ABS(B98-$B$12)+lane_off)&gt;=v_sh^2/a_sh,(ABS(B98-$B$12)+lane_off)/v_sh+v_sh/a_sh,2*SQRT((ABS(B98-$B$12)+lane_off)/a_sh))))</f>
        <v/>
      </c>
      <c r="D98" s="34" t="str">
        <f aca="false">IF(OR(A98&gt;NL_b,$B$13=""),"",IF((ABS(B98-$B$13)+lane_off)&lt;=0,0,IF((ABS(B98-$B$13)+lane_off)&gt;=v_sh^2/a_sh,(ABS(B98-$B$13)+lane_off)/v_sh+v_sh/a_sh,2*SQRT((ABS(B98-$B$13)+lane_off)/a_sh))))</f>
        <v/>
      </c>
      <c r="E98" s="34" t="str">
        <f aca="false">IF(OR(A98&gt;NL_b,$B$14=""),"",IF((ABS(B98-$B$14)+lane_off)&lt;=0,0,IF((ABS(B98-$B$14)+lane_off)&gt;=v_sh^2/a_sh,(ABS(B98-$B$14)+lane_off)/v_sh+v_sh/a_sh,2*SQRT((ABS(B98-$B$14)+lane_off)/a_sh))))</f>
        <v/>
      </c>
      <c r="F98" s="34" t="str">
        <f aca="false">IF(OR(A98&gt;NL_b,$B$15=""),"",IF((ABS(B98-$B$15)+lane_off)&lt;=0,0,IF((ABS(B98-$B$15)+lane_off)&gt;=v_sh^2/a_sh,(ABS(B98-$B$15)+lane_off)/v_sh+v_sh/a_sh,2*SQRT((ABS(B98-$B$15)+lane_off)/a_sh))))</f>
        <v/>
      </c>
      <c r="G98" s="34" t="str">
        <f aca="false">IF(OR(A98&gt;NL_b,$B$16=""),"",IF((ABS(B98-$B$16)+lane_off)&lt;=0,0,IF((ABS(B98-$B$16)+lane_off)&gt;=v_sh^2/a_sh,(ABS(B98-$B$16)+lane_off)/v_sh+v_sh/a_sh,2*SQRT((ABS(B98-$B$16)+lane_off)/a_sh))))</f>
        <v/>
      </c>
      <c r="H98" s="34" t="str">
        <f aca="false">IF(OR(A98&gt;NL_b,$B$17=""),"",IF((ABS(B98-$B$17)+lane_off)&lt;=0,0,IF((ABS(B98-$B$17)+lane_off)&gt;=v_sh^2/a_sh,(ABS(B98-$B$17)+lane_off)/v_sh+v_sh/a_sh,2*SQRT((ABS(B98-$B$17)+lane_off)/a_sh))))</f>
        <v/>
      </c>
      <c r="I98" s="34" t="str">
        <f aca="false">IF(C98="","",2*C98+w_conv*$D$12/v_conv)</f>
        <v/>
      </c>
      <c r="J98" s="34" t="str">
        <f aca="false">IF(D98="","",2*D98+w_conv*$D$13/v_conv)</f>
        <v/>
      </c>
      <c r="K98" s="34" t="str">
        <f aca="false">IF(E98="","",2*E98+w_conv*$D$14/v_conv)</f>
        <v/>
      </c>
      <c r="L98" s="34" t="str">
        <f aca="false">IF(F98="","",2*F98+w_conv*$D$15/v_conv)</f>
        <v/>
      </c>
      <c r="M98" s="34" t="str">
        <f aca="false">IF(G98="","",2*G98+w_conv*$D$16/v_conv)</f>
        <v/>
      </c>
      <c r="N98" s="34" t="str">
        <f aca="false">IF(H98="","",2*H98+w_conv*$D$17/v_conv)</f>
        <v/>
      </c>
      <c r="O98" s="34" t="str">
        <f aca="false">IF(A98&gt;NL_b,"",MIN(I98:N98))</f>
        <v/>
      </c>
      <c r="P98" s="34" t="str">
        <f aca="false">IF(O98="","",INDEX(C98:H98,MATCH(O98,I98:N98,0)))</f>
        <v/>
      </c>
      <c r="Q98" s="34" t="str">
        <f aca="false">IF(O98="","",INDEX($D$12:$D$17,MATCH(O98,I98:N98,0)))</f>
        <v/>
      </c>
    </row>
    <row r="99" customFormat="false" ht="15" hidden="false" customHeight="true" outlineLevel="0" collapsed="false">
      <c r="A99" s="54" t="n">
        <v>79</v>
      </c>
      <c r="B99" s="34" t="n">
        <f aca="false">(A99-0.5)*u_w</f>
        <v>78.5</v>
      </c>
      <c r="C99" s="34" t="str">
        <f aca="false">IF(OR(A99&gt;NL_b,$B$12=""),"",IF((ABS(B99-$B$12)+lane_off)&lt;=0,0,IF((ABS(B99-$B$12)+lane_off)&gt;=v_sh^2/a_sh,(ABS(B99-$B$12)+lane_off)/v_sh+v_sh/a_sh,2*SQRT((ABS(B99-$B$12)+lane_off)/a_sh))))</f>
        <v/>
      </c>
      <c r="D99" s="34" t="str">
        <f aca="false">IF(OR(A99&gt;NL_b,$B$13=""),"",IF((ABS(B99-$B$13)+lane_off)&lt;=0,0,IF((ABS(B99-$B$13)+lane_off)&gt;=v_sh^2/a_sh,(ABS(B99-$B$13)+lane_off)/v_sh+v_sh/a_sh,2*SQRT((ABS(B99-$B$13)+lane_off)/a_sh))))</f>
        <v/>
      </c>
      <c r="E99" s="34" t="str">
        <f aca="false">IF(OR(A99&gt;NL_b,$B$14=""),"",IF((ABS(B99-$B$14)+lane_off)&lt;=0,0,IF((ABS(B99-$B$14)+lane_off)&gt;=v_sh^2/a_sh,(ABS(B99-$B$14)+lane_off)/v_sh+v_sh/a_sh,2*SQRT((ABS(B99-$B$14)+lane_off)/a_sh))))</f>
        <v/>
      </c>
      <c r="F99" s="34" t="str">
        <f aca="false">IF(OR(A99&gt;NL_b,$B$15=""),"",IF((ABS(B99-$B$15)+lane_off)&lt;=0,0,IF((ABS(B99-$B$15)+lane_off)&gt;=v_sh^2/a_sh,(ABS(B99-$B$15)+lane_off)/v_sh+v_sh/a_sh,2*SQRT((ABS(B99-$B$15)+lane_off)/a_sh))))</f>
        <v/>
      </c>
      <c r="G99" s="34" t="str">
        <f aca="false">IF(OR(A99&gt;NL_b,$B$16=""),"",IF((ABS(B99-$B$16)+lane_off)&lt;=0,0,IF((ABS(B99-$B$16)+lane_off)&gt;=v_sh^2/a_sh,(ABS(B99-$B$16)+lane_off)/v_sh+v_sh/a_sh,2*SQRT((ABS(B99-$B$16)+lane_off)/a_sh))))</f>
        <v/>
      </c>
      <c r="H99" s="34" t="str">
        <f aca="false">IF(OR(A99&gt;NL_b,$B$17=""),"",IF((ABS(B99-$B$17)+lane_off)&lt;=0,0,IF((ABS(B99-$B$17)+lane_off)&gt;=v_sh^2/a_sh,(ABS(B99-$B$17)+lane_off)/v_sh+v_sh/a_sh,2*SQRT((ABS(B99-$B$17)+lane_off)/a_sh))))</f>
        <v/>
      </c>
      <c r="I99" s="34" t="str">
        <f aca="false">IF(C99="","",2*C99+w_conv*$D$12/v_conv)</f>
        <v/>
      </c>
      <c r="J99" s="34" t="str">
        <f aca="false">IF(D99="","",2*D99+w_conv*$D$13/v_conv)</f>
        <v/>
      </c>
      <c r="K99" s="34" t="str">
        <f aca="false">IF(E99="","",2*E99+w_conv*$D$14/v_conv)</f>
        <v/>
      </c>
      <c r="L99" s="34" t="str">
        <f aca="false">IF(F99="","",2*F99+w_conv*$D$15/v_conv)</f>
        <v/>
      </c>
      <c r="M99" s="34" t="str">
        <f aca="false">IF(G99="","",2*G99+w_conv*$D$16/v_conv)</f>
        <v/>
      </c>
      <c r="N99" s="34" t="str">
        <f aca="false">IF(H99="","",2*H99+w_conv*$D$17/v_conv)</f>
        <v/>
      </c>
      <c r="O99" s="34" t="str">
        <f aca="false">IF(A99&gt;NL_b,"",MIN(I99:N99))</f>
        <v/>
      </c>
      <c r="P99" s="34" t="str">
        <f aca="false">IF(O99="","",INDEX(C99:H99,MATCH(O99,I99:N99,0)))</f>
        <v/>
      </c>
      <c r="Q99" s="34" t="str">
        <f aca="false">IF(O99="","",INDEX($D$12:$D$17,MATCH(O99,I99:N99,0)))</f>
        <v/>
      </c>
    </row>
    <row r="100" customFormat="false" ht="15" hidden="false" customHeight="true" outlineLevel="0" collapsed="false">
      <c r="A100" s="54" t="n">
        <v>80</v>
      </c>
      <c r="B100" s="34" t="n">
        <f aca="false">(A100-0.5)*u_w</f>
        <v>79.5</v>
      </c>
      <c r="C100" s="34" t="str">
        <f aca="false">IF(OR(A100&gt;NL_b,$B$12=""),"",IF((ABS(B100-$B$12)+lane_off)&lt;=0,0,IF((ABS(B100-$B$12)+lane_off)&gt;=v_sh^2/a_sh,(ABS(B100-$B$12)+lane_off)/v_sh+v_sh/a_sh,2*SQRT((ABS(B100-$B$12)+lane_off)/a_sh))))</f>
        <v/>
      </c>
      <c r="D100" s="34" t="str">
        <f aca="false">IF(OR(A100&gt;NL_b,$B$13=""),"",IF((ABS(B100-$B$13)+lane_off)&lt;=0,0,IF((ABS(B100-$B$13)+lane_off)&gt;=v_sh^2/a_sh,(ABS(B100-$B$13)+lane_off)/v_sh+v_sh/a_sh,2*SQRT((ABS(B100-$B$13)+lane_off)/a_sh))))</f>
        <v/>
      </c>
      <c r="E100" s="34" t="str">
        <f aca="false">IF(OR(A100&gt;NL_b,$B$14=""),"",IF((ABS(B100-$B$14)+lane_off)&lt;=0,0,IF((ABS(B100-$B$14)+lane_off)&gt;=v_sh^2/a_sh,(ABS(B100-$B$14)+lane_off)/v_sh+v_sh/a_sh,2*SQRT((ABS(B100-$B$14)+lane_off)/a_sh))))</f>
        <v/>
      </c>
      <c r="F100" s="34" t="str">
        <f aca="false">IF(OR(A100&gt;NL_b,$B$15=""),"",IF((ABS(B100-$B$15)+lane_off)&lt;=0,0,IF((ABS(B100-$B$15)+lane_off)&gt;=v_sh^2/a_sh,(ABS(B100-$B$15)+lane_off)/v_sh+v_sh/a_sh,2*SQRT((ABS(B100-$B$15)+lane_off)/a_sh))))</f>
        <v/>
      </c>
      <c r="G100" s="34" t="str">
        <f aca="false">IF(OR(A100&gt;NL_b,$B$16=""),"",IF((ABS(B100-$B$16)+lane_off)&lt;=0,0,IF((ABS(B100-$B$16)+lane_off)&gt;=v_sh^2/a_sh,(ABS(B100-$B$16)+lane_off)/v_sh+v_sh/a_sh,2*SQRT((ABS(B100-$B$16)+lane_off)/a_sh))))</f>
        <v/>
      </c>
      <c r="H100" s="34" t="str">
        <f aca="false">IF(OR(A100&gt;NL_b,$B$17=""),"",IF((ABS(B100-$B$17)+lane_off)&lt;=0,0,IF((ABS(B100-$B$17)+lane_off)&gt;=v_sh^2/a_sh,(ABS(B100-$B$17)+lane_off)/v_sh+v_sh/a_sh,2*SQRT((ABS(B100-$B$17)+lane_off)/a_sh))))</f>
        <v/>
      </c>
      <c r="I100" s="34" t="str">
        <f aca="false">IF(C100="","",2*C100+w_conv*$D$12/v_conv)</f>
        <v/>
      </c>
      <c r="J100" s="34" t="str">
        <f aca="false">IF(D100="","",2*D100+w_conv*$D$13/v_conv)</f>
        <v/>
      </c>
      <c r="K100" s="34" t="str">
        <f aca="false">IF(E100="","",2*E100+w_conv*$D$14/v_conv)</f>
        <v/>
      </c>
      <c r="L100" s="34" t="str">
        <f aca="false">IF(F100="","",2*F100+w_conv*$D$15/v_conv)</f>
        <v/>
      </c>
      <c r="M100" s="34" t="str">
        <f aca="false">IF(G100="","",2*G100+w_conv*$D$16/v_conv)</f>
        <v/>
      </c>
      <c r="N100" s="34" t="str">
        <f aca="false">IF(H100="","",2*H100+w_conv*$D$17/v_conv)</f>
        <v/>
      </c>
      <c r="O100" s="34" t="str">
        <f aca="false">IF(A100&gt;NL_b,"",MIN(I100:N100))</f>
        <v/>
      </c>
      <c r="P100" s="34" t="str">
        <f aca="false">IF(O100="","",INDEX(C100:H100,MATCH(O100,I100:N100,0)))</f>
        <v/>
      </c>
      <c r="Q100" s="34" t="str">
        <f aca="false">IF(O100="","",INDEX($D$12:$D$17,MATCH(O100,I100:N100,0)))</f>
        <v/>
      </c>
    </row>
    <row r="101" customFormat="false" ht="15" hidden="false" customHeight="true" outlineLevel="0" collapsed="false">
      <c r="A101" s="54" t="n">
        <v>81</v>
      </c>
      <c r="B101" s="34" t="n">
        <f aca="false">(A101-0.5)*u_w</f>
        <v>80.5</v>
      </c>
      <c r="C101" s="34" t="str">
        <f aca="false">IF(OR(A101&gt;NL_b,$B$12=""),"",IF((ABS(B101-$B$12)+lane_off)&lt;=0,0,IF((ABS(B101-$B$12)+lane_off)&gt;=v_sh^2/a_sh,(ABS(B101-$B$12)+lane_off)/v_sh+v_sh/a_sh,2*SQRT((ABS(B101-$B$12)+lane_off)/a_sh))))</f>
        <v/>
      </c>
      <c r="D101" s="34" t="str">
        <f aca="false">IF(OR(A101&gt;NL_b,$B$13=""),"",IF((ABS(B101-$B$13)+lane_off)&lt;=0,0,IF((ABS(B101-$B$13)+lane_off)&gt;=v_sh^2/a_sh,(ABS(B101-$B$13)+lane_off)/v_sh+v_sh/a_sh,2*SQRT((ABS(B101-$B$13)+lane_off)/a_sh))))</f>
        <v/>
      </c>
      <c r="E101" s="34" t="str">
        <f aca="false">IF(OR(A101&gt;NL_b,$B$14=""),"",IF((ABS(B101-$B$14)+lane_off)&lt;=0,0,IF((ABS(B101-$B$14)+lane_off)&gt;=v_sh^2/a_sh,(ABS(B101-$B$14)+lane_off)/v_sh+v_sh/a_sh,2*SQRT((ABS(B101-$B$14)+lane_off)/a_sh))))</f>
        <v/>
      </c>
      <c r="F101" s="34" t="str">
        <f aca="false">IF(OR(A101&gt;NL_b,$B$15=""),"",IF((ABS(B101-$B$15)+lane_off)&lt;=0,0,IF((ABS(B101-$B$15)+lane_off)&gt;=v_sh^2/a_sh,(ABS(B101-$B$15)+lane_off)/v_sh+v_sh/a_sh,2*SQRT((ABS(B101-$B$15)+lane_off)/a_sh))))</f>
        <v/>
      </c>
      <c r="G101" s="34" t="str">
        <f aca="false">IF(OR(A101&gt;NL_b,$B$16=""),"",IF((ABS(B101-$B$16)+lane_off)&lt;=0,0,IF((ABS(B101-$B$16)+lane_off)&gt;=v_sh^2/a_sh,(ABS(B101-$B$16)+lane_off)/v_sh+v_sh/a_sh,2*SQRT((ABS(B101-$B$16)+lane_off)/a_sh))))</f>
        <v/>
      </c>
      <c r="H101" s="34" t="str">
        <f aca="false">IF(OR(A101&gt;NL_b,$B$17=""),"",IF((ABS(B101-$B$17)+lane_off)&lt;=0,0,IF((ABS(B101-$B$17)+lane_off)&gt;=v_sh^2/a_sh,(ABS(B101-$B$17)+lane_off)/v_sh+v_sh/a_sh,2*SQRT((ABS(B101-$B$17)+lane_off)/a_sh))))</f>
        <v/>
      </c>
      <c r="I101" s="34" t="str">
        <f aca="false">IF(C101="","",2*C101+w_conv*$D$12/v_conv)</f>
        <v/>
      </c>
      <c r="J101" s="34" t="str">
        <f aca="false">IF(D101="","",2*D101+w_conv*$D$13/v_conv)</f>
        <v/>
      </c>
      <c r="K101" s="34" t="str">
        <f aca="false">IF(E101="","",2*E101+w_conv*$D$14/v_conv)</f>
        <v/>
      </c>
      <c r="L101" s="34" t="str">
        <f aca="false">IF(F101="","",2*F101+w_conv*$D$15/v_conv)</f>
        <v/>
      </c>
      <c r="M101" s="34" t="str">
        <f aca="false">IF(G101="","",2*G101+w_conv*$D$16/v_conv)</f>
        <v/>
      </c>
      <c r="N101" s="34" t="str">
        <f aca="false">IF(H101="","",2*H101+w_conv*$D$17/v_conv)</f>
        <v/>
      </c>
      <c r="O101" s="34" t="str">
        <f aca="false">IF(A101&gt;NL_b,"",MIN(I101:N101))</f>
        <v/>
      </c>
      <c r="P101" s="34" t="str">
        <f aca="false">IF(O101="","",INDEX(C101:H101,MATCH(O101,I101:N101,0)))</f>
        <v/>
      </c>
      <c r="Q101" s="34" t="str">
        <f aca="false">IF(O101="","",INDEX($D$12:$D$17,MATCH(O101,I101:N101,0)))</f>
        <v/>
      </c>
    </row>
    <row r="102" customFormat="false" ht="15" hidden="false" customHeight="true" outlineLevel="0" collapsed="false">
      <c r="A102" s="54" t="n">
        <v>82</v>
      </c>
      <c r="B102" s="34" t="n">
        <f aca="false">(A102-0.5)*u_w</f>
        <v>81.5</v>
      </c>
      <c r="C102" s="34" t="str">
        <f aca="false">IF(OR(A102&gt;NL_b,$B$12=""),"",IF((ABS(B102-$B$12)+lane_off)&lt;=0,0,IF((ABS(B102-$B$12)+lane_off)&gt;=v_sh^2/a_sh,(ABS(B102-$B$12)+lane_off)/v_sh+v_sh/a_sh,2*SQRT((ABS(B102-$B$12)+lane_off)/a_sh))))</f>
        <v/>
      </c>
      <c r="D102" s="34" t="str">
        <f aca="false">IF(OR(A102&gt;NL_b,$B$13=""),"",IF((ABS(B102-$B$13)+lane_off)&lt;=0,0,IF((ABS(B102-$B$13)+lane_off)&gt;=v_sh^2/a_sh,(ABS(B102-$B$13)+lane_off)/v_sh+v_sh/a_sh,2*SQRT((ABS(B102-$B$13)+lane_off)/a_sh))))</f>
        <v/>
      </c>
      <c r="E102" s="34" t="str">
        <f aca="false">IF(OR(A102&gt;NL_b,$B$14=""),"",IF((ABS(B102-$B$14)+lane_off)&lt;=0,0,IF((ABS(B102-$B$14)+lane_off)&gt;=v_sh^2/a_sh,(ABS(B102-$B$14)+lane_off)/v_sh+v_sh/a_sh,2*SQRT((ABS(B102-$B$14)+lane_off)/a_sh))))</f>
        <v/>
      </c>
      <c r="F102" s="34" t="str">
        <f aca="false">IF(OR(A102&gt;NL_b,$B$15=""),"",IF((ABS(B102-$B$15)+lane_off)&lt;=0,0,IF((ABS(B102-$B$15)+lane_off)&gt;=v_sh^2/a_sh,(ABS(B102-$B$15)+lane_off)/v_sh+v_sh/a_sh,2*SQRT((ABS(B102-$B$15)+lane_off)/a_sh))))</f>
        <v/>
      </c>
      <c r="G102" s="34" t="str">
        <f aca="false">IF(OR(A102&gt;NL_b,$B$16=""),"",IF((ABS(B102-$B$16)+lane_off)&lt;=0,0,IF((ABS(B102-$B$16)+lane_off)&gt;=v_sh^2/a_sh,(ABS(B102-$B$16)+lane_off)/v_sh+v_sh/a_sh,2*SQRT((ABS(B102-$B$16)+lane_off)/a_sh))))</f>
        <v/>
      </c>
      <c r="H102" s="34" t="str">
        <f aca="false">IF(OR(A102&gt;NL_b,$B$17=""),"",IF((ABS(B102-$B$17)+lane_off)&lt;=0,0,IF((ABS(B102-$B$17)+lane_off)&gt;=v_sh^2/a_sh,(ABS(B102-$B$17)+lane_off)/v_sh+v_sh/a_sh,2*SQRT((ABS(B102-$B$17)+lane_off)/a_sh))))</f>
        <v/>
      </c>
      <c r="I102" s="34" t="str">
        <f aca="false">IF(C102="","",2*C102+w_conv*$D$12/v_conv)</f>
        <v/>
      </c>
      <c r="J102" s="34" t="str">
        <f aca="false">IF(D102="","",2*D102+w_conv*$D$13/v_conv)</f>
        <v/>
      </c>
      <c r="K102" s="34" t="str">
        <f aca="false">IF(E102="","",2*E102+w_conv*$D$14/v_conv)</f>
        <v/>
      </c>
      <c r="L102" s="34" t="str">
        <f aca="false">IF(F102="","",2*F102+w_conv*$D$15/v_conv)</f>
        <v/>
      </c>
      <c r="M102" s="34" t="str">
        <f aca="false">IF(G102="","",2*G102+w_conv*$D$16/v_conv)</f>
        <v/>
      </c>
      <c r="N102" s="34" t="str">
        <f aca="false">IF(H102="","",2*H102+w_conv*$D$17/v_conv)</f>
        <v/>
      </c>
      <c r="O102" s="34" t="str">
        <f aca="false">IF(A102&gt;NL_b,"",MIN(I102:N102))</f>
        <v/>
      </c>
      <c r="P102" s="34" t="str">
        <f aca="false">IF(O102="","",INDEX(C102:H102,MATCH(O102,I102:N102,0)))</f>
        <v/>
      </c>
      <c r="Q102" s="34" t="str">
        <f aca="false">IF(O102="","",INDEX($D$12:$D$17,MATCH(O102,I102:N102,0)))</f>
        <v/>
      </c>
    </row>
    <row r="103" customFormat="false" ht="15" hidden="false" customHeight="true" outlineLevel="0" collapsed="false">
      <c r="A103" s="54" t="n">
        <v>83</v>
      </c>
      <c r="B103" s="34" t="n">
        <f aca="false">(A103-0.5)*u_w</f>
        <v>82.5</v>
      </c>
      <c r="C103" s="34" t="str">
        <f aca="false">IF(OR(A103&gt;NL_b,$B$12=""),"",IF((ABS(B103-$B$12)+lane_off)&lt;=0,0,IF((ABS(B103-$B$12)+lane_off)&gt;=v_sh^2/a_sh,(ABS(B103-$B$12)+lane_off)/v_sh+v_sh/a_sh,2*SQRT((ABS(B103-$B$12)+lane_off)/a_sh))))</f>
        <v/>
      </c>
      <c r="D103" s="34" t="str">
        <f aca="false">IF(OR(A103&gt;NL_b,$B$13=""),"",IF((ABS(B103-$B$13)+lane_off)&lt;=0,0,IF((ABS(B103-$B$13)+lane_off)&gt;=v_sh^2/a_sh,(ABS(B103-$B$13)+lane_off)/v_sh+v_sh/a_sh,2*SQRT((ABS(B103-$B$13)+lane_off)/a_sh))))</f>
        <v/>
      </c>
      <c r="E103" s="34" t="str">
        <f aca="false">IF(OR(A103&gt;NL_b,$B$14=""),"",IF((ABS(B103-$B$14)+lane_off)&lt;=0,0,IF((ABS(B103-$B$14)+lane_off)&gt;=v_sh^2/a_sh,(ABS(B103-$B$14)+lane_off)/v_sh+v_sh/a_sh,2*SQRT((ABS(B103-$B$14)+lane_off)/a_sh))))</f>
        <v/>
      </c>
      <c r="F103" s="34" t="str">
        <f aca="false">IF(OR(A103&gt;NL_b,$B$15=""),"",IF((ABS(B103-$B$15)+lane_off)&lt;=0,0,IF((ABS(B103-$B$15)+lane_off)&gt;=v_sh^2/a_sh,(ABS(B103-$B$15)+lane_off)/v_sh+v_sh/a_sh,2*SQRT((ABS(B103-$B$15)+lane_off)/a_sh))))</f>
        <v/>
      </c>
      <c r="G103" s="34" t="str">
        <f aca="false">IF(OR(A103&gt;NL_b,$B$16=""),"",IF((ABS(B103-$B$16)+lane_off)&lt;=0,0,IF((ABS(B103-$B$16)+lane_off)&gt;=v_sh^2/a_sh,(ABS(B103-$B$16)+lane_off)/v_sh+v_sh/a_sh,2*SQRT((ABS(B103-$B$16)+lane_off)/a_sh))))</f>
        <v/>
      </c>
      <c r="H103" s="34" t="str">
        <f aca="false">IF(OR(A103&gt;NL_b,$B$17=""),"",IF((ABS(B103-$B$17)+lane_off)&lt;=0,0,IF((ABS(B103-$B$17)+lane_off)&gt;=v_sh^2/a_sh,(ABS(B103-$B$17)+lane_off)/v_sh+v_sh/a_sh,2*SQRT((ABS(B103-$B$17)+lane_off)/a_sh))))</f>
        <v/>
      </c>
      <c r="I103" s="34" t="str">
        <f aca="false">IF(C103="","",2*C103+w_conv*$D$12/v_conv)</f>
        <v/>
      </c>
      <c r="J103" s="34" t="str">
        <f aca="false">IF(D103="","",2*D103+w_conv*$D$13/v_conv)</f>
        <v/>
      </c>
      <c r="K103" s="34" t="str">
        <f aca="false">IF(E103="","",2*E103+w_conv*$D$14/v_conv)</f>
        <v/>
      </c>
      <c r="L103" s="34" t="str">
        <f aca="false">IF(F103="","",2*F103+w_conv*$D$15/v_conv)</f>
        <v/>
      </c>
      <c r="M103" s="34" t="str">
        <f aca="false">IF(G103="","",2*G103+w_conv*$D$16/v_conv)</f>
        <v/>
      </c>
      <c r="N103" s="34" t="str">
        <f aca="false">IF(H103="","",2*H103+w_conv*$D$17/v_conv)</f>
        <v/>
      </c>
      <c r="O103" s="34" t="str">
        <f aca="false">IF(A103&gt;NL_b,"",MIN(I103:N103))</f>
        <v/>
      </c>
      <c r="P103" s="34" t="str">
        <f aca="false">IF(O103="","",INDEX(C103:H103,MATCH(O103,I103:N103,0)))</f>
        <v/>
      </c>
      <c r="Q103" s="34" t="str">
        <f aca="false">IF(O103="","",INDEX($D$12:$D$17,MATCH(O103,I103:N103,0)))</f>
        <v/>
      </c>
    </row>
    <row r="104" customFormat="false" ht="15" hidden="false" customHeight="true" outlineLevel="0" collapsed="false">
      <c r="A104" s="54" t="n">
        <v>84</v>
      </c>
      <c r="B104" s="34" t="n">
        <f aca="false">(A104-0.5)*u_w</f>
        <v>83.5</v>
      </c>
      <c r="C104" s="34" t="str">
        <f aca="false">IF(OR(A104&gt;NL_b,$B$12=""),"",IF((ABS(B104-$B$12)+lane_off)&lt;=0,0,IF((ABS(B104-$B$12)+lane_off)&gt;=v_sh^2/a_sh,(ABS(B104-$B$12)+lane_off)/v_sh+v_sh/a_sh,2*SQRT((ABS(B104-$B$12)+lane_off)/a_sh))))</f>
        <v/>
      </c>
      <c r="D104" s="34" t="str">
        <f aca="false">IF(OR(A104&gt;NL_b,$B$13=""),"",IF((ABS(B104-$B$13)+lane_off)&lt;=0,0,IF((ABS(B104-$B$13)+lane_off)&gt;=v_sh^2/a_sh,(ABS(B104-$B$13)+lane_off)/v_sh+v_sh/a_sh,2*SQRT((ABS(B104-$B$13)+lane_off)/a_sh))))</f>
        <v/>
      </c>
      <c r="E104" s="34" t="str">
        <f aca="false">IF(OR(A104&gt;NL_b,$B$14=""),"",IF((ABS(B104-$B$14)+lane_off)&lt;=0,0,IF((ABS(B104-$B$14)+lane_off)&gt;=v_sh^2/a_sh,(ABS(B104-$B$14)+lane_off)/v_sh+v_sh/a_sh,2*SQRT((ABS(B104-$B$14)+lane_off)/a_sh))))</f>
        <v/>
      </c>
      <c r="F104" s="34" t="str">
        <f aca="false">IF(OR(A104&gt;NL_b,$B$15=""),"",IF((ABS(B104-$B$15)+lane_off)&lt;=0,0,IF((ABS(B104-$B$15)+lane_off)&gt;=v_sh^2/a_sh,(ABS(B104-$B$15)+lane_off)/v_sh+v_sh/a_sh,2*SQRT((ABS(B104-$B$15)+lane_off)/a_sh))))</f>
        <v/>
      </c>
      <c r="G104" s="34" t="str">
        <f aca="false">IF(OR(A104&gt;NL_b,$B$16=""),"",IF((ABS(B104-$B$16)+lane_off)&lt;=0,0,IF((ABS(B104-$B$16)+lane_off)&gt;=v_sh^2/a_sh,(ABS(B104-$B$16)+lane_off)/v_sh+v_sh/a_sh,2*SQRT((ABS(B104-$B$16)+lane_off)/a_sh))))</f>
        <v/>
      </c>
      <c r="H104" s="34" t="str">
        <f aca="false">IF(OR(A104&gt;NL_b,$B$17=""),"",IF((ABS(B104-$B$17)+lane_off)&lt;=0,0,IF((ABS(B104-$B$17)+lane_off)&gt;=v_sh^2/a_sh,(ABS(B104-$B$17)+lane_off)/v_sh+v_sh/a_sh,2*SQRT((ABS(B104-$B$17)+lane_off)/a_sh))))</f>
        <v/>
      </c>
      <c r="I104" s="34" t="str">
        <f aca="false">IF(C104="","",2*C104+w_conv*$D$12/v_conv)</f>
        <v/>
      </c>
      <c r="J104" s="34" t="str">
        <f aca="false">IF(D104="","",2*D104+w_conv*$D$13/v_conv)</f>
        <v/>
      </c>
      <c r="K104" s="34" t="str">
        <f aca="false">IF(E104="","",2*E104+w_conv*$D$14/v_conv)</f>
        <v/>
      </c>
      <c r="L104" s="34" t="str">
        <f aca="false">IF(F104="","",2*F104+w_conv*$D$15/v_conv)</f>
        <v/>
      </c>
      <c r="M104" s="34" t="str">
        <f aca="false">IF(G104="","",2*G104+w_conv*$D$16/v_conv)</f>
        <v/>
      </c>
      <c r="N104" s="34" t="str">
        <f aca="false">IF(H104="","",2*H104+w_conv*$D$17/v_conv)</f>
        <v/>
      </c>
      <c r="O104" s="34" t="str">
        <f aca="false">IF(A104&gt;NL_b,"",MIN(I104:N104))</f>
        <v/>
      </c>
      <c r="P104" s="34" t="str">
        <f aca="false">IF(O104="","",INDEX(C104:H104,MATCH(O104,I104:N104,0)))</f>
        <v/>
      </c>
      <c r="Q104" s="34" t="str">
        <f aca="false">IF(O104="","",INDEX($D$12:$D$17,MATCH(O104,I104:N104,0)))</f>
        <v/>
      </c>
    </row>
    <row r="105" customFormat="false" ht="15" hidden="false" customHeight="true" outlineLevel="0" collapsed="false">
      <c r="A105" s="54" t="n">
        <v>85</v>
      </c>
      <c r="B105" s="34" t="n">
        <f aca="false">(A105-0.5)*u_w</f>
        <v>84.5</v>
      </c>
      <c r="C105" s="34" t="str">
        <f aca="false">IF(OR(A105&gt;NL_b,$B$12=""),"",IF((ABS(B105-$B$12)+lane_off)&lt;=0,0,IF((ABS(B105-$B$12)+lane_off)&gt;=v_sh^2/a_sh,(ABS(B105-$B$12)+lane_off)/v_sh+v_sh/a_sh,2*SQRT((ABS(B105-$B$12)+lane_off)/a_sh))))</f>
        <v/>
      </c>
      <c r="D105" s="34" t="str">
        <f aca="false">IF(OR(A105&gt;NL_b,$B$13=""),"",IF((ABS(B105-$B$13)+lane_off)&lt;=0,0,IF((ABS(B105-$B$13)+lane_off)&gt;=v_sh^2/a_sh,(ABS(B105-$B$13)+lane_off)/v_sh+v_sh/a_sh,2*SQRT((ABS(B105-$B$13)+lane_off)/a_sh))))</f>
        <v/>
      </c>
      <c r="E105" s="34" t="str">
        <f aca="false">IF(OR(A105&gt;NL_b,$B$14=""),"",IF((ABS(B105-$B$14)+lane_off)&lt;=0,0,IF((ABS(B105-$B$14)+lane_off)&gt;=v_sh^2/a_sh,(ABS(B105-$B$14)+lane_off)/v_sh+v_sh/a_sh,2*SQRT((ABS(B105-$B$14)+lane_off)/a_sh))))</f>
        <v/>
      </c>
      <c r="F105" s="34" t="str">
        <f aca="false">IF(OR(A105&gt;NL_b,$B$15=""),"",IF((ABS(B105-$B$15)+lane_off)&lt;=0,0,IF((ABS(B105-$B$15)+lane_off)&gt;=v_sh^2/a_sh,(ABS(B105-$B$15)+lane_off)/v_sh+v_sh/a_sh,2*SQRT((ABS(B105-$B$15)+lane_off)/a_sh))))</f>
        <v/>
      </c>
      <c r="G105" s="34" t="str">
        <f aca="false">IF(OR(A105&gt;NL_b,$B$16=""),"",IF((ABS(B105-$B$16)+lane_off)&lt;=0,0,IF((ABS(B105-$B$16)+lane_off)&gt;=v_sh^2/a_sh,(ABS(B105-$B$16)+lane_off)/v_sh+v_sh/a_sh,2*SQRT((ABS(B105-$B$16)+lane_off)/a_sh))))</f>
        <v/>
      </c>
      <c r="H105" s="34" t="str">
        <f aca="false">IF(OR(A105&gt;NL_b,$B$17=""),"",IF((ABS(B105-$B$17)+lane_off)&lt;=0,0,IF((ABS(B105-$B$17)+lane_off)&gt;=v_sh^2/a_sh,(ABS(B105-$B$17)+lane_off)/v_sh+v_sh/a_sh,2*SQRT((ABS(B105-$B$17)+lane_off)/a_sh))))</f>
        <v/>
      </c>
      <c r="I105" s="34" t="str">
        <f aca="false">IF(C105="","",2*C105+w_conv*$D$12/v_conv)</f>
        <v/>
      </c>
      <c r="J105" s="34" t="str">
        <f aca="false">IF(D105="","",2*D105+w_conv*$D$13/v_conv)</f>
        <v/>
      </c>
      <c r="K105" s="34" t="str">
        <f aca="false">IF(E105="","",2*E105+w_conv*$D$14/v_conv)</f>
        <v/>
      </c>
      <c r="L105" s="34" t="str">
        <f aca="false">IF(F105="","",2*F105+w_conv*$D$15/v_conv)</f>
        <v/>
      </c>
      <c r="M105" s="34" t="str">
        <f aca="false">IF(G105="","",2*G105+w_conv*$D$16/v_conv)</f>
        <v/>
      </c>
      <c r="N105" s="34" t="str">
        <f aca="false">IF(H105="","",2*H105+w_conv*$D$17/v_conv)</f>
        <v/>
      </c>
      <c r="O105" s="34" t="str">
        <f aca="false">IF(A105&gt;NL_b,"",MIN(I105:N105))</f>
        <v/>
      </c>
      <c r="P105" s="34" t="str">
        <f aca="false">IF(O105="","",INDEX(C105:H105,MATCH(O105,I105:N105,0)))</f>
        <v/>
      </c>
      <c r="Q105" s="34" t="str">
        <f aca="false">IF(O105="","",INDEX($D$12:$D$17,MATCH(O105,I105:N105,0)))</f>
        <v/>
      </c>
    </row>
    <row r="106" customFormat="false" ht="15" hidden="false" customHeight="true" outlineLevel="0" collapsed="false">
      <c r="A106" s="54" t="n">
        <v>86</v>
      </c>
      <c r="B106" s="34" t="n">
        <f aca="false">(A106-0.5)*u_w</f>
        <v>85.5</v>
      </c>
      <c r="C106" s="34" t="str">
        <f aca="false">IF(OR(A106&gt;NL_b,$B$12=""),"",IF((ABS(B106-$B$12)+lane_off)&lt;=0,0,IF((ABS(B106-$B$12)+lane_off)&gt;=v_sh^2/a_sh,(ABS(B106-$B$12)+lane_off)/v_sh+v_sh/a_sh,2*SQRT((ABS(B106-$B$12)+lane_off)/a_sh))))</f>
        <v/>
      </c>
      <c r="D106" s="34" t="str">
        <f aca="false">IF(OR(A106&gt;NL_b,$B$13=""),"",IF((ABS(B106-$B$13)+lane_off)&lt;=0,0,IF((ABS(B106-$B$13)+lane_off)&gt;=v_sh^2/a_sh,(ABS(B106-$B$13)+lane_off)/v_sh+v_sh/a_sh,2*SQRT((ABS(B106-$B$13)+lane_off)/a_sh))))</f>
        <v/>
      </c>
      <c r="E106" s="34" t="str">
        <f aca="false">IF(OR(A106&gt;NL_b,$B$14=""),"",IF((ABS(B106-$B$14)+lane_off)&lt;=0,0,IF((ABS(B106-$B$14)+lane_off)&gt;=v_sh^2/a_sh,(ABS(B106-$B$14)+lane_off)/v_sh+v_sh/a_sh,2*SQRT((ABS(B106-$B$14)+lane_off)/a_sh))))</f>
        <v/>
      </c>
      <c r="F106" s="34" t="str">
        <f aca="false">IF(OR(A106&gt;NL_b,$B$15=""),"",IF((ABS(B106-$B$15)+lane_off)&lt;=0,0,IF((ABS(B106-$B$15)+lane_off)&gt;=v_sh^2/a_sh,(ABS(B106-$B$15)+lane_off)/v_sh+v_sh/a_sh,2*SQRT((ABS(B106-$B$15)+lane_off)/a_sh))))</f>
        <v/>
      </c>
      <c r="G106" s="34" t="str">
        <f aca="false">IF(OR(A106&gt;NL_b,$B$16=""),"",IF((ABS(B106-$B$16)+lane_off)&lt;=0,0,IF((ABS(B106-$B$16)+lane_off)&gt;=v_sh^2/a_sh,(ABS(B106-$B$16)+lane_off)/v_sh+v_sh/a_sh,2*SQRT((ABS(B106-$B$16)+lane_off)/a_sh))))</f>
        <v/>
      </c>
      <c r="H106" s="34" t="str">
        <f aca="false">IF(OR(A106&gt;NL_b,$B$17=""),"",IF((ABS(B106-$B$17)+lane_off)&lt;=0,0,IF((ABS(B106-$B$17)+lane_off)&gt;=v_sh^2/a_sh,(ABS(B106-$B$17)+lane_off)/v_sh+v_sh/a_sh,2*SQRT((ABS(B106-$B$17)+lane_off)/a_sh))))</f>
        <v/>
      </c>
      <c r="I106" s="34" t="str">
        <f aca="false">IF(C106="","",2*C106+w_conv*$D$12/v_conv)</f>
        <v/>
      </c>
      <c r="J106" s="34" t="str">
        <f aca="false">IF(D106="","",2*D106+w_conv*$D$13/v_conv)</f>
        <v/>
      </c>
      <c r="K106" s="34" t="str">
        <f aca="false">IF(E106="","",2*E106+w_conv*$D$14/v_conv)</f>
        <v/>
      </c>
      <c r="L106" s="34" t="str">
        <f aca="false">IF(F106="","",2*F106+w_conv*$D$15/v_conv)</f>
        <v/>
      </c>
      <c r="M106" s="34" t="str">
        <f aca="false">IF(G106="","",2*G106+w_conv*$D$16/v_conv)</f>
        <v/>
      </c>
      <c r="N106" s="34" t="str">
        <f aca="false">IF(H106="","",2*H106+w_conv*$D$17/v_conv)</f>
        <v/>
      </c>
      <c r="O106" s="34" t="str">
        <f aca="false">IF(A106&gt;NL_b,"",MIN(I106:N106))</f>
        <v/>
      </c>
      <c r="P106" s="34" t="str">
        <f aca="false">IF(O106="","",INDEX(C106:H106,MATCH(O106,I106:N106,0)))</f>
        <v/>
      </c>
      <c r="Q106" s="34" t="str">
        <f aca="false">IF(O106="","",INDEX($D$12:$D$17,MATCH(O106,I106:N106,0)))</f>
        <v/>
      </c>
    </row>
    <row r="107" customFormat="false" ht="15" hidden="false" customHeight="true" outlineLevel="0" collapsed="false">
      <c r="A107" s="54" t="n">
        <v>87</v>
      </c>
      <c r="B107" s="34" t="n">
        <f aca="false">(A107-0.5)*u_w</f>
        <v>86.5</v>
      </c>
      <c r="C107" s="34" t="str">
        <f aca="false">IF(OR(A107&gt;NL_b,$B$12=""),"",IF((ABS(B107-$B$12)+lane_off)&lt;=0,0,IF((ABS(B107-$B$12)+lane_off)&gt;=v_sh^2/a_sh,(ABS(B107-$B$12)+lane_off)/v_sh+v_sh/a_sh,2*SQRT((ABS(B107-$B$12)+lane_off)/a_sh))))</f>
        <v/>
      </c>
      <c r="D107" s="34" t="str">
        <f aca="false">IF(OR(A107&gt;NL_b,$B$13=""),"",IF((ABS(B107-$B$13)+lane_off)&lt;=0,0,IF((ABS(B107-$B$13)+lane_off)&gt;=v_sh^2/a_sh,(ABS(B107-$B$13)+lane_off)/v_sh+v_sh/a_sh,2*SQRT((ABS(B107-$B$13)+lane_off)/a_sh))))</f>
        <v/>
      </c>
      <c r="E107" s="34" t="str">
        <f aca="false">IF(OR(A107&gt;NL_b,$B$14=""),"",IF((ABS(B107-$B$14)+lane_off)&lt;=0,0,IF((ABS(B107-$B$14)+lane_off)&gt;=v_sh^2/a_sh,(ABS(B107-$B$14)+lane_off)/v_sh+v_sh/a_sh,2*SQRT((ABS(B107-$B$14)+lane_off)/a_sh))))</f>
        <v/>
      </c>
      <c r="F107" s="34" t="str">
        <f aca="false">IF(OR(A107&gt;NL_b,$B$15=""),"",IF((ABS(B107-$B$15)+lane_off)&lt;=0,0,IF((ABS(B107-$B$15)+lane_off)&gt;=v_sh^2/a_sh,(ABS(B107-$B$15)+lane_off)/v_sh+v_sh/a_sh,2*SQRT((ABS(B107-$B$15)+lane_off)/a_sh))))</f>
        <v/>
      </c>
      <c r="G107" s="34" t="str">
        <f aca="false">IF(OR(A107&gt;NL_b,$B$16=""),"",IF((ABS(B107-$B$16)+lane_off)&lt;=0,0,IF((ABS(B107-$B$16)+lane_off)&gt;=v_sh^2/a_sh,(ABS(B107-$B$16)+lane_off)/v_sh+v_sh/a_sh,2*SQRT((ABS(B107-$B$16)+lane_off)/a_sh))))</f>
        <v/>
      </c>
      <c r="H107" s="34" t="str">
        <f aca="false">IF(OR(A107&gt;NL_b,$B$17=""),"",IF((ABS(B107-$B$17)+lane_off)&lt;=0,0,IF((ABS(B107-$B$17)+lane_off)&gt;=v_sh^2/a_sh,(ABS(B107-$B$17)+lane_off)/v_sh+v_sh/a_sh,2*SQRT((ABS(B107-$B$17)+lane_off)/a_sh))))</f>
        <v/>
      </c>
      <c r="I107" s="34" t="str">
        <f aca="false">IF(C107="","",2*C107+w_conv*$D$12/v_conv)</f>
        <v/>
      </c>
      <c r="J107" s="34" t="str">
        <f aca="false">IF(D107="","",2*D107+w_conv*$D$13/v_conv)</f>
        <v/>
      </c>
      <c r="K107" s="34" t="str">
        <f aca="false">IF(E107="","",2*E107+w_conv*$D$14/v_conv)</f>
        <v/>
      </c>
      <c r="L107" s="34" t="str">
        <f aca="false">IF(F107="","",2*F107+w_conv*$D$15/v_conv)</f>
        <v/>
      </c>
      <c r="M107" s="34" t="str">
        <f aca="false">IF(G107="","",2*G107+w_conv*$D$16/v_conv)</f>
        <v/>
      </c>
      <c r="N107" s="34" t="str">
        <f aca="false">IF(H107="","",2*H107+w_conv*$D$17/v_conv)</f>
        <v/>
      </c>
      <c r="O107" s="34" t="str">
        <f aca="false">IF(A107&gt;NL_b,"",MIN(I107:N107))</f>
        <v/>
      </c>
      <c r="P107" s="34" t="str">
        <f aca="false">IF(O107="","",INDEX(C107:H107,MATCH(O107,I107:N107,0)))</f>
        <v/>
      </c>
      <c r="Q107" s="34" t="str">
        <f aca="false">IF(O107="","",INDEX($D$12:$D$17,MATCH(O107,I107:N107,0)))</f>
        <v/>
      </c>
    </row>
    <row r="108" customFormat="false" ht="15" hidden="false" customHeight="true" outlineLevel="0" collapsed="false">
      <c r="A108" s="54" t="n">
        <v>88</v>
      </c>
      <c r="B108" s="34" t="n">
        <f aca="false">(A108-0.5)*u_w</f>
        <v>87.5</v>
      </c>
      <c r="C108" s="34" t="str">
        <f aca="false">IF(OR(A108&gt;NL_b,$B$12=""),"",IF((ABS(B108-$B$12)+lane_off)&lt;=0,0,IF((ABS(B108-$B$12)+lane_off)&gt;=v_sh^2/a_sh,(ABS(B108-$B$12)+lane_off)/v_sh+v_sh/a_sh,2*SQRT((ABS(B108-$B$12)+lane_off)/a_sh))))</f>
        <v/>
      </c>
      <c r="D108" s="34" t="str">
        <f aca="false">IF(OR(A108&gt;NL_b,$B$13=""),"",IF((ABS(B108-$B$13)+lane_off)&lt;=0,0,IF((ABS(B108-$B$13)+lane_off)&gt;=v_sh^2/a_sh,(ABS(B108-$B$13)+lane_off)/v_sh+v_sh/a_sh,2*SQRT((ABS(B108-$B$13)+lane_off)/a_sh))))</f>
        <v/>
      </c>
      <c r="E108" s="34" t="str">
        <f aca="false">IF(OR(A108&gt;NL_b,$B$14=""),"",IF((ABS(B108-$B$14)+lane_off)&lt;=0,0,IF((ABS(B108-$B$14)+lane_off)&gt;=v_sh^2/a_sh,(ABS(B108-$B$14)+lane_off)/v_sh+v_sh/a_sh,2*SQRT((ABS(B108-$B$14)+lane_off)/a_sh))))</f>
        <v/>
      </c>
      <c r="F108" s="34" t="str">
        <f aca="false">IF(OR(A108&gt;NL_b,$B$15=""),"",IF((ABS(B108-$B$15)+lane_off)&lt;=0,0,IF((ABS(B108-$B$15)+lane_off)&gt;=v_sh^2/a_sh,(ABS(B108-$B$15)+lane_off)/v_sh+v_sh/a_sh,2*SQRT((ABS(B108-$B$15)+lane_off)/a_sh))))</f>
        <v/>
      </c>
      <c r="G108" s="34" t="str">
        <f aca="false">IF(OR(A108&gt;NL_b,$B$16=""),"",IF((ABS(B108-$B$16)+lane_off)&lt;=0,0,IF((ABS(B108-$B$16)+lane_off)&gt;=v_sh^2/a_sh,(ABS(B108-$B$16)+lane_off)/v_sh+v_sh/a_sh,2*SQRT((ABS(B108-$B$16)+lane_off)/a_sh))))</f>
        <v/>
      </c>
      <c r="H108" s="34" t="str">
        <f aca="false">IF(OR(A108&gt;NL_b,$B$17=""),"",IF((ABS(B108-$B$17)+lane_off)&lt;=0,0,IF((ABS(B108-$B$17)+lane_off)&gt;=v_sh^2/a_sh,(ABS(B108-$B$17)+lane_off)/v_sh+v_sh/a_sh,2*SQRT((ABS(B108-$B$17)+lane_off)/a_sh))))</f>
        <v/>
      </c>
      <c r="I108" s="34" t="str">
        <f aca="false">IF(C108="","",2*C108+w_conv*$D$12/v_conv)</f>
        <v/>
      </c>
      <c r="J108" s="34" t="str">
        <f aca="false">IF(D108="","",2*D108+w_conv*$D$13/v_conv)</f>
        <v/>
      </c>
      <c r="K108" s="34" t="str">
        <f aca="false">IF(E108="","",2*E108+w_conv*$D$14/v_conv)</f>
        <v/>
      </c>
      <c r="L108" s="34" t="str">
        <f aca="false">IF(F108="","",2*F108+w_conv*$D$15/v_conv)</f>
        <v/>
      </c>
      <c r="M108" s="34" t="str">
        <f aca="false">IF(G108="","",2*G108+w_conv*$D$16/v_conv)</f>
        <v/>
      </c>
      <c r="N108" s="34" t="str">
        <f aca="false">IF(H108="","",2*H108+w_conv*$D$17/v_conv)</f>
        <v/>
      </c>
      <c r="O108" s="34" t="str">
        <f aca="false">IF(A108&gt;NL_b,"",MIN(I108:N108))</f>
        <v/>
      </c>
      <c r="P108" s="34" t="str">
        <f aca="false">IF(O108="","",INDEX(C108:H108,MATCH(O108,I108:N108,0)))</f>
        <v/>
      </c>
      <c r="Q108" s="34" t="str">
        <f aca="false">IF(O108="","",INDEX($D$12:$D$17,MATCH(O108,I108:N108,0)))</f>
        <v/>
      </c>
    </row>
    <row r="109" customFormat="false" ht="15" hidden="false" customHeight="true" outlineLevel="0" collapsed="false">
      <c r="A109" s="54" t="n">
        <v>89</v>
      </c>
      <c r="B109" s="34" t="n">
        <f aca="false">(A109-0.5)*u_w</f>
        <v>88.5</v>
      </c>
      <c r="C109" s="34" t="str">
        <f aca="false">IF(OR(A109&gt;NL_b,$B$12=""),"",IF((ABS(B109-$B$12)+lane_off)&lt;=0,0,IF((ABS(B109-$B$12)+lane_off)&gt;=v_sh^2/a_sh,(ABS(B109-$B$12)+lane_off)/v_sh+v_sh/a_sh,2*SQRT((ABS(B109-$B$12)+lane_off)/a_sh))))</f>
        <v/>
      </c>
      <c r="D109" s="34" t="str">
        <f aca="false">IF(OR(A109&gt;NL_b,$B$13=""),"",IF((ABS(B109-$B$13)+lane_off)&lt;=0,0,IF((ABS(B109-$B$13)+lane_off)&gt;=v_sh^2/a_sh,(ABS(B109-$B$13)+lane_off)/v_sh+v_sh/a_sh,2*SQRT((ABS(B109-$B$13)+lane_off)/a_sh))))</f>
        <v/>
      </c>
      <c r="E109" s="34" t="str">
        <f aca="false">IF(OR(A109&gt;NL_b,$B$14=""),"",IF((ABS(B109-$B$14)+lane_off)&lt;=0,0,IF((ABS(B109-$B$14)+lane_off)&gt;=v_sh^2/a_sh,(ABS(B109-$B$14)+lane_off)/v_sh+v_sh/a_sh,2*SQRT((ABS(B109-$B$14)+lane_off)/a_sh))))</f>
        <v/>
      </c>
      <c r="F109" s="34" t="str">
        <f aca="false">IF(OR(A109&gt;NL_b,$B$15=""),"",IF((ABS(B109-$B$15)+lane_off)&lt;=0,0,IF((ABS(B109-$B$15)+lane_off)&gt;=v_sh^2/a_sh,(ABS(B109-$B$15)+lane_off)/v_sh+v_sh/a_sh,2*SQRT((ABS(B109-$B$15)+lane_off)/a_sh))))</f>
        <v/>
      </c>
      <c r="G109" s="34" t="str">
        <f aca="false">IF(OR(A109&gt;NL_b,$B$16=""),"",IF((ABS(B109-$B$16)+lane_off)&lt;=0,0,IF((ABS(B109-$B$16)+lane_off)&gt;=v_sh^2/a_sh,(ABS(B109-$B$16)+lane_off)/v_sh+v_sh/a_sh,2*SQRT((ABS(B109-$B$16)+lane_off)/a_sh))))</f>
        <v/>
      </c>
      <c r="H109" s="34" t="str">
        <f aca="false">IF(OR(A109&gt;NL_b,$B$17=""),"",IF((ABS(B109-$B$17)+lane_off)&lt;=0,0,IF((ABS(B109-$B$17)+lane_off)&gt;=v_sh^2/a_sh,(ABS(B109-$B$17)+lane_off)/v_sh+v_sh/a_sh,2*SQRT((ABS(B109-$B$17)+lane_off)/a_sh))))</f>
        <v/>
      </c>
      <c r="I109" s="34" t="str">
        <f aca="false">IF(C109="","",2*C109+w_conv*$D$12/v_conv)</f>
        <v/>
      </c>
      <c r="J109" s="34" t="str">
        <f aca="false">IF(D109="","",2*D109+w_conv*$D$13/v_conv)</f>
        <v/>
      </c>
      <c r="K109" s="34" t="str">
        <f aca="false">IF(E109="","",2*E109+w_conv*$D$14/v_conv)</f>
        <v/>
      </c>
      <c r="L109" s="34" t="str">
        <f aca="false">IF(F109="","",2*F109+w_conv*$D$15/v_conv)</f>
        <v/>
      </c>
      <c r="M109" s="34" t="str">
        <f aca="false">IF(G109="","",2*G109+w_conv*$D$16/v_conv)</f>
        <v/>
      </c>
      <c r="N109" s="34" t="str">
        <f aca="false">IF(H109="","",2*H109+w_conv*$D$17/v_conv)</f>
        <v/>
      </c>
      <c r="O109" s="34" t="str">
        <f aca="false">IF(A109&gt;NL_b,"",MIN(I109:N109))</f>
        <v/>
      </c>
      <c r="P109" s="34" t="str">
        <f aca="false">IF(O109="","",INDEX(C109:H109,MATCH(O109,I109:N109,0)))</f>
        <v/>
      </c>
      <c r="Q109" s="34" t="str">
        <f aca="false">IF(O109="","",INDEX($D$12:$D$17,MATCH(O109,I109:N109,0)))</f>
        <v/>
      </c>
    </row>
    <row r="110" customFormat="false" ht="15" hidden="false" customHeight="true" outlineLevel="0" collapsed="false">
      <c r="A110" s="54" t="n">
        <v>90</v>
      </c>
      <c r="B110" s="34" t="n">
        <f aca="false">(A110-0.5)*u_w</f>
        <v>89.5</v>
      </c>
      <c r="C110" s="34" t="str">
        <f aca="false">IF(OR(A110&gt;NL_b,$B$12=""),"",IF((ABS(B110-$B$12)+lane_off)&lt;=0,0,IF((ABS(B110-$B$12)+lane_off)&gt;=v_sh^2/a_sh,(ABS(B110-$B$12)+lane_off)/v_sh+v_sh/a_sh,2*SQRT((ABS(B110-$B$12)+lane_off)/a_sh))))</f>
        <v/>
      </c>
      <c r="D110" s="34" t="str">
        <f aca="false">IF(OR(A110&gt;NL_b,$B$13=""),"",IF((ABS(B110-$B$13)+lane_off)&lt;=0,0,IF((ABS(B110-$B$13)+lane_off)&gt;=v_sh^2/a_sh,(ABS(B110-$B$13)+lane_off)/v_sh+v_sh/a_sh,2*SQRT((ABS(B110-$B$13)+lane_off)/a_sh))))</f>
        <v/>
      </c>
      <c r="E110" s="34" t="str">
        <f aca="false">IF(OR(A110&gt;NL_b,$B$14=""),"",IF((ABS(B110-$B$14)+lane_off)&lt;=0,0,IF((ABS(B110-$B$14)+lane_off)&gt;=v_sh^2/a_sh,(ABS(B110-$B$14)+lane_off)/v_sh+v_sh/a_sh,2*SQRT((ABS(B110-$B$14)+lane_off)/a_sh))))</f>
        <v/>
      </c>
      <c r="F110" s="34" t="str">
        <f aca="false">IF(OR(A110&gt;NL_b,$B$15=""),"",IF((ABS(B110-$B$15)+lane_off)&lt;=0,0,IF((ABS(B110-$B$15)+lane_off)&gt;=v_sh^2/a_sh,(ABS(B110-$B$15)+lane_off)/v_sh+v_sh/a_sh,2*SQRT((ABS(B110-$B$15)+lane_off)/a_sh))))</f>
        <v/>
      </c>
      <c r="G110" s="34" t="str">
        <f aca="false">IF(OR(A110&gt;NL_b,$B$16=""),"",IF((ABS(B110-$B$16)+lane_off)&lt;=0,0,IF((ABS(B110-$B$16)+lane_off)&gt;=v_sh^2/a_sh,(ABS(B110-$B$16)+lane_off)/v_sh+v_sh/a_sh,2*SQRT((ABS(B110-$B$16)+lane_off)/a_sh))))</f>
        <v/>
      </c>
      <c r="H110" s="34" t="str">
        <f aca="false">IF(OR(A110&gt;NL_b,$B$17=""),"",IF((ABS(B110-$B$17)+lane_off)&lt;=0,0,IF((ABS(B110-$B$17)+lane_off)&gt;=v_sh^2/a_sh,(ABS(B110-$B$17)+lane_off)/v_sh+v_sh/a_sh,2*SQRT((ABS(B110-$B$17)+lane_off)/a_sh))))</f>
        <v/>
      </c>
      <c r="I110" s="34" t="str">
        <f aca="false">IF(C110="","",2*C110+w_conv*$D$12/v_conv)</f>
        <v/>
      </c>
      <c r="J110" s="34" t="str">
        <f aca="false">IF(D110="","",2*D110+w_conv*$D$13/v_conv)</f>
        <v/>
      </c>
      <c r="K110" s="34" t="str">
        <f aca="false">IF(E110="","",2*E110+w_conv*$D$14/v_conv)</f>
        <v/>
      </c>
      <c r="L110" s="34" t="str">
        <f aca="false">IF(F110="","",2*F110+w_conv*$D$15/v_conv)</f>
        <v/>
      </c>
      <c r="M110" s="34" t="str">
        <f aca="false">IF(G110="","",2*G110+w_conv*$D$16/v_conv)</f>
        <v/>
      </c>
      <c r="N110" s="34" t="str">
        <f aca="false">IF(H110="","",2*H110+w_conv*$D$17/v_conv)</f>
        <v/>
      </c>
      <c r="O110" s="34" t="str">
        <f aca="false">IF(A110&gt;NL_b,"",MIN(I110:N110))</f>
        <v/>
      </c>
      <c r="P110" s="34" t="str">
        <f aca="false">IF(O110="","",INDEX(C110:H110,MATCH(O110,I110:N110,0)))</f>
        <v/>
      </c>
      <c r="Q110" s="34" t="str">
        <f aca="false">IF(O110="","",INDEX($D$12:$D$17,MATCH(O110,I110:N110,0)))</f>
        <v/>
      </c>
    </row>
    <row r="111" customFormat="false" ht="15" hidden="false" customHeight="true" outlineLevel="0" collapsed="false">
      <c r="A111" s="54" t="n">
        <v>91</v>
      </c>
      <c r="B111" s="34" t="n">
        <f aca="false">(A111-0.5)*u_w</f>
        <v>90.5</v>
      </c>
      <c r="C111" s="34" t="str">
        <f aca="false">IF(OR(A111&gt;NL_b,$B$12=""),"",IF((ABS(B111-$B$12)+lane_off)&lt;=0,0,IF((ABS(B111-$B$12)+lane_off)&gt;=v_sh^2/a_sh,(ABS(B111-$B$12)+lane_off)/v_sh+v_sh/a_sh,2*SQRT((ABS(B111-$B$12)+lane_off)/a_sh))))</f>
        <v/>
      </c>
      <c r="D111" s="34" t="str">
        <f aca="false">IF(OR(A111&gt;NL_b,$B$13=""),"",IF((ABS(B111-$B$13)+lane_off)&lt;=0,0,IF((ABS(B111-$B$13)+lane_off)&gt;=v_sh^2/a_sh,(ABS(B111-$B$13)+lane_off)/v_sh+v_sh/a_sh,2*SQRT((ABS(B111-$B$13)+lane_off)/a_sh))))</f>
        <v/>
      </c>
      <c r="E111" s="34" t="str">
        <f aca="false">IF(OR(A111&gt;NL_b,$B$14=""),"",IF((ABS(B111-$B$14)+lane_off)&lt;=0,0,IF((ABS(B111-$B$14)+lane_off)&gt;=v_sh^2/a_sh,(ABS(B111-$B$14)+lane_off)/v_sh+v_sh/a_sh,2*SQRT((ABS(B111-$B$14)+lane_off)/a_sh))))</f>
        <v/>
      </c>
      <c r="F111" s="34" t="str">
        <f aca="false">IF(OR(A111&gt;NL_b,$B$15=""),"",IF((ABS(B111-$B$15)+lane_off)&lt;=0,0,IF((ABS(B111-$B$15)+lane_off)&gt;=v_sh^2/a_sh,(ABS(B111-$B$15)+lane_off)/v_sh+v_sh/a_sh,2*SQRT((ABS(B111-$B$15)+lane_off)/a_sh))))</f>
        <v/>
      </c>
      <c r="G111" s="34" t="str">
        <f aca="false">IF(OR(A111&gt;NL_b,$B$16=""),"",IF((ABS(B111-$B$16)+lane_off)&lt;=0,0,IF((ABS(B111-$B$16)+lane_off)&gt;=v_sh^2/a_sh,(ABS(B111-$B$16)+lane_off)/v_sh+v_sh/a_sh,2*SQRT((ABS(B111-$B$16)+lane_off)/a_sh))))</f>
        <v/>
      </c>
      <c r="H111" s="34" t="str">
        <f aca="false">IF(OR(A111&gt;NL_b,$B$17=""),"",IF((ABS(B111-$B$17)+lane_off)&lt;=0,0,IF((ABS(B111-$B$17)+lane_off)&gt;=v_sh^2/a_sh,(ABS(B111-$B$17)+lane_off)/v_sh+v_sh/a_sh,2*SQRT((ABS(B111-$B$17)+lane_off)/a_sh))))</f>
        <v/>
      </c>
      <c r="I111" s="34" t="str">
        <f aca="false">IF(C111="","",2*C111+w_conv*$D$12/v_conv)</f>
        <v/>
      </c>
      <c r="J111" s="34" t="str">
        <f aca="false">IF(D111="","",2*D111+w_conv*$D$13/v_conv)</f>
        <v/>
      </c>
      <c r="K111" s="34" t="str">
        <f aca="false">IF(E111="","",2*E111+w_conv*$D$14/v_conv)</f>
        <v/>
      </c>
      <c r="L111" s="34" t="str">
        <f aca="false">IF(F111="","",2*F111+w_conv*$D$15/v_conv)</f>
        <v/>
      </c>
      <c r="M111" s="34" t="str">
        <f aca="false">IF(G111="","",2*G111+w_conv*$D$16/v_conv)</f>
        <v/>
      </c>
      <c r="N111" s="34" t="str">
        <f aca="false">IF(H111="","",2*H111+w_conv*$D$17/v_conv)</f>
        <v/>
      </c>
      <c r="O111" s="34" t="str">
        <f aca="false">IF(A111&gt;NL_b,"",MIN(I111:N111))</f>
        <v/>
      </c>
      <c r="P111" s="34" t="str">
        <f aca="false">IF(O111="","",INDEX(C111:H111,MATCH(O111,I111:N111,0)))</f>
        <v/>
      </c>
      <c r="Q111" s="34" t="str">
        <f aca="false">IF(O111="","",INDEX($D$12:$D$17,MATCH(O111,I111:N111,0)))</f>
        <v/>
      </c>
    </row>
    <row r="112" customFormat="false" ht="15" hidden="false" customHeight="true" outlineLevel="0" collapsed="false">
      <c r="A112" s="54" t="n">
        <v>92</v>
      </c>
      <c r="B112" s="34" t="n">
        <f aca="false">(A112-0.5)*u_w</f>
        <v>91.5</v>
      </c>
      <c r="C112" s="34" t="str">
        <f aca="false">IF(OR(A112&gt;NL_b,$B$12=""),"",IF((ABS(B112-$B$12)+lane_off)&lt;=0,0,IF((ABS(B112-$B$12)+lane_off)&gt;=v_sh^2/a_sh,(ABS(B112-$B$12)+lane_off)/v_sh+v_sh/a_sh,2*SQRT((ABS(B112-$B$12)+lane_off)/a_sh))))</f>
        <v/>
      </c>
      <c r="D112" s="34" t="str">
        <f aca="false">IF(OR(A112&gt;NL_b,$B$13=""),"",IF((ABS(B112-$B$13)+lane_off)&lt;=0,0,IF((ABS(B112-$B$13)+lane_off)&gt;=v_sh^2/a_sh,(ABS(B112-$B$13)+lane_off)/v_sh+v_sh/a_sh,2*SQRT((ABS(B112-$B$13)+lane_off)/a_sh))))</f>
        <v/>
      </c>
      <c r="E112" s="34" t="str">
        <f aca="false">IF(OR(A112&gt;NL_b,$B$14=""),"",IF((ABS(B112-$B$14)+lane_off)&lt;=0,0,IF((ABS(B112-$B$14)+lane_off)&gt;=v_sh^2/a_sh,(ABS(B112-$B$14)+lane_off)/v_sh+v_sh/a_sh,2*SQRT((ABS(B112-$B$14)+lane_off)/a_sh))))</f>
        <v/>
      </c>
      <c r="F112" s="34" t="str">
        <f aca="false">IF(OR(A112&gt;NL_b,$B$15=""),"",IF((ABS(B112-$B$15)+lane_off)&lt;=0,0,IF((ABS(B112-$B$15)+lane_off)&gt;=v_sh^2/a_sh,(ABS(B112-$B$15)+lane_off)/v_sh+v_sh/a_sh,2*SQRT((ABS(B112-$B$15)+lane_off)/a_sh))))</f>
        <v/>
      </c>
      <c r="G112" s="34" t="str">
        <f aca="false">IF(OR(A112&gt;NL_b,$B$16=""),"",IF((ABS(B112-$B$16)+lane_off)&lt;=0,0,IF((ABS(B112-$B$16)+lane_off)&gt;=v_sh^2/a_sh,(ABS(B112-$B$16)+lane_off)/v_sh+v_sh/a_sh,2*SQRT((ABS(B112-$B$16)+lane_off)/a_sh))))</f>
        <v/>
      </c>
      <c r="H112" s="34" t="str">
        <f aca="false">IF(OR(A112&gt;NL_b,$B$17=""),"",IF((ABS(B112-$B$17)+lane_off)&lt;=0,0,IF((ABS(B112-$B$17)+lane_off)&gt;=v_sh^2/a_sh,(ABS(B112-$B$17)+lane_off)/v_sh+v_sh/a_sh,2*SQRT((ABS(B112-$B$17)+lane_off)/a_sh))))</f>
        <v/>
      </c>
      <c r="I112" s="34" t="str">
        <f aca="false">IF(C112="","",2*C112+w_conv*$D$12/v_conv)</f>
        <v/>
      </c>
      <c r="J112" s="34" t="str">
        <f aca="false">IF(D112="","",2*D112+w_conv*$D$13/v_conv)</f>
        <v/>
      </c>
      <c r="K112" s="34" t="str">
        <f aca="false">IF(E112="","",2*E112+w_conv*$D$14/v_conv)</f>
        <v/>
      </c>
      <c r="L112" s="34" t="str">
        <f aca="false">IF(F112="","",2*F112+w_conv*$D$15/v_conv)</f>
        <v/>
      </c>
      <c r="M112" s="34" t="str">
        <f aca="false">IF(G112="","",2*G112+w_conv*$D$16/v_conv)</f>
        <v/>
      </c>
      <c r="N112" s="34" t="str">
        <f aca="false">IF(H112="","",2*H112+w_conv*$D$17/v_conv)</f>
        <v/>
      </c>
      <c r="O112" s="34" t="str">
        <f aca="false">IF(A112&gt;NL_b,"",MIN(I112:N112))</f>
        <v/>
      </c>
      <c r="P112" s="34" t="str">
        <f aca="false">IF(O112="","",INDEX(C112:H112,MATCH(O112,I112:N112,0)))</f>
        <v/>
      </c>
      <c r="Q112" s="34" t="str">
        <f aca="false">IF(O112="","",INDEX($D$12:$D$17,MATCH(O112,I112:N112,0)))</f>
        <v/>
      </c>
    </row>
    <row r="113" customFormat="false" ht="15" hidden="false" customHeight="true" outlineLevel="0" collapsed="false">
      <c r="A113" s="54" t="n">
        <v>93</v>
      </c>
      <c r="B113" s="34" t="n">
        <f aca="false">(A113-0.5)*u_w</f>
        <v>92.5</v>
      </c>
      <c r="C113" s="34" t="str">
        <f aca="false">IF(OR(A113&gt;NL_b,$B$12=""),"",IF((ABS(B113-$B$12)+lane_off)&lt;=0,0,IF((ABS(B113-$B$12)+lane_off)&gt;=v_sh^2/a_sh,(ABS(B113-$B$12)+lane_off)/v_sh+v_sh/a_sh,2*SQRT((ABS(B113-$B$12)+lane_off)/a_sh))))</f>
        <v/>
      </c>
      <c r="D113" s="34" t="str">
        <f aca="false">IF(OR(A113&gt;NL_b,$B$13=""),"",IF((ABS(B113-$B$13)+lane_off)&lt;=0,0,IF((ABS(B113-$B$13)+lane_off)&gt;=v_sh^2/a_sh,(ABS(B113-$B$13)+lane_off)/v_sh+v_sh/a_sh,2*SQRT((ABS(B113-$B$13)+lane_off)/a_sh))))</f>
        <v/>
      </c>
      <c r="E113" s="34" t="str">
        <f aca="false">IF(OR(A113&gt;NL_b,$B$14=""),"",IF((ABS(B113-$B$14)+lane_off)&lt;=0,0,IF((ABS(B113-$B$14)+lane_off)&gt;=v_sh^2/a_sh,(ABS(B113-$B$14)+lane_off)/v_sh+v_sh/a_sh,2*SQRT((ABS(B113-$B$14)+lane_off)/a_sh))))</f>
        <v/>
      </c>
      <c r="F113" s="34" t="str">
        <f aca="false">IF(OR(A113&gt;NL_b,$B$15=""),"",IF((ABS(B113-$B$15)+lane_off)&lt;=0,0,IF((ABS(B113-$B$15)+lane_off)&gt;=v_sh^2/a_sh,(ABS(B113-$B$15)+lane_off)/v_sh+v_sh/a_sh,2*SQRT((ABS(B113-$B$15)+lane_off)/a_sh))))</f>
        <v/>
      </c>
      <c r="G113" s="34" t="str">
        <f aca="false">IF(OR(A113&gt;NL_b,$B$16=""),"",IF((ABS(B113-$B$16)+lane_off)&lt;=0,0,IF((ABS(B113-$B$16)+lane_off)&gt;=v_sh^2/a_sh,(ABS(B113-$B$16)+lane_off)/v_sh+v_sh/a_sh,2*SQRT((ABS(B113-$B$16)+lane_off)/a_sh))))</f>
        <v/>
      </c>
      <c r="H113" s="34" t="str">
        <f aca="false">IF(OR(A113&gt;NL_b,$B$17=""),"",IF((ABS(B113-$B$17)+lane_off)&lt;=0,0,IF((ABS(B113-$B$17)+lane_off)&gt;=v_sh^2/a_sh,(ABS(B113-$B$17)+lane_off)/v_sh+v_sh/a_sh,2*SQRT((ABS(B113-$B$17)+lane_off)/a_sh))))</f>
        <v/>
      </c>
      <c r="I113" s="34" t="str">
        <f aca="false">IF(C113="","",2*C113+w_conv*$D$12/v_conv)</f>
        <v/>
      </c>
      <c r="J113" s="34" t="str">
        <f aca="false">IF(D113="","",2*D113+w_conv*$D$13/v_conv)</f>
        <v/>
      </c>
      <c r="K113" s="34" t="str">
        <f aca="false">IF(E113="","",2*E113+w_conv*$D$14/v_conv)</f>
        <v/>
      </c>
      <c r="L113" s="34" t="str">
        <f aca="false">IF(F113="","",2*F113+w_conv*$D$15/v_conv)</f>
        <v/>
      </c>
      <c r="M113" s="34" t="str">
        <f aca="false">IF(G113="","",2*G113+w_conv*$D$16/v_conv)</f>
        <v/>
      </c>
      <c r="N113" s="34" t="str">
        <f aca="false">IF(H113="","",2*H113+w_conv*$D$17/v_conv)</f>
        <v/>
      </c>
      <c r="O113" s="34" t="str">
        <f aca="false">IF(A113&gt;NL_b,"",MIN(I113:N113))</f>
        <v/>
      </c>
      <c r="P113" s="34" t="str">
        <f aca="false">IF(O113="","",INDEX(C113:H113,MATCH(O113,I113:N113,0)))</f>
        <v/>
      </c>
      <c r="Q113" s="34" t="str">
        <f aca="false">IF(O113="","",INDEX($D$12:$D$17,MATCH(O113,I113:N113,0)))</f>
        <v/>
      </c>
    </row>
    <row r="114" customFormat="false" ht="15" hidden="false" customHeight="true" outlineLevel="0" collapsed="false">
      <c r="A114" s="54" t="n">
        <v>94</v>
      </c>
      <c r="B114" s="34" t="n">
        <f aca="false">(A114-0.5)*u_w</f>
        <v>93.5</v>
      </c>
      <c r="C114" s="34" t="str">
        <f aca="false">IF(OR(A114&gt;NL_b,$B$12=""),"",IF((ABS(B114-$B$12)+lane_off)&lt;=0,0,IF((ABS(B114-$B$12)+lane_off)&gt;=v_sh^2/a_sh,(ABS(B114-$B$12)+lane_off)/v_sh+v_sh/a_sh,2*SQRT((ABS(B114-$B$12)+lane_off)/a_sh))))</f>
        <v/>
      </c>
      <c r="D114" s="34" t="str">
        <f aca="false">IF(OR(A114&gt;NL_b,$B$13=""),"",IF((ABS(B114-$B$13)+lane_off)&lt;=0,0,IF((ABS(B114-$B$13)+lane_off)&gt;=v_sh^2/a_sh,(ABS(B114-$B$13)+lane_off)/v_sh+v_sh/a_sh,2*SQRT((ABS(B114-$B$13)+lane_off)/a_sh))))</f>
        <v/>
      </c>
      <c r="E114" s="34" t="str">
        <f aca="false">IF(OR(A114&gt;NL_b,$B$14=""),"",IF((ABS(B114-$B$14)+lane_off)&lt;=0,0,IF((ABS(B114-$B$14)+lane_off)&gt;=v_sh^2/a_sh,(ABS(B114-$B$14)+lane_off)/v_sh+v_sh/a_sh,2*SQRT((ABS(B114-$B$14)+lane_off)/a_sh))))</f>
        <v/>
      </c>
      <c r="F114" s="34" t="str">
        <f aca="false">IF(OR(A114&gt;NL_b,$B$15=""),"",IF((ABS(B114-$B$15)+lane_off)&lt;=0,0,IF((ABS(B114-$B$15)+lane_off)&gt;=v_sh^2/a_sh,(ABS(B114-$B$15)+lane_off)/v_sh+v_sh/a_sh,2*SQRT((ABS(B114-$B$15)+lane_off)/a_sh))))</f>
        <v/>
      </c>
      <c r="G114" s="34" t="str">
        <f aca="false">IF(OR(A114&gt;NL_b,$B$16=""),"",IF((ABS(B114-$B$16)+lane_off)&lt;=0,0,IF((ABS(B114-$B$16)+lane_off)&gt;=v_sh^2/a_sh,(ABS(B114-$B$16)+lane_off)/v_sh+v_sh/a_sh,2*SQRT((ABS(B114-$B$16)+lane_off)/a_sh))))</f>
        <v/>
      </c>
      <c r="H114" s="34" t="str">
        <f aca="false">IF(OR(A114&gt;NL_b,$B$17=""),"",IF((ABS(B114-$B$17)+lane_off)&lt;=0,0,IF((ABS(B114-$B$17)+lane_off)&gt;=v_sh^2/a_sh,(ABS(B114-$B$17)+lane_off)/v_sh+v_sh/a_sh,2*SQRT((ABS(B114-$B$17)+lane_off)/a_sh))))</f>
        <v/>
      </c>
      <c r="I114" s="34" t="str">
        <f aca="false">IF(C114="","",2*C114+w_conv*$D$12/v_conv)</f>
        <v/>
      </c>
      <c r="J114" s="34" t="str">
        <f aca="false">IF(D114="","",2*D114+w_conv*$D$13/v_conv)</f>
        <v/>
      </c>
      <c r="K114" s="34" t="str">
        <f aca="false">IF(E114="","",2*E114+w_conv*$D$14/v_conv)</f>
        <v/>
      </c>
      <c r="L114" s="34" t="str">
        <f aca="false">IF(F114="","",2*F114+w_conv*$D$15/v_conv)</f>
        <v/>
      </c>
      <c r="M114" s="34" t="str">
        <f aca="false">IF(G114="","",2*G114+w_conv*$D$16/v_conv)</f>
        <v/>
      </c>
      <c r="N114" s="34" t="str">
        <f aca="false">IF(H114="","",2*H114+w_conv*$D$17/v_conv)</f>
        <v/>
      </c>
      <c r="O114" s="34" t="str">
        <f aca="false">IF(A114&gt;NL_b,"",MIN(I114:N114))</f>
        <v/>
      </c>
      <c r="P114" s="34" t="str">
        <f aca="false">IF(O114="","",INDEX(C114:H114,MATCH(O114,I114:N114,0)))</f>
        <v/>
      </c>
      <c r="Q114" s="34" t="str">
        <f aca="false">IF(O114="","",INDEX($D$12:$D$17,MATCH(O114,I114:N114,0)))</f>
        <v/>
      </c>
    </row>
    <row r="115" customFormat="false" ht="15" hidden="false" customHeight="true" outlineLevel="0" collapsed="false">
      <c r="A115" s="54" t="n">
        <v>95</v>
      </c>
      <c r="B115" s="34" t="n">
        <f aca="false">(A115-0.5)*u_w</f>
        <v>94.5</v>
      </c>
      <c r="C115" s="34" t="str">
        <f aca="false">IF(OR(A115&gt;NL_b,$B$12=""),"",IF((ABS(B115-$B$12)+lane_off)&lt;=0,0,IF((ABS(B115-$B$12)+lane_off)&gt;=v_sh^2/a_sh,(ABS(B115-$B$12)+lane_off)/v_sh+v_sh/a_sh,2*SQRT((ABS(B115-$B$12)+lane_off)/a_sh))))</f>
        <v/>
      </c>
      <c r="D115" s="34" t="str">
        <f aca="false">IF(OR(A115&gt;NL_b,$B$13=""),"",IF((ABS(B115-$B$13)+lane_off)&lt;=0,0,IF((ABS(B115-$B$13)+lane_off)&gt;=v_sh^2/a_sh,(ABS(B115-$B$13)+lane_off)/v_sh+v_sh/a_sh,2*SQRT((ABS(B115-$B$13)+lane_off)/a_sh))))</f>
        <v/>
      </c>
      <c r="E115" s="34" t="str">
        <f aca="false">IF(OR(A115&gt;NL_b,$B$14=""),"",IF((ABS(B115-$B$14)+lane_off)&lt;=0,0,IF((ABS(B115-$B$14)+lane_off)&gt;=v_sh^2/a_sh,(ABS(B115-$B$14)+lane_off)/v_sh+v_sh/a_sh,2*SQRT((ABS(B115-$B$14)+lane_off)/a_sh))))</f>
        <v/>
      </c>
      <c r="F115" s="34" t="str">
        <f aca="false">IF(OR(A115&gt;NL_b,$B$15=""),"",IF((ABS(B115-$B$15)+lane_off)&lt;=0,0,IF((ABS(B115-$B$15)+lane_off)&gt;=v_sh^2/a_sh,(ABS(B115-$B$15)+lane_off)/v_sh+v_sh/a_sh,2*SQRT((ABS(B115-$B$15)+lane_off)/a_sh))))</f>
        <v/>
      </c>
      <c r="G115" s="34" t="str">
        <f aca="false">IF(OR(A115&gt;NL_b,$B$16=""),"",IF((ABS(B115-$B$16)+lane_off)&lt;=0,0,IF((ABS(B115-$B$16)+lane_off)&gt;=v_sh^2/a_sh,(ABS(B115-$B$16)+lane_off)/v_sh+v_sh/a_sh,2*SQRT((ABS(B115-$B$16)+lane_off)/a_sh))))</f>
        <v/>
      </c>
      <c r="H115" s="34" t="str">
        <f aca="false">IF(OR(A115&gt;NL_b,$B$17=""),"",IF((ABS(B115-$B$17)+lane_off)&lt;=0,0,IF((ABS(B115-$B$17)+lane_off)&gt;=v_sh^2/a_sh,(ABS(B115-$B$17)+lane_off)/v_sh+v_sh/a_sh,2*SQRT((ABS(B115-$B$17)+lane_off)/a_sh))))</f>
        <v/>
      </c>
      <c r="I115" s="34" t="str">
        <f aca="false">IF(C115="","",2*C115+w_conv*$D$12/v_conv)</f>
        <v/>
      </c>
      <c r="J115" s="34" t="str">
        <f aca="false">IF(D115="","",2*D115+w_conv*$D$13/v_conv)</f>
        <v/>
      </c>
      <c r="K115" s="34" t="str">
        <f aca="false">IF(E115="","",2*E115+w_conv*$D$14/v_conv)</f>
        <v/>
      </c>
      <c r="L115" s="34" t="str">
        <f aca="false">IF(F115="","",2*F115+w_conv*$D$15/v_conv)</f>
        <v/>
      </c>
      <c r="M115" s="34" t="str">
        <f aca="false">IF(G115="","",2*G115+w_conv*$D$16/v_conv)</f>
        <v/>
      </c>
      <c r="N115" s="34" t="str">
        <f aca="false">IF(H115="","",2*H115+w_conv*$D$17/v_conv)</f>
        <v/>
      </c>
      <c r="O115" s="34" t="str">
        <f aca="false">IF(A115&gt;NL_b,"",MIN(I115:N115))</f>
        <v/>
      </c>
      <c r="P115" s="34" t="str">
        <f aca="false">IF(O115="","",INDEX(C115:H115,MATCH(O115,I115:N115,0)))</f>
        <v/>
      </c>
      <c r="Q115" s="34" t="str">
        <f aca="false">IF(O115="","",INDEX($D$12:$D$17,MATCH(O115,I115:N115,0)))</f>
        <v/>
      </c>
    </row>
    <row r="116" customFormat="false" ht="15" hidden="false" customHeight="true" outlineLevel="0" collapsed="false">
      <c r="A116" s="54" t="n">
        <v>96</v>
      </c>
      <c r="B116" s="34" t="n">
        <f aca="false">(A116-0.5)*u_w</f>
        <v>95.5</v>
      </c>
      <c r="C116" s="34" t="str">
        <f aca="false">IF(OR(A116&gt;NL_b,$B$12=""),"",IF((ABS(B116-$B$12)+lane_off)&lt;=0,0,IF((ABS(B116-$B$12)+lane_off)&gt;=v_sh^2/a_sh,(ABS(B116-$B$12)+lane_off)/v_sh+v_sh/a_sh,2*SQRT((ABS(B116-$B$12)+lane_off)/a_sh))))</f>
        <v/>
      </c>
      <c r="D116" s="34" t="str">
        <f aca="false">IF(OR(A116&gt;NL_b,$B$13=""),"",IF((ABS(B116-$B$13)+lane_off)&lt;=0,0,IF((ABS(B116-$B$13)+lane_off)&gt;=v_sh^2/a_sh,(ABS(B116-$B$13)+lane_off)/v_sh+v_sh/a_sh,2*SQRT((ABS(B116-$B$13)+lane_off)/a_sh))))</f>
        <v/>
      </c>
      <c r="E116" s="34" t="str">
        <f aca="false">IF(OR(A116&gt;NL_b,$B$14=""),"",IF((ABS(B116-$B$14)+lane_off)&lt;=0,0,IF((ABS(B116-$B$14)+lane_off)&gt;=v_sh^2/a_sh,(ABS(B116-$B$14)+lane_off)/v_sh+v_sh/a_sh,2*SQRT((ABS(B116-$B$14)+lane_off)/a_sh))))</f>
        <v/>
      </c>
      <c r="F116" s="34" t="str">
        <f aca="false">IF(OR(A116&gt;NL_b,$B$15=""),"",IF((ABS(B116-$B$15)+lane_off)&lt;=0,0,IF((ABS(B116-$B$15)+lane_off)&gt;=v_sh^2/a_sh,(ABS(B116-$B$15)+lane_off)/v_sh+v_sh/a_sh,2*SQRT((ABS(B116-$B$15)+lane_off)/a_sh))))</f>
        <v/>
      </c>
      <c r="G116" s="34" t="str">
        <f aca="false">IF(OR(A116&gt;NL_b,$B$16=""),"",IF((ABS(B116-$B$16)+lane_off)&lt;=0,0,IF((ABS(B116-$B$16)+lane_off)&gt;=v_sh^2/a_sh,(ABS(B116-$B$16)+lane_off)/v_sh+v_sh/a_sh,2*SQRT((ABS(B116-$B$16)+lane_off)/a_sh))))</f>
        <v/>
      </c>
      <c r="H116" s="34" t="str">
        <f aca="false">IF(OR(A116&gt;NL_b,$B$17=""),"",IF((ABS(B116-$B$17)+lane_off)&lt;=0,0,IF((ABS(B116-$B$17)+lane_off)&gt;=v_sh^2/a_sh,(ABS(B116-$B$17)+lane_off)/v_sh+v_sh/a_sh,2*SQRT((ABS(B116-$B$17)+lane_off)/a_sh))))</f>
        <v/>
      </c>
      <c r="I116" s="34" t="str">
        <f aca="false">IF(C116="","",2*C116+w_conv*$D$12/v_conv)</f>
        <v/>
      </c>
      <c r="J116" s="34" t="str">
        <f aca="false">IF(D116="","",2*D116+w_conv*$D$13/v_conv)</f>
        <v/>
      </c>
      <c r="K116" s="34" t="str">
        <f aca="false">IF(E116="","",2*E116+w_conv*$D$14/v_conv)</f>
        <v/>
      </c>
      <c r="L116" s="34" t="str">
        <f aca="false">IF(F116="","",2*F116+w_conv*$D$15/v_conv)</f>
        <v/>
      </c>
      <c r="M116" s="34" t="str">
        <f aca="false">IF(G116="","",2*G116+w_conv*$D$16/v_conv)</f>
        <v/>
      </c>
      <c r="N116" s="34" t="str">
        <f aca="false">IF(H116="","",2*H116+w_conv*$D$17/v_conv)</f>
        <v/>
      </c>
      <c r="O116" s="34" t="str">
        <f aca="false">IF(A116&gt;NL_b,"",MIN(I116:N116))</f>
        <v/>
      </c>
      <c r="P116" s="34" t="str">
        <f aca="false">IF(O116="","",INDEX(C116:H116,MATCH(O116,I116:N116,0)))</f>
        <v/>
      </c>
      <c r="Q116" s="34" t="str">
        <f aca="false">IF(O116="","",INDEX($D$12:$D$17,MATCH(O116,I116:N116,0)))</f>
        <v/>
      </c>
    </row>
    <row r="117" customFormat="false" ht="15" hidden="false" customHeight="true" outlineLevel="0" collapsed="false">
      <c r="A117" s="54" t="n">
        <v>97</v>
      </c>
      <c r="B117" s="34" t="n">
        <f aca="false">(A117-0.5)*u_w</f>
        <v>96.5</v>
      </c>
      <c r="C117" s="34" t="str">
        <f aca="false">IF(OR(A117&gt;NL_b,$B$12=""),"",IF((ABS(B117-$B$12)+lane_off)&lt;=0,0,IF((ABS(B117-$B$12)+lane_off)&gt;=v_sh^2/a_sh,(ABS(B117-$B$12)+lane_off)/v_sh+v_sh/a_sh,2*SQRT((ABS(B117-$B$12)+lane_off)/a_sh))))</f>
        <v/>
      </c>
      <c r="D117" s="34" t="str">
        <f aca="false">IF(OR(A117&gt;NL_b,$B$13=""),"",IF((ABS(B117-$B$13)+lane_off)&lt;=0,0,IF((ABS(B117-$B$13)+lane_off)&gt;=v_sh^2/a_sh,(ABS(B117-$B$13)+lane_off)/v_sh+v_sh/a_sh,2*SQRT((ABS(B117-$B$13)+lane_off)/a_sh))))</f>
        <v/>
      </c>
      <c r="E117" s="34" t="str">
        <f aca="false">IF(OR(A117&gt;NL_b,$B$14=""),"",IF((ABS(B117-$B$14)+lane_off)&lt;=0,0,IF((ABS(B117-$B$14)+lane_off)&gt;=v_sh^2/a_sh,(ABS(B117-$B$14)+lane_off)/v_sh+v_sh/a_sh,2*SQRT((ABS(B117-$B$14)+lane_off)/a_sh))))</f>
        <v/>
      </c>
      <c r="F117" s="34" t="str">
        <f aca="false">IF(OR(A117&gt;NL_b,$B$15=""),"",IF((ABS(B117-$B$15)+lane_off)&lt;=0,0,IF((ABS(B117-$B$15)+lane_off)&gt;=v_sh^2/a_sh,(ABS(B117-$B$15)+lane_off)/v_sh+v_sh/a_sh,2*SQRT((ABS(B117-$B$15)+lane_off)/a_sh))))</f>
        <v/>
      </c>
      <c r="G117" s="34" t="str">
        <f aca="false">IF(OR(A117&gt;NL_b,$B$16=""),"",IF((ABS(B117-$B$16)+lane_off)&lt;=0,0,IF((ABS(B117-$B$16)+lane_off)&gt;=v_sh^2/a_sh,(ABS(B117-$B$16)+lane_off)/v_sh+v_sh/a_sh,2*SQRT((ABS(B117-$B$16)+lane_off)/a_sh))))</f>
        <v/>
      </c>
      <c r="H117" s="34" t="str">
        <f aca="false">IF(OR(A117&gt;NL_b,$B$17=""),"",IF((ABS(B117-$B$17)+lane_off)&lt;=0,0,IF((ABS(B117-$B$17)+lane_off)&gt;=v_sh^2/a_sh,(ABS(B117-$B$17)+lane_off)/v_sh+v_sh/a_sh,2*SQRT((ABS(B117-$B$17)+lane_off)/a_sh))))</f>
        <v/>
      </c>
      <c r="I117" s="34" t="str">
        <f aca="false">IF(C117="","",2*C117+w_conv*$D$12/v_conv)</f>
        <v/>
      </c>
      <c r="J117" s="34" t="str">
        <f aca="false">IF(D117="","",2*D117+w_conv*$D$13/v_conv)</f>
        <v/>
      </c>
      <c r="K117" s="34" t="str">
        <f aca="false">IF(E117="","",2*E117+w_conv*$D$14/v_conv)</f>
        <v/>
      </c>
      <c r="L117" s="34" t="str">
        <f aca="false">IF(F117="","",2*F117+w_conv*$D$15/v_conv)</f>
        <v/>
      </c>
      <c r="M117" s="34" t="str">
        <f aca="false">IF(G117="","",2*G117+w_conv*$D$16/v_conv)</f>
        <v/>
      </c>
      <c r="N117" s="34" t="str">
        <f aca="false">IF(H117="","",2*H117+w_conv*$D$17/v_conv)</f>
        <v/>
      </c>
      <c r="O117" s="34" t="str">
        <f aca="false">IF(A117&gt;NL_b,"",MIN(I117:N117))</f>
        <v/>
      </c>
      <c r="P117" s="34" t="str">
        <f aca="false">IF(O117="","",INDEX(C117:H117,MATCH(O117,I117:N117,0)))</f>
        <v/>
      </c>
      <c r="Q117" s="34" t="str">
        <f aca="false">IF(O117="","",INDEX($D$12:$D$17,MATCH(O117,I117:N117,0)))</f>
        <v/>
      </c>
    </row>
    <row r="118" customFormat="false" ht="15" hidden="false" customHeight="true" outlineLevel="0" collapsed="false">
      <c r="A118" s="54" t="n">
        <v>98</v>
      </c>
      <c r="B118" s="34" t="n">
        <f aca="false">(A118-0.5)*u_w</f>
        <v>97.5</v>
      </c>
      <c r="C118" s="34" t="str">
        <f aca="false">IF(OR(A118&gt;NL_b,$B$12=""),"",IF((ABS(B118-$B$12)+lane_off)&lt;=0,0,IF((ABS(B118-$B$12)+lane_off)&gt;=v_sh^2/a_sh,(ABS(B118-$B$12)+lane_off)/v_sh+v_sh/a_sh,2*SQRT((ABS(B118-$B$12)+lane_off)/a_sh))))</f>
        <v/>
      </c>
      <c r="D118" s="34" t="str">
        <f aca="false">IF(OR(A118&gt;NL_b,$B$13=""),"",IF((ABS(B118-$B$13)+lane_off)&lt;=0,0,IF((ABS(B118-$B$13)+lane_off)&gt;=v_sh^2/a_sh,(ABS(B118-$B$13)+lane_off)/v_sh+v_sh/a_sh,2*SQRT((ABS(B118-$B$13)+lane_off)/a_sh))))</f>
        <v/>
      </c>
      <c r="E118" s="34" t="str">
        <f aca="false">IF(OR(A118&gt;NL_b,$B$14=""),"",IF((ABS(B118-$B$14)+lane_off)&lt;=0,0,IF((ABS(B118-$B$14)+lane_off)&gt;=v_sh^2/a_sh,(ABS(B118-$B$14)+lane_off)/v_sh+v_sh/a_sh,2*SQRT((ABS(B118-$B$14)+lane_off)/a_sh))))</f>
        <v/>
      </c>
      <c r="F118" s="34" t="str">
        <f aca="false">IF(OR(A118&gt;NL_b,$B$15=""),"",IF((ABS(B118-$B$15)+lane_off)&lt;=0,0,IF((ABS(B118-$B$15)+lane_off)&gt;=v_sh^2/a_sh,(ABS(B118-$B$15)+lane_off)/v_sh+v_sh/a_sh,2*SQRT((ABS(B118-$B$15)+lane_off)/a_sh))))</f>
        <v/>
      </c>
      <c r="G118" s="34" t="str">
        <f aca="false">IF(OR(A118&gt;NL_b,$B$16=""),"",IF((ABS(B118-$B$16)+lane_off)&lt;=0,0,IF((ABS(B118-$B$16)+lane_off)&gt;=v_sh^2/a_sh,(ABS(B118-$B$16)+lane_off)/v_sh+v_sh/a_sh,2*SQRT((ABS(B118-$B$16)+lane_off)/a_sh))))</f>
        <v/>
      </c>
      <c r="H118" s="34" t="str">
        <f aca="false">IF(OR(A118&gt;NL_b,$B$17=""),"",IF((ABS(B118-$B$17)+lane_off)&lt;=0,0,IF((ABS(B118-$B$17)+lane_off)&gt;=v_sh^2/a_sh,(ABS(B118-$B$17)+lane_off)/v_sh+v_sh/a_sh,2*SQRT((ABS(B118-$B$17)+lane_off)/a_sh))))</f>
        <v/>
      </c>
      <c r="I118" s="34" t="str">
        <f aca="false">IF(C118="","",2*C118+w_conv*$D$12/v_conv)</f>
        <v/>
      </c>
      <c r="J118" s="34" t="str">
        <f aca="false">IF(D118="","",2*D118+w_conv*$D$13/v_conv)</f>
        <v/>
      </c>
      <c r="K118" s="34" t="str">
        <f aca="false">IF(E118="","",2*E118+w_conv*$D$14/v_conv)</f>
        <v/>
      </c>
      <c r="L118" s="34" t="str">
        <f aca="false">IF(F118="","",2*F118+w_conv*$D$15/v_conv)</f>
        <v/>
      </c>
      <c r="M118" s="34" t="str">
        <f aca="false">IF(G118="","",2*G118+w_conv*$D$16/v_conv)</f>
        <v/>
      </c>
      <c r="N118" s="34" t="str">
        <f aca="false">IF(H118="","",2*H118+w_conv*$D$17/v_conv)</f>
        <v/>
      </c>
      <c r="O118" s="34" t="str">
        <f aca="false">IF(A118&gt;NL_b,"",MIN(I118:N118))</f>
        <v/>
      </c>
      <c r="P118" s="34" t="str">
        <f aca="false">IF(O118="","",INDEX(C118:H118,MATCH(O118,I118:N118,0)))</f>
        <v/>
      </c>
      <c r="Q118" s="34" t="str">
        <f aca="false">IF(O118="","",INDEX($D$12:$D$17,MATCH(O118,I118:N118,0)))</f>
        <v/>
      </c>
    </row>
    <row r="119" customFormat="false" ht="15" hidden="false" customHeight="true" outlineLevel="0" collapsed="false">
      <c r="A119" s="54" t="n">
        <v>99</v>
      </c>
      <c r="B119" s="34" t="n">
        <f aca="false">(A119-0.5)*u_w</f>
        <v>98.5</v>
      </c>
      <c r="C119" s="34" t="str">
        <f aca="false">IF(OR(A119&gt;NL_b,$B$12=""),"",IF((ABS(B119-$B$12)+lane_off)&lt;=0,0,IF((ABS(B119-$B$12)+lane_off)&gt;=v_sh^2/a_sh,(ABS(B119-$B$12)+lane_off)/v_sh+v_sh/a_sh,2*SQRT((ABS(B119-$B$12)+lane_off)/a_sh))))</f>
        <v/>
      </c>
      <c r="D119" s="34" t="str">
        <f aca="false">IF(OR(A119&gt;NL_b,$B$13=""),"",IF((ABS(B119-$B$13)+lane_off)&lt;=0,0,IF((ABS(B119-$B$13)+lane_off)&gt;=v_sh^2/a_sh,(ABS(B119-$B$13)+lane_off)/v_sh+v_sh/a_sh,2*SQRT((ABS(B119-$B$13)+lane_off)/a_sh))))</f>
        <v/>
      </c>
      <c r="E119" s="34" t="str">
        <f aca="false">IF(OR(A119&gt;NL_b,$B$14=""),"",IF((ABS(B119-$B$14)+lane_off)&lt;=0,0,IF((ABS(B119-$B$14)+lane_off)&gt;=v_sh^2/a_sh,(ABS(B119-$B$14)+lane_off)/v_sh+v_sh/a_sh,2*SQRT((ABS(B119-$B$14)+lane_off)/a_sh))))</f>
        <v/>
      </c>
      <c r="F119" s="34" t="str">
        <f aca="false">IF(OR(A119&gt;NL_b,$B$15=""),"",IF((ABS(B119-$B$15)+lane_off)&lt;=0,0,IF((ABS(B119-$B$15)+lane_off)&gt;=v_sh^2/a_sh,(ABS(B119-$B$15)+lane_off)/v_sh+v_sh/a_sh,2*SQRT((ABS(B119-$B$15)+lane_off)/a_sh))))</f>
        <v/>
      </c>
      <c r="G119" s="34" t="str">
        <f aca="false">IF(OR(A119&gt;NL_b,$B$16=""),"",IF((ABS(B119-$B$16)+lane_off)&lt;=0,0,IF((ABS(B119-$B$16)+lane_off)&gt;=v_sh^2/a_sh,(ABS(B119-$B$16)+lane_off)/v_sh+v_sh/a_sh,2*SQRT((ABS(B119-$B$16)+lane_off)/a_sh))))</f>
        <v/>
      </c>
      <c r="H119" s="34" t="str">
        <f aca="false">IF(OR(A119&gt;NL_b,$B$17=""),"",IF((ABS(B119-$B$17)+lane_off)&lt;=0,0,IF((ABS(B119-$B$17)+lane_off)&gt;=v_sh^2/a_sh,(ABS(B119-$B$17)+lane_off)/v_sh+v_sh/a_sh,2*SQRT((ABS(B119-$B$17)+lane_off)/a_sh))))</f>
        <v/>
      </c>
      <c r="I119" s="34" t="str">
        <f aca="false">IF(C119="","",2*C119+w_conv*$D$12/v_conv)</f>
        <v/>
      </c>
      <c r="J119" s="34" t="str">
        <f aca="false">IF(D119="","",2*D119+w_conv*$D$13/v_conv)</f>
        <v/>
      </c>
      <c r="K119" s="34" t="str">
        <f aca="false">IF(E119="","",2*E119+w_conv*$D$14/v_conv)</f>
        <v/>
      </c>
      <c r="L119" s="34" t="str">
        <f aca="false">IF(F119="","",2*F119+w_conv*$D$15/v_conv)</f>
        <v/>
      </c>
      <c r="M119" s="34" t="str">
        <f aca="false">IF(G119="","",2*G119+w_conv*$D$16/v_conv)</f>
        <v/>
      </c>
      <c r="N119" s="34" t="str">
        <f aca="false">IF(H119="","",2*H119+w_conv*$D$17/v_conv)</f>
        <v/>
      </c>
      <c r="O119" s="34" t="str">
        <f aca="false">IF(A119&gt;NL_b,"",MIN(I119:N119))</f>
        <v/>
      </c>
      <c r="P119" s="34" t="str">
        <f aca="false">IF(O119="","",INDEX(C119:H119,MATCH(O119,I119:N119,0)))</f>
        <v/>
      </c>
      <c r="Q119" s="34" t="str">
        <f aca="false">IF(O119="","",INDEX($D$12:$D$17,MATCH(O119,I119:N119,0)))</f>
        <v/>
      </c>
    </row>
    <row r="120" customFormat="false" ht="15" hidden="false" customHeight="true" outlineLevel="0" collapsed="false">
      <c r="A120" s="54" t="n">
        <v>100</v>
      </c>
      <c r="B120" s="34" t="n">
        <f aca="false">(A120-0.5)*u_w</f>
        <v>99.5</v>
      </c>
      <c r="C120" s="34" t="str">
        <f aca="false">IF(OR(A120&gt;NL_b,$B$12=""),"",IF((ABS(B120-$B$12)+lane_off)&lt;=0,0,IF((ABS(B120-$B$12)+lane_off)&gt;=v_sh^2/a_sh,(ABS(B120-$B$12)+lane_off)/v_sh+v_sh/a_sh,2*SQRT((ABS(B120-$B$12)+lane_off)/a_sh))))</f>
        <v/>
      </c>
      <c r="D120" s="34" t="str">
        <f aca="false">IF(OR(A120&gt;NL_b,$B$13=""),"",IF((ABS(B120-$B$13)+lane_off)&lt;=0,0,IF((ABS(B120-$B$13)+lane_off)&gt;=v_sh^2/a_sh,(ABS(B120-$B$13)+lane_off)/v_sh+v_sh/a_sh,2*SQRT((ABS(B120-$B$13)+lane_off)/a_sh))))</f>
        <v/>
      </c>
      <c r="E120" s="34" t="str">
        <f aca="false">IF(OR(A120&gt;NL_b,$B$14=""),"",IF((ABS(B120-$B$14)+lane_off)&lt;=0,0,IF((ABS(B120-$B$14)+lane_off)&gt;=v_sh^2/a_sh,(ABS(B120-$B$14)+lane_off)/v_sh+v_sh/a_sh,2*SQRT((ABS(B120-$B$14)+lane_off)/a_sh))))</f>
        <v/>
      </c>
      <c r="F120" s="34" t="str">
        <f aca="false">IF(OR(A120&gt;NL_b,$B$15=""),"",IF((ABS(B120-$B$15)+lane_off)&lt;=0,0,IF((ABS(B120-$B$15)+lane_off)&gt;=v_sh^2/a_sh,(ABS(B120-$B$15)+lane_off)/v_sh+v_sh/a_sh,2*SQRT((ABS(B120-$B$15)+lane_off)/a_sh))))</f>
        <v/>
      </c>
      <c r="G120" s="34" t="str">
        <f aca="false">IF(OR(A120&gt;NL_b,$B$16=""),"",IF((ABS(B120-$B$16)+lane_off)&lt;=0,0,IF((ABS(B120-$B$16)+lane_off)&gt;=v_sh^2/a_sh,(ABS(B120-$B$16)+lane_off)/v_sh+v_sh/a_sh,2*SQRT((ABS(B120-$B$16)+lane_off)/a_sh))))</f>
        <v/>
      </c>
      <c r="H120" s="34" t="str">
        <f aca="false">IF(OR(A120&gt;NL_b,$B$17=""),"",IF((ABS(B120-$B$17)+lane_off)&lt;=0,0,IF((ABS(B120-$B$17)+lane_off)&gt;=v_sh^2/a_sh,(ABS(B120-$B$17)+lane_off)/v_sh+v_sh/a_sh,2*SQRT((ABS(B120-$B$17)+lane_off)/a_sh))))</f>
        <v/>
      </c>
      <c r="I120" s="34" t="str">
        <f aca="false">IF(C120="","",2*C120+w_conv*$D$12/v_conv)</f>
        <v/>
      </c>
      <c r="J120" s="34" t="str">
        <f aca="false">IF(D120="","",2*D120+w_conv*$D$13/v_conv)</f>
        <v/>
      </c>
      <c r="K120" s="34" t="str">
        <f aca="false">IF(E120="","",2*E120+w_conv*$D$14/v_conv)</f>
        <v/>
      </c>
      <c r="L120" s="34" t="str">
        <f aca="false">IF(F120="","",2*F120+w_conv*$D$15/v_conv)</f>
        <v/>
      </c>
      <c r="M120" s="34" t="str">
        <f aca="false">IF(G120="","",2*G120+w_conv*$D$16/v_conv)</f>
        <v/>
      </c>
      <c r="N120" s="34" t="str">
        <f aca="false">IF(H120="","",2*H120+w_conv*$D$17/v_conv)</f>
        <v/>
      </c>
      <c r="O120" s="34" t="str">
        <f aca="false">IF(A120&gt;NL_b,"",MIN(I120:N120))</f>
        <v/>
      </c>
      <c r="P120" s="34" t="str">
        <f aca="false">IF(O120="","",INDEX(C120:H120,MATCH(O120,I120:N120,0)))</f>
        <v/>
      </c>
      <c r="Q120" s="34" t="str">
        <f aca="false">IF(O120="","",INDEX($D$12:$D$17,MATCH(O120,I120:N120,0)))</f>
        <v/>
      </c>
    </row>
    <row r="121" customFormat="false" ht="15" hidden="false" customHeight="true" outlineLevel="0" collapsed="false">
      <c r="A121" s="54" t="n">
        <v>101</v>
      </c>
      <c r="B121" s="34" t="n">
        <f aca="false">(A121-0.5)*u_w</f>
        <v>100.5</v>
      </c>
      <c r="C121" s="34" t="str">
        <f aca="false">IF(OR(A121&gt;NL_b,$B$12=""),"",IF((ABS(B121-$B$12)+lane_off)&lt;=0,0,IF((ABS(B121-$B$12)+lane_off)&gt;=v_sh^2/a_sh,(ABS(B121-$B$12)+lane_off)/v_sh+v_sh/a_sh,2*SQRT((ABS(B121-$B$12)+lane_off)/a_sh))))</f>
        <v/>
      </c>
      <c r="D121" s="34" t="str">
        <f aca="false">IF(OR(A121&gt;NL_b,$B$13=""),"",IF((ABS(B121-$B$13)+lane_off)&lt;=0,0,IF((ABS(B121-$B$13)+lane_off)&gt;=v_sh^2/a_sh,(ABS(B121-$B$13)+lane_off)/v_sh+v_sh/a_sh,2*SQRT((ABS(B121-$B$13)+lane_off)/a_sh))))</f>
        <v/>
      </c>
      <c r="E121" s="34" t="str">
        <f aca="false">IF(OR(A121&gt;NL_b,$B$14=""),"",IF((ABS(B121-$B$14)+lane_off)&lt;=0,0,IF((ABS(B121-$B$14)+lane_off)&gt;=v_sh^2/a_sh,(ABS(B121-$B$14)+lane_off)/v_sh+v_sh/a_sh,2*SQRT((ABS(B121-$B$14)+lane_off)/a_sh))))</f>
        <v/>
      </c>
      <c r="F121" s="34" t="str">
        <f aca="false">IF(OR(A121&gt;NL_b,$B$15=""),"",IF((ABS(B121-$B$15)+lane_off)&lt;=0,0,IF((ABS(B121-$B$15)+lane_off)&gt;=v_sh^2/a_sh,(ABS(B121-$B$15)+lane_off)/v_sh+v_sh/a_sh,2*SQRT((ABS(B121-$B$15)+lane_off)/a_sh))))</f>
        <v/>
      </c>
      <c r="G121" s="34" t="str">
        <f aca="false">IF(OR(A121&gt;NL_b,$B$16=""),"",IF((ABS(B121-$B$16)+lane_off)&lt;=0,0,IF((ABS(B121-$B$16)+lane_off)&gt;=v_sh^2/a_sh,(ABS(B121-$B$16)+lane_off)/v_sh+v_sh/a_sh,2*SQRT((ABS(B121-$B$16)+lane_off)/a_sh))))</f>
        <v/>
      </c>
      <c r="H121" s="34" t="str">
        <f aca="false">IF(OR(A121&gt;NL_b,$B$17=""),"",IF((ABS(B121-$B$17)+lane_off)&lt;=0,0,IF((ABS(B121-$B$17)+lane_off)&gt;=v_sh^2/a_sh,(ABS(B121-$B$17)+lane_off)/v_sh+v_sh/a_sh,2*SQRT((ABS(B121-$B$17)+lane_off)/a_sh))))</f>
        <v/>
      </c>
      <c r="I121" s="34" t="str">
        <f aca="false">IF(C121="","",2*C121+w_conv*$D$12/v_conv)</f>
        <v/>
      </c>
      <c r="J121" s="34" t="str">
        <f aca="false">IF(D121="","",2*D121+w_conv*$D$13/v_conv)</f>
        <v/>
      </c>
      <c r="K121" s="34" t="str">
        <f aca="false">IF(E121="","",2*E121+w_conv*$D$14/v_conv)</f>
        <v/>
      </c>
      <c r="L121" s="34" t="str">
        <f aca="false">IF(F121="","",2*F121+w_conv*$D$15/v_conv)</f>
        <v/>
      </c>
      <c r="M121" s="34" t="str">
        <f aca="false">IF(G121="","",2*G121+w_conv*$D$16/v_conv)</f>
        <v/>
      </c>
      <c r="N121" s="34" t="str">
        <f aca="false">IF(H121="","",2*H121+w_conv*$D$17/v_conv)</f>
        <v/>
      </c>
      <c r="O121" s="34" t="str">
        <f aca="false">IF(A121&gt;NL_b,"",MIN(I121:N121))</f>
        <v/>
      </c>
      <c r="P121" s="34" t="str">
        <f aca="false">IF(O121="","",INDEX(C121:H121,MATCH(O121,I121:N121,0)))</f>
        <v/>
      </c>
      <c r="Q121" s="34" t="str">
        <f aca="false">IF(O121="","",INDEX($D$12:$D$17,MATCH(O121,I121:N121,0)))</f>
        <v/>
      </c>
    </row>
    <row r="122" customFormat="false" ht="15" hidden="false" customHeight="true" outlineLevel="0" collapsed="false">
      <c r="A122" s="54" t="n">
        <v>102</v>
      </c>
      <c r="B122" s="34" t="n">
        <f aca="false">(A122-0.5)*u_w</f>
        <v>101.5</v>
      </c>
      <c r="C122" s="34" t="str">
        <f aca="false">IF(OR(A122&gt;NL_b,$B$12=""),"",IF((ABS(B122-$B$12)+lane_off)&lt;=0,0,IF((ABS(B122-$B$12)+lane_off)&gt;=v_sh^2/a_sh,(ABS(B122-$B$12)+lane_off)/v_sh+v_sh/a_sh,2*SQRT((ABS(B122-$B$12)+lane_off)/a_sh))))</f>
        <v/>
      </c>
      <c r="D122" s="34" t="str">
        <f aca="false">IF(OR(A122&gt;NL_b,$B$13=""),"",IF((ABS(B122-$B$13)+lane_off)&lt;=0,0,IF((ABS(B122-$B$13)+lane_off)&gt;=v_sh^2/a_sh,(ABS(B122-$B$13)+lane_off)/v_sh+v_sh/a_sh,2*SQRT((ABS(B122-$B$13)+lane_off)/a_sh))))</f>
        <v/>
      </c>
      <c r="E122" s="34" t="str">
        <f aca="false">IF(OR(A122&gt;NL_b,$B$14=""),"",IF((ABS(B122-$B$14)+lane_off)&lt;=0,0,IF((ABS(B122-$B$14)+lane_off)&gt;=v_sh^2/a_sh,(ABS(B122-$B$14)+lane_off)/v_sh+v_sh/a_sh,2*SQRT((ABS(B122-$B$14)+lane_off)/a_sh))))</f>
        <v/>
      </c>
      <c r="F122" s="34" t="str">
        <f aca="false">IF(OR(A122&gt;NL_b,$B$15=""),"",IF((ABS(B122-$B$15)+lane_off)&lt;=0,0,IF((ABS(B122-$B$15)+lane_off)&gt;=v_sh^2/a_sh,(ABS(B122-$B$15)+lane_off)/v_sh+v_sh/a_sh,2*SQRT((ABS(B122-$B$15)+lane_off)/a_sh))))</f>
        <v/>
      </c>
      <c r="G122" s="34" t="str">
        <f aca="false">IF(OR(A122&gt;NL_b,$B$16=""),"",IF((ABS(B122-$B$16)+lane_off)&lt;=0,0,IF((ABS(B122-$B$16)+lane_off)&gt;=v_sh^2/a_sh,(ABS(B122-$B$16)+lane_off)/v_sh+v_sh/a_sh,2*SQRT((ABS(B122-$B$16)+lane_off)/a_sh))))</f>
        <v/>
      </c>
      <c r="H122" s="34" t="str">
        <f aca="false">IF(OR(A122&gt;NL_b,$B$17=""),"",IF((ABS(B122-$B$17)+lane_off)&lt;=0,0,IF((ABS(B122-$B$17)+lane_off)&gt;=v_sh^2/a_sh,(ABS(B122-$B$17)+lane_off)/v_sh+v_sh/a_sh,2*SQRT((ABS(B122-$B$17)+lane_off)/a_sh))))</f>
        <v/>
      </c>
      <c r="I122" s="34" t="str">
        <f aca="false">IF(C122="","",2*C122+w_conv*$D$12/v_conv)</f>
        <v/>
      </c>
      <c r="J122" s="34" t="str">
        <f aca="false">IF(D122="","",2*D122+w_conv*$D$13/v_conv)</f>
        <v/>
      </c>
      <c r="K122" s="34" t="str">
        <f aca="false">IF(E122="","",2*E122+w_conv*$D$14/v_conv)</f>
        <v/>
      </c>
      <c r="L122" s="34" t="str">
        <f aca="false">IF(F122="","",2*F122+w_conv*$D$15/v_conv)</f>
        <v/>
      </c>
      <c r="M122" s="34" t="str">
        <f aca="false">IF(G122="","",2*G122+w_conv*$D$16/v_conv)</f>
        <v/>
      </c>
      <c r="N122" s="34" t="str">
        <f aca="false">IF(H122="","",2*H122+w_conv*$D$17/v_conv)</f>
        <v/>
      </c>
      <c r="O122" s="34" t="str">
        <f aca="false">IF(A122&gt;NL_b,"",MIN(I122:N122))</f>
        <v/>
      </c>
      <c r="P122" s="34" t="str">
        <f aca="false">IF(O122="","",INDEX(C122:H122,MATCH(O122,I122:N122,0)))</f>
        <v/>
      </c>
      <c r="Q122" s="34" t="str">
        <f aca="false">IF(O122="","",INDEX($D$12:$D$17,MATCH(O122,I122:N122,0)))</f>
        <v/>
      </c>
    </row>
    <row r="123" customFormat="false" ht="15" hidden="false" customHeight="true" outlineLevel="0" collapsed="false">
      <c r="A123" s="54" t="n">
        <v>103</v>
      </c>
      <c r="B123" s="34" t="n">
        <f aca="false">(A123-0.5)*u_w</f>
        <v>102.5</v>
      </c>
      <c r="C123" s="34" t="str">
        <f aca="false">IF(OR(A123&gt;NL_b,$B$12=""),"",IF((ABS(B123-$B$12)+lane_off)&lt;=0,0,IF((ABS(B123-$B$12)+lane_off)&gt;=v_sh^2/a_sh,(ABS(B123-$B$12)+lane_off)/v_sh+v_sh/a_sh,2*SQRT((ABS(B123-$B$12)+lane_off)/a_sh))))</f>
        <v/>
      </c>
      <c r="D123" s="34" t="str">
        <f aca="false">IF(OR(A123&gt;NL_b,$B$13=""),"",IF((ABS(B123-$B$13)+lane_off)&lt;=0,0,IF((ABS(B123-$B$13)+lane_off)&gt;=v_sh^2/a_sh,(ABS(B123-$B$13)+lane_off)/v_sh+v_sh/a_sh,2*SQRT((ABS(B123-$B$13)+lane_off)/a_sh))))</f>
        <v/>
      </c>
      <c r="E123" s="34" t="str">
        <f aca="false">IF(OR(A123&gt;NL_b,$B$14=""),"",IF((ABS(B123-$B$14)+lane_off)&lt;=0,0,IF((ABS(B123-$B$14)+lane_off)&gt;=v_sh^2/a_sh,(ABS(B123-$B$14)+lane_off)/v_sh+v_sh/a_sh,2*SQRT((ABS(B123-$B$14)+lane_off)/a_sh))))</f>
        <v/>
      </c>
      <c r="F123" s="34" t="str">
        <f aca="false">IF(OR(A123&gt;NL_b,$B$15=""),"",IF((ABS(B123-$B$15)+lane_off)&lt;=0,0,IF((ABS(B123-$B$15)+lane_off)&gt;=v_sh^2/a_sh,(ABS(B123-$B$15)+lane_off)/v_sh+v_sh/a_sh,2*SQRT((ABS(B123-$B$15)+lane_off)/a_sh))))</f>
        <v/>
      </c>
      <c r="G123" s="34" t="str">
        <f aca="false">IF(OR(A123&gt;NL_b,$B$16=""),"",IF((ABS(B123-$B$16)+lane_off)&lt;=0,0,IF((ABS(B123-$B$16)+lane_off)&gt;=v_sh^2/a_sh,(ABS(B123-$B$16)+lane_off)/v_sh+v_sh/a_sh,2*SQRT((ABS(B123-$B$16)+lane_off)/a_sh))))</f>
        <v/>
      </c>
      <c r="H123" s="34" t="str">
        <f aca="false">IF(OR(A123&gt;NL_b,$B$17=""),"",IF((ABS(B123-$B$17)+lane_off)&lt;=0,0,IF((ABS(B123-$B$17)+lane_off)&gt;=v_sh^2/a_sh,(ABS(B123-$B$17)+lane_off)/v_sh+v_sh/a_sh,2*SQRT((ABS(B123-$B$17)+lane_off)/a_sh))))</f>
        <v/>
      </c>
      <c r="I123" s="34" t="str">
        <f aca="false">IF(C123="","",2*C123+w_conv*$D$12/v_conv)</f>
        <v/>
      </c>
      <c r="J123" s="34" t="str">
        <f aca="false">IF(D123="","",2*D123+w_conv*$D$13/v_conv)</f>
        <v/>
      </c>
      <c r="K123" s="34" t="str">
        <f aca="false">IF(E123="","",2*E123+w_conv*$D$14/v_conv)</f>
        <v/>
      </c>
      <c r="L123" s="34" t="str">
        <f aca="false">IF(F123="","",2*F123+w_conv*$D$15/v_conv)</f>
        <v/>
      </c>
      <c r="M123" s="34" t="str">
        <f aca="false">IF(G123="","",2*G123+w_conv*$D$16/v_conv)</f>
        <v/>
      </c>
      <c r="N123" s="34" t="str">
        <f aca="false">IF(H123="","",2*H123+w_conv*$D$17/v_conv)</f>
        <v/>
      </c>
      <c r="O123" s="34" t="str">
        <f aca="false">IF(A123&gt;NL_b,"",MIN(I123:N123))</f>
        <v/>
      </c>
      <c r="P123" s="34" t="str">
        <f aca="false">IF(O123="","",INDEX(C123:H123,MATCH(O123,I123:N123,0)))</f>
        <v/>
      </c>
      <c r="Q123" s="34" t="str">
        <f aca="false">IF(O123="","",INDEX($D$12:$D$17,MATCH(O123,I123:N123,0)))</f>
        <v/>
      </c>
    </row>
    <row r="124" customFormat="false" ht="15" hidden="false" customHeight="true" outlineLevel="0" collapsed="false">
      <c r="A124" s="54" t="n">
        <v>104</v>
      </c>
      <c r="B124" s="34" t="n">
        <f aca="false">(A124-0.5)*u_w</f>
        <v>103.5</v>
      </c>
      <c r="C124" s="34" t="str">
        <f aca="false">IF(OR(A124&gt;NL_b,$B$12=""),"",IF((ABS(B124-$B$12)+lane_off)&lt;=0,0,IF((ABS(B124-$B$12)+lane_off)&gt;=v_sh^2/a_sh,(ABS(B124-$B$12)+lane_off)/v_sh+v_sh/a_sh,2*SQRT((ABS(B124-$B$12)+lane_off)/a_sh))))</f>
        <v/>
      </c>
      <c r="D124" s="34" t="str">
        <f aca="false">IF(OR(A124&gt;NL_b,$B$13=""),"",IF((ABS(B124-$B$13)+lane_off)&lt;=0,0,IF((ABS(B124-$B$13)+lane_off)&gt;=v_sh^2/a_sh,(ABS(B124-$B$13)+lane_off)/v_sh+v_sh/a_sh,2*SQRT((ABS(B124-$B$13)+lane_off)/a_sh))))</f>
        <v/>
      </c>
      <c r="E124" s="34" t="str">
        <f aca="false">IF(OR(A124&gt;NL_b,$B$14=""),"",IF((ABS(B124-$B$14)+lane_off)&lt;=0,0,IF((ABS(B124-$B$14)+lane_off)&gt;=v_sh^2/a_sh,(ABS(B124-$B$14)+lane_off)/v_sh+v_sh/a_sh,2*SQRT((ABS(B124-$B$14)+lane_off)/a_sh))))</f>
        <v/>
      </c>
      <c r="F124" s="34" t="str">
        <f aca="false">IF(OR(A124&gt;NL_b,$B$15=""),"",IF((ABS(B124-$B$15)+lane_off)&lt;=0,0,IF((ABS(B124-$B$15)+lane_off)&gt;=v_sh^2/a_sh,(ABS(B124-$B$15)+lane_off)/v_sh+v_sh/a_sh,2*SQRT((ABS(B124-$B$15)+lane_off)/a_sh))))</f>
        <v/>
      </c>
      <c r="G124" s="34" t="str">
        <f aca="false">IF(OR(A124&gt;NL_b,$B$16=""),"",IF((ABS(B124-$B$16)+lane_off)&lt;=0,0,IF((ABS(B124-$B$16)+lane_off)&gt;=v_sh^2/a_sh,(ABS(B124-$B$16)+lane_off)/v_sh+v_sh/a_sh,2*SQRT((ABS(B124-$B$16)+lane_off)/a_sh))))</f>
        <v/>
      </c>
      <c r="H124" s="34" t="str">
        <f aca="false">IF(OR(A124&gt;NL_b,$B$17=""),"",IF((ABS(B124-$B$17)+lane_off)&lt;=0,0,IF((ABS(B124-$B$17)+lane_off)&gt;=v_sh^2/a_sh,(ABS(B124-$B$17)+lane_off)/v_sh+v_sh/a_sh,2*SQRT((ABS(B124-$B$17)+lane_off)/a_sh))))</f>
        <v/>
      </c>
      <c r="I124" s="34" t="str">
        <f aca="false">IF(C124="","",2*C124+w_conv*$D$12/v_conv)</f>
        <v/>
      </c>
      <c r="J124" s="34" t="str">
        <f aca="false">IF(D124="","",2*D124+w_conv*$D$13/v_conv)</f>
        <v/>
      </c>
      <c r="K124" s="34" t="str">
        <f aca="false">IF(E124="","",2*E124+w_conv*$D$14/v_conv)</f>
        <v/>
      </c>
      <c r="L124" s="34" t="str">
        <f aca="false">IF(F124="","",2*F124+w_conv*$D$15/v_conv)</f>
        <v/>
      </c>
      <c r="M124" s="34" t="str">
        <f aca="false">IF(G124="","",2*G124+w_conv*$D$16/v_conv)</f>
        <v/>
      </c>
      <c r="N124" s="34" t="str">
        <f aca="false">IF(H124="","",2*H124+w_conv*$D$17/v_conv)</f>
        <v/>
      </c>
      <c r="O124" s="34" t="str">
        <f aca="false">IF(A124&gt;NL_b,"",MIN(I124:N124))</f>
        <v/>
      </c>
      <c r="P124" s="34" t="str">
        <f aca="false">IF(O124="","",INDEX(C124:H124,MATCH(O124,I124:N124,0)))</f>
        <v/>
      </c>
      <c r="Q124" s="34" t="str">
        <f aca="false">IF(O124="","",INDEX($D$12:$D$17,MATCH(O124,I124:N124,0)))</f>
        <v/>
      </c>
    </row>
    <row r="125" customFormat="false" ht="15" hidden="false" customHeight="true" outlineLevel="0" collapsed="false">
      <c r="A125" s="54" t="n">
        <v>105</v>
      </c>
      <c r="B125" s="34" t="n">
        <f aca="false">(A125-0.5)*u_w</f>
        <v>104.5</v>
      </c>
      <c r="C125" s="34" t="str">
        <f aca="false">IF(OR(A125&gt;NL_b,$B$12=""),"",IF((ABS(B125-$B$12)+lane_off)&lt;=0,0,IF((ABS(B125-$B$12)+lane_off)&gt;=v_sh^2/a_sh,(ABS(B125-$B$12)+lane_off)/v_sh+v_sh/a_sh,2*SQRT((ABS(B125-$B$12)+lane_off)/a_sh))))</f>
        <v/>
      </c>
      <c r="D125" s="34" t="str">
        <f aca="false">IF(OR(A125&gt;NL_b,$B$13=""),"",IF((ABS(B125-$B$13)+lane_off)&lt;=0,0,IF((ABS(B125-$B$13)+lane_off)&gt;=v_sh^2/a_sh,(ABS(B125-$B$13)+lane_off)/v_sh+v_sh/a_sh,2*SQRT((ABS(B125-$B$13)+lane_off)/a_sh))))</f>
        <v/>
      </c>
      <c r="E125" s="34" t="str">
        <f aca="false">IF(OR(A125&gt;NL_b,$B$14=""),"",IF((ABS(B125-$B$14)+lane_off)&lt;=0,0,IF((ABS(B125-$B$14)+lane_off)&gt;=v_sh^2/a_sh,(ABS(B125-$B$14)+lane_off)/v_sh+v_sh/a_sh,2*SQRT((ABS(B125-$B$14)+lane_off)/a_sh))))</f>
        <v/>
      </c>
      <c r="F125" s="34" t="str">
        <f aca="false">IF(OR(A125&gt;NL_b,$B$15=""),"",IF((ABS(B125-$B$15)+lane_off)&lt;=0,0,IF((ABS(B125-$B$15)+lane_off)&gt;=v_sh^2/a_sh,(ABS(B125-$B$15)+lane_off)/v_sh+v_sh/a_sh,2*SQRT((ABS(B125-$B$15)+lane_off)/a_sh))))</f>
        <v/>
      </c>
      <c r="G125" s="34" t="str">
        <f aca="false">IF(OR(A125&gt;NL_b,$B$16=""),"",IF((ABS(B125-$B$16)+lane_off)&lt;=0,0,IF((ABS(B125-$B$16)+lane_off)&gt;=v_sh^2/a_sh,(ABS(B125-$B$16)+lane_off)/v_sh+v_sh/a_sh,2*SQRT((ABS(B125-$B$16)+lane_off)/a_sh))))</f>
        <v/>
      </c>
      <c r="H125" s="34" t="str">
        <f aca="false">IF(OR(A125&gt;NL_b,$B$17=""),"",IF((ABS(B125-$B$17)+lane_off)&lt;=0,0,IF((ABS(B125-$B$17)+lane_off)&gt;=v_sh^2/a_sh,(ABS(B125-$B$17)+lane_off)/v_sh+v_sh/a_sh,2*SQRT((ABS(B125-$B$17)+lane_off)/a_sh))))</f>
        <v/>
      </c>
      <c r="I125" s="34" t="str">
        <f aca="false">IF(C125="","",2*C125+w_conv*$D$12/v_conv)</f>
        <v/>
      </c>
      <c r="J125" s="34" t="str">
        <f aca="false">IF(D125="","",2*D125+w_conv*$D$13/v_conv)</f>
        <v/>
      </c>
      <c r="K125" s="34" t="str">
        <f aca="false">IF(E125="","",2*E125+w_conv*$D$14/v_conv)</f>
        <v/>
      </c>
      <c r="L125" s="34" t="str">
        <f aca="false">IF(F125="","",2*F125+w_conv*$D$15/v_conv)</f>
        <v/>
      </c>
      <c r="M125" s="34" t="str">
        <f aca="false">IF(G125="","",2*G125+w_conv*$D$16/v_conv)</f>
        <v/>
      </c>
      <c r="N125" s="34" t="str">
        <f aca="false">IF(H125="","",2*H125+w_conv*$D$17/v_conv)</f>
        <v/>
      </c>
      <c r="O125" s="34" t="str">
        <f aca="false">IF(A125&gt;NL_b,"",MIN(I125:N125))</f>
        <v/>
      </c>
      <c r="P125" s="34" t="str">
        <f aca="false">IF(O125="","",INDEX(C125:H125,MATCH(O125,I125:N125,0)))</f>
        <v/>
      </c>
      <c r="Q125" s="34" t="str">
        <f aca="false">IF(O125="","",INDEX($D$12:$D$17,MATCH(O125,I125:N125,0)))</f>
        <v/>
      </c>
    </row>
    <row r="126" customFormat="false" ht="15" hidden="false" customHeight="true" outlineLevel="0" collapsed="false">
      <c r="A126" s="54" t="n">
        <v>106</v>
      </c>
      <c r="B126" s="34" t="n">
        <f aca="false">(A126-0.5)*u_w</f>
        <v>105.5</v>
      </c>
      <c r="C126" s="34" t="str">
        <f aca="false">IF(OR(A126&gt;NL_b,$B$12=""),"",IF((ABS(B126-$B$12)+lane_off)&lt;=0,0,IF((ABS(B126-$B$12)+lane_off)&gt;=v_sh^2/a_sh,(ABS(B126-$B$12)+lane_off)/v_sh+v_sh/a_sh,2*SQRT((ABS(B126-$B$12)+lane_off)/a_sh))))</f>
        <v/>
      </c>
      <c r="D126" s="34" t="str">
        <f aca="false">IF(OR(A126&gt;NL_b,$B$13=""),"",IF((ABS(B126-$B$13)+lane_off)&lt;=0,0,IF((ABS(B126-$B$13)+lane_off)&gt;=v_sh^2/a_sh,(ABS(B126-$B$13)+lane_off)/v_sh+v_sh/a_sh,2*SQRT((ABS(B126-$B$13)+lane_off)/a_sh))))</f>
        <v/>
      </c>
      <c r="E126" s="34" t="str">
        <f aca="false">IF(OR(A126&gt;NL_b,$B$14=""),"",IF((ABS(B126-$B$14)+lane_off)&lt;=0,0,IF((ABS(B126-$B$14)+lane_off)&gt;=v_sh^2/a_sh,(ABS(B126-$B$14)+lane_off)/v_sh+v_sh/a_sh,2*SQRT((ABS(B126-$B$14)+lane_off)/a_sh))))</f>
        <v/>
      </c>
      <c r="F126" s="34" t="str">
        <f aca="false">IF(OR(A126&gt;NL_b,$B$15=""),"",IF((ABS(B126-$B$15)+lane_off)&lt;=0,0,IF((ABS(B126-$B$15)+lane_off)&gt;=v_sh^2/a_sh,(ABS(B126-$B$15)+lane_off)/v_sh+v_sh/a_sh,2*SQRT((ABS(B126-$B$15)+lane_off)/a_sh))))</f>
        <v/>
      </c>
      <c r="G126" s="34" t="str">
        <f aca="false">IF(OR(A126&gt;NL_b,$B$16=""),"",IF((ABS(B126-$B$16)+lane_off)&lt;=0,0,IF((ABS(B126-$B$16)+lane_off)&gt;=v_sh^2/a_sh,(ABS(B126-$B$16)+lane_off)/v_sh+v_sh/a_sh,2*SQRT((ABS(B126-$B$16)+lane_off)/a_sh))))</f>
        <v/>
      </c>
      <c r="H126" s="34" t="str">
        <f aca="false">IF(OR(A126&gt;NL_b,$B$17=""),"",IF((ABS(B126-$B$17)+lane_off)&lt;=0,0,IF((ABS(B126-$B$17)+lane_off)&gt;=v_sh^2/a_sh,(ABS(B126-$B$17)+lane_off)/v_sh+v_sh/a_sh,2*SQRT((ABS(B126-$B$17)+lane_off)/a_sh))))</f>
        <v/>
      </c>
      <c r="I126" s="34" t="str">
        <f aca="false">IF(C126="","",2*C126+w_conv*$D$12/v_conv)</f>
        <v/>
      </c>
      <c r="J126" s="34" t="str">
        <f aca="false">IF(D126="","",2*D126+w_conv*$D$13/v_conv)</f>
        <v/>
      </c>
      <c r="K126" s="34" t="str">
        <f aca="false">IF(E126="","",2*E126+w_conv*$D$14/v_conv)</f>
        <v/>
      </c>
      <c r="L126" s="34" t="str">
        <f aca="false">IF(F126="","",2*F126+w_conv*$D$15/v_conv)</f>
        <v/>
      </c>
      <c r="M126" s="34" t="str">
        <f aca="false">IF(G126="","",2*G126+w_conv*$D$16/v_conv)</f>
        <v/>
      </c>
      <c r="N126" s="34" t="str">
        <f aca="false">IF(H126="","",2*H126+w_conv*$D$17/v_conv)</f>
        <v/>
      </c>
      <c r="O126" s="34" t="str">
        <f aca="false">IF(A126&gt;NL_b,"",MIN(I126:N126))</f>
        <v/>
      </c>
      <c r="P126" s="34" t="str">
        <f aca="false">IF(O126="","",INDEX(C126:H126,MATCH(O126,I126:N126,0)))</f>
        <v/>
      </c>
      <c r="Q126" s="34" t="str">
        <f aca="false">IF(O126="","",INDEX($D$12:$D$17,MATCH(O126,I126:N126,0)))</f>
        <v/>
      </c>
    </row>
    <row r="127" customFormat="false" ht="15" hidden="false" customHeight="true" outlineLevel="0" collapsed="false">
      <c r="A127" s="54" t="n">
        <v>107</v>
      </c>
      <c r="B127" s="34" t="n">
        <f aca="false">(A127-0.5)*u_w</f>
        <v>106.5</v>
      </c>
      <c r="C127" s="34" t="str">
        <f aca="false">IF(OR(A127&gt;NL_b,$B$12=""),"",IF((ABS(B127-$B$12)+lane_off)&lt;=0,0,IF((ABS(B127-$B$12)+lane_off)&gt;=v_sh^2/a_sh,(ABS(B127-$B$12)+lane_off)/v_sh+v_sh/a_sh,2*SQRT((ABS(B127-$B$12)+lane_off)/a_sh))))</f>
        <v/>
      </c>
      <c r="D127" s="34" t="str">
        <f aca="false">IF(OR(A127&gt;NL_b,$B$13=""),"",IF((ABS(B127-$B$13)+lane_off)&lt;=0,0,IF((ABS(B127-$B$13)+lane_off)&gt;=v_sh^2/a_sh,(ABS(B127-$B$13)+lane_off)/v_sh+v_sh/a_sh,2*SQRT((ABS(B127-$B$13)+lane_off)/a_sh))))</f>
        <v/>
      </c>
      <c r="E127" s="34" t="str">
        <f aca="false">IF(OR(A127&gt;NL_b,$B$14=""),"",IF((ABS(B127-$B$14)+lane_off)&lt;=0,0,IF((ABS(B127-$B$14)+lane_off)&gt;=v_sh^2/a_sh,(ABS(B127-$B$14)+lane_off)/v_sh+v_sh/a_sh,2*SQRT((ABS(B127-$B$14)+lane_off)/a_sh))))</f>
        <v/>
      </c>
      <c r="F127" s="34" t="str">
        <f aca="false">IF(OR(A127&gt;NL_b,$B$15=""),"",IF((ABS(B127-$B$15)+lane_off)&lt;=0,0,IF((ABS(B127-$B$15)+lane_off)&gt;=v_sh^2/a_sh,(ABS(B127-$B$15)+lane_off)/v_sh+v_sh/a_sh,2*SQRT((ABS(B127-$B$15)+lane_off)/a_sh))))</f>
        <v/>
      </c>
      <c r="G127" s="34" t="str">
        <f aca="false">IF(OR(A127&gt;NL_b,$B$16=""),"",IF((ABS(B127-$B$16)+lane_off)&lt;=0,0,IF((ABS(B127-$B$16)+lane_off)&gt;=v_sh^2/a_sh,(ABS(B127-$B$16)+lane_off)/v_sh+v_sh/a_sh,2*SQRT((ABS(B127-$B$16)+lane_off)/a_sh))))</f>
        <v/>
      </c>
      <c r="H127" s="34" t="str">
        <f aca="false">IF(OR(A127&gt;NL_b,$B$17=""),"",IF((ABS(B127-$B$17)+lane_off)&lt;=0,0,IF((ABS(B127-$B$17)+lane_off)&gt;=v_sh^2/a_sh,(ABS(B127-$B$17)+lane_off)/v_sh+v_sh/a_sh,2*SQRT((ABS(B127-$B$17)+lane_off)/a_sh))))</f>
        <v/>
      </c>
      <c r="I127" s="34" t="str">
        <f aca="false">IF(C127="","",2*C127+w_conv*$D$12/v_conv)</f>
        <v/>
      </c>
      <c r="J127" s="34" t="str">
        <f aca="false">IF(D127="","",2*D127+w_conv*$D$13/v_conv)</f>
        <v/>
      </c>
      <c r="K127" s="34" t="str">
        <f aca="false">IF(E127="","",2*E127+w_conv*$D$14/v_conv)</f>
        <v/>
      </c>
      <c r="L127" s="34" t="str">
        <f aca="false">IF(F127="","",2*F127+w_conv*$D$15/v_conv)</f>
        <v/>
      </c>
      <c r="M127" s="34" t="str">
        <f aca="false">IF(G127="","",2*G127+w_conv*$D$16/v_conv)</f>
        <v/>
      </c>
      <c r="N127" s="34" t="str">
        <f aca="false">IF(H127="","",2*H127+w_conv*$D$17/v_conv)</f>
        <v/>
      </c>
      <c r="O127" s="34" t="str">
        <f aca="false">IF(A127&gt;NL_b,"",MIN(I127:N127))</f>
        <v/>
      </c>
      <c r="P127" s="34" t="str">
        <f aca="false">IF(O127="","",INDEX(C127:H127,MATCH(O127,I127:N127,0)))</f>
        <v/>
      </c>
      <c r="Q127" s="34" t="str">
        <f aca="false">IF(O127="","",INDEX($D$12:$D$17,MATCH(O127,I127:N127,0)))</f>
        <v/>
      </c>
    </row>
    <row r="128" customFormat="false" ht="15" hidden="false" customHeight="true" outlineLevel="0" collapsed="false">
      <c r="A128" s="54" t="n">
        <v>108</v>
      </c>
      <c r="B128" s="34" t="n">
        <f aca="false">(A128-0.5)*u_w</f>
        <v>107.5</v>
      </c>
      <c r="C128" s="34" t="str">
        <f aca="false">IF(OR(A128&gt;NL_b,$B$12=""),"",IF((ABS(B128-$B$12)+lane_off)&lt;=0,0,IF((ABS(B128-$B$12)+lane_off)&gt;=v_sh^2/a_sh,(ABS(B128-$B$12)+lane_off)/v_sh+v_sh/a_sh,2*SQRT((ABS(B128-$B$12)+lane_off)/a_sh))))</f>
        <v/>
      </c>
      <c r="D128" s="34" t="str">
        <f aca="false">IF(OR(A128&gt;NL_b,$B$13=""),"",IF((ABS(B128-$B$13)+lane_off)&lt;=0,0,IF((ABS(B128-$B$13)+lane_off)&gt;=v_sh^2/a_sh,(ABS(B128-$B$13)+lane_off)/v_sh+v_sh/a_sh,2*SQRT((ABS(B128-$B$13)+lane_off)/a_sh))))</f>
        <v/>
      </c>
      <c r="E128" s="34" t="str">
        <f aca="false">IF(OR(A128&gt;NL_b,$B$14=""),"",IF((ABS(B128-$B$14)+lane_off)&lt;=0,0,IF((ABS(B128-$B$14)+lane_off)&gt;=v_sh^2/a_sh,(ABS(B128-$B$14)+lane_off)/v_sh+v_sh/a_sh,2*SQRT((ABS(B128-$B$14)+lane_off)/a_sh))))</f>
        <v/>
      </c>
      <c r="F128" s="34" t="str">
        <f aca="false">IF(OR(A128&gt;NL_b,$B$15=""),"",IF((ABS(B128-$B$15)+lane_off)&lt;=0,0,IF((ABS(B128-$B$15)+lane_off)&gt;=v_sh^2/a_sh,(ABS(B128-$B$15)+lane_off)/v_sh+v_sh/a_sh,2*SQRT((ABS(B128-$B$15)+lane_off)/a_sh))))</f>
        <v/>
      </c>
      <c r="G128" s="34" t="str">
        <f aca="false">IF(OR(A128&gt;NL_b,$B$16=""),"",IF((ABS(B128-$B$16)+lane_off)&lt;=0,0,IF((ABS(B128-$B$16)+lane_off)&gt;=v_sh^2/a_sh,(ABS(B128-$B$16)+lane_off)/v_sh+v_sh/a_sh,2*SQRT((ABS(B128-$B$16)+lane_off)/a_sh))))</f>
        <v/>
      </c>
      <c r="H128" s="34" t="str">
        <f aca="false">IF(OR(A128&gt;NL_b,$B$17=""),"",IF((ABS(B128-$B$17)+lane_off)&lt;=0,0,IF((ABS(B128-$B$17)+lane_off)&gt;=v_sh^2/a_sh,(ABS(B128-$B$17)+lane_off)/v_sh+v_sh/a_sh,2*SQRT((ABS(B128-$B$17)+lane_off)/a_sh))))</f>
        <v/>
      </c>
      <c r="I128" s="34" t="str">
        <f aca="false">IF(C128="","",2*C128+w_conv*$D$12/v_conv)</f>
        <v/>
      </c>
      <c r="J128" s="34" t="str">
        <f aca="false">IF(D128="","",2*D128+w_conv*$D$13/v_conv)</f>
        <v/>
      </c>
      <c r="K128" s="34" t="str">
        <f aca="false">IF(E128="","",2*E128+w_conv*$D$14/v_conv)</f>
        <v/>
      </c>
      <c r="L128" s="34" t="str">
        <f aca="false">IF(F128="","",2*F128+w_conv*$D$15/v_conv)</f>
        <v/>
      </c>
      <c r="M128" s="34" t="str">
        <f aca="false">IF(G128="","",2*G128+w_conv*$D$16/v_conv)</f>
        <v/>
      </c>
      <c r="N128" s="34" t="str">
        <f aca="false">IF(H128="","",2*H128+w_conv*$D$17/v_conv)</f>
        <v/>
      </c>
      <c r="O128" s="34" t="str">
        <f aca="false">IF(A128&gt;NL_b,"",MIN(I128:N128))</f>
        <v/>
      </c>
      <c r="P128" s="34" t="str">
        <f aca="false">IF(O128="","",INDEX(C128:H128,MATCH(O128,I128:N128,0)))</f>
        <v/>
      </c>
      <c r="Q128" s="34" t="str">
        <f aca="false">IF(O128="","",INDEX($D$12:$D$17,MATCH(O128,I128:N128,0)))</f>
        <v/>
      </c>
    </row>
    <row r="129" customFormat="false" ht="15" hidden="false" customHeight="true" outlineLevel="0" collapsed="false">
      <c r="A129" s="54" t="n">
        <v>109</v>
      </c>
      <c r="B129" s="34" t="n">
        <f aca="false">(A129-0.5)*u_w</f>
        <v>108.5</v>
      </c>
      <c r="C129" s="34" t="str">
        <f aca="false">IF(OR(A129&gt;NL_b,$B$12=""),"",IF((ABS(B129-$B$12)+lane_off)&lt;=0,0,IF((ABS(B129-$B$12)+lane_off)&gt;=v_sh^2/a_sh,(ABS(B129-$B$12)+lane_off)/v_sh+v_sh/a_sh,2*SQRT((ABS(B129-$B$12)+lane_off)/a_sh))))</f>
        <v/>
      </c>
      <c r="D129" s="34" t="str">
        <f aca="false">IF(OR(A129&gt;NL_b,$B$13=""),"",IF((ABS(B129-$B$13)+lane_off)&lt;=0,0,IF((ABS(B129-$B$13)+lane_off)&gt;=v_sh^2/a_sh,(ABS(B129-$B$13)+lane_off)/v_sh+v_sh/a_sh,2*SQRT((ABS(B129-$B$13)+lane_off)/a_sh))))</f>
        <v/>
      </c>
      <c r="E129" s="34" t="str">
        <f aca="false">IF(OR(A129&gt;NL_b,$B$14=""),"",IF((ABS(B129-$B$14)+lane_off)&lt;=0,0,IF((ABS(B129-$B$14)+lane_off)&gt;=v_sh^2/a_sh,(ABS(B129-$B$14)+lane_off)/v_sh+v_sh/a_sh,2*SQRT((ABS(B129-$B$14)+lane_off)/a_sh))))</f>
        <v/>
      </c>
      <c r="F129" s="34" t="str">
        <f aca="false">IF(OR(A129&gt;NL_b,$B$15=""),"",IF((ABS(B129-$B$15)+lane_off)&lt;=0,0,IF((ABS(B129-$B$15)+lane_off)&gt;=v_sh^2/a_sh,(ABS(B129-$B$15)+lane_off)/v_sh+v_sh/a_sh,2*SQRT((ABS(B129-$B$15)+lane_off)/a_sh))))</f>
        <v/>
      </c>
      <c r="G129" s="34" t="str">
        <f aca="false">IF(OR(A129&gt;NL_b,$B$16=""),"",IF((ABS(B129-$B$16)+lane_off)&lt;=0,0,IF((ABS(B129-$B$16)+lane_off)&gt;=v_sh^2/a_sh,(ABS(B129-$B$16)+lane_off)/v_sh+v_sh/a_sh,2*SQRT((ABS(B129-$B$16)+lane_off)/a_sh))))</f>
        <v/>
      </c>
      <c r="H129" s="34" t="str">
        <f aca="false">IF(OR(A129&gt;NL_b,$B$17=""),"",IF((ABS(B129-$B$17)+lane_off)&lt;=0,0,IF((ABS(B129-$B$17)+lane_off)&gt;=v_sh^2/a_sh,(ABS(B129-$B$17)+lane_off)/v_sh+v_sh/a_sh,2*SQRT((ABS(B129-$B$17)+lane_off)/a_sh))))</f>
        <v/>
      </c>
      <c r="I129" s="34" t="str">
        <f aca="false">IF(C129="","",2*C129+w_conv*$D$12/v_conv)</f>
        <v/>
      </c>
      <c r="J129" s="34" t="str">
        <f aca="false">IF(D129="","",2*D129+w_conv*$D$13/v_conv)</f>
        <v/>
      </c>
      <c r="K129" s="34" t="str">
        <f aca="false">IF(E129="","",2*E129+w_conv*$D$14/v_conv)</f>
        <v/>
      </c>
      <c r="L129" s="34" t="str">
        <f aca="false">IF(F129="","",2*F129+w_conv*$D$15/v_conv)</f>
        <v/>
      </c>
      <c r="M129" s="34" t="str">
        <f aca="false">IF(G129="","",2*G129+w_conv*$D$16/v_conv)</f>
        <v/>
      </c>
      <c r="N129" s="34" t="str">
        <f aca="false">IF(H129="","",2*H129+w_conv*$D$17/v_conv)</f>
        <v/>
      </c>
      <c r="O129" s="34" t="str">
        <f aca="false">IF(A129&gt;NL_b,"",MIN(I129:N129))</f>
        <v/>
      </c>
      <c r="P129" s="34" t="str">
        <f aca="false">IF(O129="","",INDEX(C129:H129,MATCH(O129,I129:N129,0)))</f>
        <v/>
      </c>
      <c r="Q129" s="34" t="str">
        <f aca="false">IF(O129="","",INDEX($D$12:$D$17,MATCH(O129,I129:N129,0)))</f>
        <v/>
      </c>
    </row>
    <row r="130" customFormat="false" ht="15" hidden="false" customHeight="true" outlineLevel="0" collapsed="false">
      <c r="A130" s="54" t="n">
        <v>110</v>
      </c>
      <c r="B130" s="34" t="n">
        <f aca="false">(A130-0.5)*u_w</f>
        <v>109.5</v>
      </c>
      <c r="C130" s="34" t="str">
        <f aca="false">IF(OR(A130&gt;NL_b,$B$12=""),"",IF((ABS(B130-$B$12)+lane_off)&lt;=0,0,IF((ABS(B130-$B$12)+lane_off)&gt;=v_sh^2/a_sh,(ABS(B130-$B$12)+lane_off)/v_sh+v_sh/a_sh,2*SQRT((ABS(B130-$B$12)+lane_off)/a_sh))))</f>
        <v/>
      </c>
      <c r="D130" s="34" t="str">
        <f aca="false">IF(OR(A130&gt;NL_b,$B$13=""),"",IF((ABS(B130-$B$13)+lane_off)&lt;=0,0,IF((ABS(B130-$B$13)+lane_off)&gt;=v_sh^2/a_sh,(ABS(B130-$B$13)+lane_off)/v_sh+v_sh/a_sh,2*SQRT((ABS(B130-$B$13)+lane_off)/a_sh))))</f>
        <v/>
      </c>
      <c r="E130" s="34" t="str">
        <f aca="false">IF(OR(A130&gt;NL_b,$B$14=""),"",IF((ABS(B130-$B$14)+lane_off)&lt;=0,0,IF((ABS(B130-$B$14)+lane_off)&gt;=v_sh^2/a_sh,(ABS(B130-$B$14)+lane_off)/v_sh+v_sh/a_sh,2*SQRT((ABS(B130-$B$14)+lane_off)/a_sh))))</f>
        <v/>
      </c>
      <c r="F130" s="34" t="str">
        <f aca="false">IF(OR(A130&gt;NL_b,$B$15=""),"",IF((ABS(B130-$B$15)+lane_off)&lt;=0,0,IF((ABS(B130-$B$15)+lane_off)&gt;=v_sh^2/a_sh,(ABS(B130-$B$15)+lane_off)/v_sh+v_sh/a_sh,2*SQRT((ABS(B130-$B$15)+lane_off)/a_sh))))</f>
        <v/>
      </c>
      <c r="G130" s="34" t="str">
        <f aca="false">IF(OR(A130&gt;NL_b,$B$16=""),"",IF((ABS(B130-$B$16)+lane_off)&lt;=0,0,IF((ABS(B130-$B$16)+lane_off)&gt;=v_sh^2/a_sh,(ABS(B130-$B$16)+lane_off)/v_sh+v_sh/a_sh,2*SQRT((ABS(B130-$B$16)+lane_off)/a_sh))))</f>
        <v/>
      </c>
      <c r="H130" s="34" t="str">
        <f aca="false">IF(OR(A130&gt;NL_b,$B$17=""),"",IF((ABS(B130-$B$17)+lane_off)&lt;=0,0,IF((ABS(B130-$B$17)+lane_off)&gt;=v_sh^2/a_sh,(ABS(B130-$B$17)+lane_off)/v_sh+v_sh/a_sh,2*SQRT((ABS(B130-$B$17)+lane_off)/a_sh))))</f>
        <v/>
      </c>
      <c r="I130" s="34" t="str">
        <f aca="false">IF(C130="","",2*C130+w_conv*$D$12/v_conv)</f>
        <v/>
      </c>
      <c r="J130" s="34" t="str">
        <f aca="false">IF(D130="","",2*D130+w_conv*$D$13/v_conv)</f>
        <v/>
      </c>
      <c r="K130" s="34" t="str">
        <f aca="false">IF(E130="","",2*E130+w_conv*$D$14/v_conv)</f>
        <v/>
      </c>
      <c r="L130" s="34" t="str">
        <f aca="false">IF(F130="","",2*F130+w_conv*$D$15/v_conv)</f>
        <v/>
      </c>
      <c r="M130" s="34" t="str">
        <f aca="false">IF(G130="","",2*G130+w_conv*$D$16/v_conv)</f>
        <v/>
      </c>
      <c r="N130" s="34" t="str">
        <f aca="false">IF(H130="","",2*H130+w_conv*$D$17/v_conv)</f>
        <v/>
      </c>
      <c r="O130" s="34" t="str">
        <f aca="false">IF(A130&gt;NL_b,"",MIN(I130:N130))</f>
        <v/>
      </c>
      <c r="P130" s="34" t="str">
        <f aca="false">IF(O130="","",INDEX(C130:H130,MATCH(O130,I130:N130,0)))</f>
        <v/>
      </c>
      <c r="Q130" s="34" t="str">
        <f aca="false">IF(O130="","",INDEX($D$12:$D$17,MATCH(O130,I130:N130,0)))</f>
        <v/>
      </c>
    </row>
    <row r="131" customFormat="false" ht="15" hidden="false" customHeight="true" outlineLevel="0" collapsed="false">
      <c r="A131" s="54" t="n">
        <v>111</v>
      </c>
      <c r="B131" s="34" t="n">
        <f aca="false">(A131-0.5)*u_w</f>
        <v>110.5</v>
      </c>
      <c r="C131" s="34" t="str">
        <f aca="false">IF(OR(A131&gt;NL_b,$B$12=""),"",IF((ABS(B131-$B$12)+lane_off)&lt;=0,0,IF((ABS(B131-$B$12)+lane_off)&gt;=v_sh^2/a_sh,(ABS(B131-$B$12)+lane_off)/v_sh+v_sh/a_sh,2*SQRT((ABS(B131-$B$12)+lane_off)/a_sh))))</f>
        <v/>
      </c>
      <c r="D131" s="34" t="str">
        <f aca="false">IF(OR(A131&gt;NL_b,$B$13=""),"",IF((ABS(B131-$B$13)+lane_off)&lt;=0,0,IF((ABS(B131-$B$13)+lane_off)&gt;=v_sh^2/a_sh,(ABS(B131-$B$13)+lane_off)/v_sh+v_sh/a_sh,2*SQRT((ABS(B131-$B$13)+lane_off)/a_sh))))</f>
        <v/>
      </c>
      <c r="E131" s="34" t="str">
        <f aca="false">IF(OR(A131&gt;NL_b,$B$14=""),"",IF((ABS(B131-$B$14)+lane_off)&lt;=0,0,IF((ABS(B131-$B$14)+lane_off)&gt;=v_sh^2/a_sh,(ABS(B131-$B$14)+lane_off)/v_sh+v_sh/a_sh,2*SQRT((ABS(B131-$B$14)+lane_off)/a_sh))))</f>
        <v/>
      </c>
      <c r="F131" s="34" t="str">
        <f aca="false">IF(OR(A131&gt;NL_b,$B$15=""),"",IF((ABS(B131-$B$15)+lane_off)&lt;=0,0,IF((ABS(B131-$B$15)+lane_off)&gt;=v_sh^2/a_sh,(ABS(B131-$B$15)+lane_off)/v_sh+v_sh/a_sh,2*SQRT((ABS(B131-$B$15)+lane_off)/a_sh))))</f>
        <v/>
      </c>
      <c r="G131" s="34" t="str">
        <f aca="false">IF(OR(A131&gt;NL_b,$B$16=""),"",IF((ABS(B131-$B$16)+lane_off)&lt;=0,0,IF((ABS(B131-$B$16)+lane_off)&gt;=v_sh^2/a_sh,(ABS(B131-$B$16)+lane_off)/v_sh+v_sh/a_sh,2*SQRT((ABS(B131-$B$16)+lane_off)/a_sh))))</f>
        <v/>
      </c>
      <c r="H131" s="34" t="str">
        <f aca="false">IF(OR(A131&gt;NL_b,$B$17=""),"",IF((ABS(B131-$B$17)+lane_off)&lt;=0,0,IF((ABS(B131-$B$17)+lane_off)&gt;=v_sh^2/a_sh,(ABS(B131-$B$17)+lane_off)/v_sh+v_sh/a_sh,2*SQRT((ABS(B131-$B$17)+lane_off)/a_sh))))</f>
        <v/>
      </c>
      <c r="I131" s="34" t="str">
        <f aca="false">IF(C131="","",2*C131+w_conv*$D$12/v_conv)</f>
        <v/>
      </c>
      <c r="J131" s="34" t="str">
        <f aca="false">IF(D131="","",2*D131+w_conv*$D$13/v_conv)</f>
        <v/>
      </c>
      <c r="K131" s="34" t="str">
        <f aca="false">IF(E131="","",2*E131+w_conv*$D$14/v_conv)</f>
        <v/>
      </c>
      <c r="L131" s="34" t="str">
        <f aca="false">IF(F131="","",2*F131+w_conv*$D$15/v_conv)</f>
        <v/>
      </c>
      <c r="M131" s="34" t="str">
        <f aca="false">IF(G131="","",2*G131+w_conv*$D$16/v_conv)</f>
        <v/>
      </c>
      <c r="N131" s="34" t="str">
        <f aca="false">IF(H131="","",2*H131+w_conv*$D$17/v_conv)</f>
        <v/>
      </c>
      <c r="O131" s="34" t="str">
        <f aca="false">IF(A131&gt;NL_b,"",MIN(I131:N131))</f>
        <v/>
      </c>
      <c r="P131" s="34" t="str">
        <f aca="false">IF(O131="","",INDEX(C131:H131,MATCH(O131,I131:N131,0)))</f>
        <v/>
      </c>
      <c r="Q131" s="34" t="str">
        <f aca="false">IF(O131="","",INDEX($D$12:$D$17,MATCH(O131,I131:N131,0)))</f>
        <v/>
      </c>
    </row>
    <row r="132" customFormat="false" ht="15" hidden="false" customHeight="true" outlineLevel="0" collapsed="false">
      <c r="A132" s="54" t="n">
        <v>112</v>
      </c>
      <c r="B132" s="34" t="n">
        <f aca="false">(A132-0.5)*u_w</f>
        <v>111.5</v>
      </c>
      <c r="C132" s="34" t="str">
        <f aca="false">IF(OR(A132&gt;NL_b,$B$12=""),"",IF((ABS(B132-$B$12)+lane_off)&lt;=0,0,IF((ABS(B132-$B$12)+lane_off)&gt;=v_sh^2/a_sh,(ABS(B132-$B$12)+lane_off)/v_sh+v_sh/a_sh,2*SQRT((ABS(B132-$B$12)+lane_off)/a_sh))))</f>
        <v/>
      </c>
      <c r="D132" s="34" t="str">
        <f aca="false">IF(OR(A132&gt;NL_b,$B$13=""),"",IF((ABS(B132-$B$13)+lane_off)&lt;=0,0,IF((ABS(B132-$B$13)+lane_off)&gt;=v_sh^2/a_sh,(ABS(B132-$B$13)+lane_off)/v_sh+v_sh/a_sh,2*SQRT((ABS(B132-$B$13)+lane_off)/a_sh))))</f>
        <v/>
      </c>
      <c r="E132" s="34" t="str">
        <f aca="false">IF(OR(A132&gt;NL_b,$B$14=""),"",IF((ABS(B132-$B$14)+lane_off)&lt;=0,0,IF((ABS(B132-$B$14)+lane_off)&gt;=v_sh^2/a_sh,(ABS(B132-$B$14)+lane_off)/v_sh+v_sh/a_sh,2*SQRT((ABS(B132-$B$14)+lane_off)/a_sh))))</f>
        <v/>
      </c>
      <c r="F132" s="34" t="str">
        <f aca="false">IF(OR(A132&gt;NL_b,$B$15=""),"",IF((ABS(B132-$B$15)+lane_off)&lt;=0,0,IF((ABS(B132-$B$15)+lane_off)&gt;=v_sh^2/a_sh,(ABS(B132-$B$15)+lane_off)/v_sh+v_sh/a_sh,2*SQRT((ABS(B132-$B$15)+lane_off)/a_sh))))</f>
        <v/>
      </c>
      <c r="G132" s="34" t="str">
        <f aca="false">IF(OR(A132&gt;NL_b,$B$16=""),"",IF((ABS(B132-$B$16)+lane_off)&lt;=0,0,IF((ABS(B132-$B$16)+lane_off)&gt;=v_sh^2/a_sh,(ABS(B132-$B$16)+lane_off)/v_sh+v_sh/a_sh,2*SQRT((ABS(B132-$B$16)+lane_off)/a_sh))))</f>
        <v/>
      </c>
      <c r="H132" s="34" t="str">
        <f aca="false">IF(OR(A132&gt;NL_b,$B$17=""),"",IF((ABS(B132-$B$17)+lane_off)&lt;=0,0,IF((ABS(B132-$B$17)+lane_off)&gt;=v_sh^2/a_sh,(ABS(B132-$B$17)+lane_off)/v_sh+v_sh/a_sh,2*SQRT((ABS(B132-$B$17)+lane_off)/a_sh))))</f>
        <v/>
      </c>
      <c r="I132" s="34" t="str">
        <f aca="false">IF(C132="","",2*C132+w_conv*$D$12/v_conv)</f>
        <v/>
      </c>
      <c r="J132" s="34" t="str">
        <f aca="false">IF(D132="","",2*D132+w_conv*$D$13/v_conv)</f>
        <v/>
      </c>
      <c r="K132" s="34" t="str">
        <f aca="false">IF(E132="","",2*E132+w_conv*$D$14/v_conv)</f>
        <v/>
      </c>
      <c r="L132" s="34" t="str">
        <f aca="false">IF(F132="","",2*F132+w_conv*$D$15/v_conv)</f>
        <v/>
      </c>
      <c r="M132" s="34" t="str">
        <f aca="false">IF(G132="","",2*G132+w_conv*$D$16/v_conv)</f>
        <v/>
      </c>
      <c r="N132" s="34" t="str">
        <f aca="false">IF(H132="","",2*H132+w_conv*$D$17/v_conv)</f>
        <v/>
      </c>
      <c r="O132" s="34" t="str">
        <f aca="false">IF(A132&gt;NL_b,"",MIN(I132:N132))</f>
        <v/>
      </c>
      <c r="P132" s="34" t="str">
        <f aca="false">IF(O132="","",INDEX(C132:H132,MATCH(O132,I132:N132,0)))</f>
        <v/>
      </c>
      <c r="Q132" s="34" t="str">
        <f aca="false">IF(O132="","",INDEX($D$12:$D$17,MATCH(O132,I132:N132,0)))</f>
        <v/>
      </c>
    </row>
    <row r="133" customFormat="false" ht="15" hidden="false" customHeight="true" outlineLevel="0" collapsed="false">
      <c r="A133" s="54" t="n">
        <v>113</v>
      </c>
      <c r="B133" s="34" t="n">
        <f aca="false">(A133-0.5)*u_w</f>
        <v>112.5</v>
      </c>
      <c r="C133" s="34" t="str">
        <f aca="false">IF(OR(A133&gt;NL_b,$B$12=""),"",IF((ABS(B133-$B$12)+lane_off)&lt;=0,0,IF((ABS(B133-$B$12)+lane_off)&gt;=v_sh^2/a_sh,(ABS(B133-$B$12)+lane_off)/v_sh+v_sh/a_sh,2*SQRT((ABS(B133-$B$12)+lane_off)/a_sh))))</f>
        <v/>
      </c>
      <c r="D133" s="34" t="str">
        <f aca="false">IF(OR(A133&gt;NL_b,$B$13=""),"",IF((ABS(B133-$B$13)+lane_off)&lt;=0,0,IF((ABS(B133-$B$13)+lane_off)&gt;=v_sh^2/a_sh,(ABS(B133-$B$13)+lane_off)/v_sh+v_sh/a_sh,2*SQRT((ABS(B133-$B$13)+lane_off)/a_sh))))</f>
        <v/>
      </c>
      <c r="E133" s="34" t="str">
        <f aca="false">IF(OR(A133&gt;NL_b,$B$14=""),"",IF((ABS(B133-$B$14)+lane_off)&lt;=0,0,IF((ABS(B133-$B$14)+lane_off)&gt;=v_sh^2/a_sh,(ABS(B133-$B$14)+lane_off)/v_sh+v_sh/a_sh,2*SQRT((ABS(B133-$B$14)+lane_off)/a_sh))))</f>
        <v/>
      </c>
      <c r="F133" s="34" t="str">
        <f aca="false">IF(OR(A133&gt;NL_b,$B$15=""),"",IF((ABS(B133-$B$15)+lane_off)&lt;=0,0,IF((ABS(B133-$B$15)+lane_off)&gt;=v_sh^2/a_sh,(ABS(B133-$B$15)+lane_off)/v_sh+v_sh/a_sh,2*SQRT((ABS(B133-$B$15)+lane_off)/a_sh))))</f>
        <v/>
      </c>
      <c r="G133" s="34" t="str">
        <f aca="false">IF(OR(A133&gt;NL_b,$B$16=""),"",IF((ABS(B133-$B$16)+lane_off)&lt;=0,0,IF((ABS(B133-$B$16)+lane_off)&gt;=v_sh^2/a_sh,(ABS(B133-$B$16)+lane_off)/v_sh+v_sh/a_sh,2*SQRT((ABS(B133-$B$16)+lane_off)/a_sh))))</f>
        <v/>
      </c>
      <c r="H133" s="34" t="str">
        <f aca="false">IF(OR(A133&gt;NL_b,$B$17=""),"",IF((ABS(B133-$B$17)+lane_off)&lt;=0,0,IF((ABS(B133-$B$17)+lane_off)&gt;=v_sh^2/a_sh,(ABS(B133-$B$17)+lane_off)/v_sh+v_sh/a_sh,2*SQRT((ABS(B133-$B$17)+lane_off)/a_sh))))</f>
        <v/>
      </c>
      <c r="I133" s="34" t="str">
        <f aca="false">IF(C133="","",2*C133+w_conv*$D$12/v_conv)</f>
        <v/>
      </c>
      <c r="J133" s="34" t="str">
        <f aca="false">IF(D133="","",2*D133+w_conv*$D$13/v_conv)</f>
        <v/>
      </c>
      <c r="K133" s="34" t="str">
        <f aca="false">IF(E133="","",2*E133+w_conv*$D$14/v_conv)</f>
        <v/>
      </c>
      <c r="L133" s="34" t="str">
        <f aca="false">IF(F133="","",2*F133+w_conv*$D$15/v_conv)</f>
        <v/>
      </c>
      <c r="M133" s="34" t="str">
        <f aca="false">IF(G133="","",2*G133+w_conv*$D$16/v_conv)</f>
        <v/>
      </c>
      <c r="N133" s="34" t="str">
        <f aca="false">IF(H133="","",2*H133+w_conv*$D$17/v_conv)</f>
        <v/>
      </c>
      <c r="O133" s="34" t="str">
        <f aca="false">IF(A133&gt;NL_b,"",MIN(I133:N133))</f>
        <v/>
      </c>
      <c r="P133" s="34" t="str">
        <f aca="false">IF(O133="","",INDEX(C133:H133,MATCH(O133,I133:N133,0)))</f>
        <v/>
      </c>
      <c r="Q133" s="34" t="str">
        <f aca="false">IF(O133="","",INDEX($D$12:$D$17,MATCH(O133,I133:N133,0)))</f>
        <v/>
      </c>
    </row>
    <row r="134" customFormat="false" ht="15" hidden="false" customHeight="true" outlineLevel="0" collapsed="false">
      <c r="A134" s="54" t="n">
        <v>114</v>
      </c>
      <c r="B134" s="34" t="n">
        <f aca="false">(A134-0.5)*u_w</f>
        <v>113.5</v>
      </c>
      <c r="C134" s="34" t="str">
        <f aca="false">IF(OR(A134&gt;NL_b,$B$12=""),"",IF((ABS(B134-$B$12)+lane_off)&lt;=0,0,IF((ABS(B134-$B$12)+lane_off)&gt;=v_sh^2/a_sh,(ABS(B134-$B$12)+lane_off)/v_sh+v_sh/a_sh,2*SQRT((ABS(B134-$B$12)+lane_off)/a_sh))))</f>
        <v/>
      </c>
      <c r="D134" s="34" t="str">
        <f aca="false">IF(OR(A134&gt;NL_b,$B$13=""),"",IF((ABS(B134-$B$13)+lane_off)&lt;=0,0,IF((ABS(B134-$B$13)+lane_off)&gt;=v_sh^2/a_sh,(ABS(B134-$B$13)+lane_off)/v_sh+v_sh/a_sh,2*SQRT((ABS(B134-$B$13)+lane_off)/a_sh))))</f>
        <v/>
      </c>
      <c r="E134" s="34" t="str">
        <f aca="false">IF(OR(A134&gt;NL_b,$B$14=""),"",IF((ABS(B134-$B$14)+lane_off)&lt;=0,0,IF((ABS(B134-$B$14)+lane_off)&gt;=v_sh^2/a_sh,(ABS(B134-$B$14)+lane_off)/v_sh+v_sh/a_sh,2*SQRT((ABS(B134-$B$14)+lane_off)/a_sh))))</f>
        <v/>
      </c>
      <c r="F134" s="34" t="str">
        <f aca="false">IF(OR(A134&gt;NL_b,$B$15=""),"",IF((ABS(B134-$B$15)+lane_off)&lt;=0,0,IF((ABS(B134-$B$15)+lane_off)&gt;=v_sh^2/a_sh,(ABS(B134-$B$15)+lane_off)/v_sh+v_sh/a_sh,2*SQRT((ABS(B134-$B$15)+lane_off)/a_sh))))</f>
        <v/>
      </c>
      <c r="G134" s="34" t="str">
        <f aca="false">IF(OR(A134&gt;NL_b,$B$16=""),"",IF((ABS(B134-$B$16)+lane_off)&lt;=0,0,IF((ABS(B134-$B$16)+lane_off)&gt;=v_sh^2/a_sh,(ABS(B134-$B$16)+lane_off)/v_sh+v_sh/a_sh,2*SQRT((ABS(B134-$B$16)+lane_off)/a_sh))))</f>
        <v/>
      </c>
      <c r="H134" s="34" t="str">
        <f aca="false">IF(OR(A134&gt;NL_b,$B$17=""),"",IF((ABS(B134-$B$17)+lane_off)&lt;=0,0,IF((ABS(B134-$B$17)+lane_off)&gt;=v_sh^2/a_sh,(ABS(B134-$B$17)+lane_off)/v_sh+v_sh/a_sh,2*SQRT((ABS(B134-$B$17)+lane_off)/a_sh))))</f>
        <v/>
      </c>
      <c r="I134" s="34" t="str">
        <f aca="false">IF(C134="","",2*C134+w_conv*$D$12/v_conv)</f>
        <v/>
      </c>
      <c r="J134" s="34" t="str">
        <f aca="false">IF(D134="","",2*D134+w_conv*$D$13/v_conv)</f>
        <v/>
      </c>
      <c r="K134" s="34" t="str">
        <f aca="false">IF(E134="","",2*E134+w_conv*$D$14/v_conv)</f>
        <v/>
      </c>
      <c r="L134" s="34" t="str">
        <f aca="false">IF(F134="","",2*F134+w_conv*$D$15/v_conv)</f>
        <v/>
      </c>
      <c r="M134" s="34" t="str">
        <f aca="false">IF(G134="","",2*G134+w_conv*$D$16/v_conv)</f>
        <v/>
      </c>
      <c r="N134" s="34" t="str">
        <f aca="false">IF(H134="","",2*H134+w_conv*$D$17/v_conv)</f>
        <v/>
      </c>
      <c r="O134" s="34" t="str">
        <f aca="false">IF(A134&gt;NL_b,"",MIN(I134:N134))</f>
        <v/>
      </c>
      <c r="P134" s="34" t="str">
        <f aca="false">IF(O134="","",INDEX(C134:H134,MATCH(O134,I134:N134,0)))</f>
        <v/>
      </c>
      <c r="Q134" s="34" t="str">
        <f aca="false">IF(O134="","",INDEX($D$12:$D$17,MATCH(O134,I134:N134,0)))</f>
        <v/>
      </c>
    </row>
    <row r="135" customFormat="false" ht="15" hidden="false" customHeight="true" outlineLevel="0" collapsed="false">
      <c r="A135" s="54" t="n">
        <v>115</v>
      </c>
      <c r="B135" s="34" t="n">
        <f aca="false">(A135-0.5)*u_w</f>
        <v>114.5</v>
      </c>
      <c r="C135" s="34" t="str">
        <f aca="false">IF(OR(A135&gt;NL_b,$B$12=""),"",IF((ABS(B135-$B$12)+lane_off)&lt;=0,0,IF((ABS(B135-$B$12)+lane_off)&gt;=v_sh^2/a_sh,(ABS(B135-$B$12)+lane_off)/v_sh+v_sh/a_sh,2*SQRT((ABS(B135-$B$12)+lane_off)/a_sh))))</f>
        <v/>
      </c>
      <c r="D135" s="34" t="str">
        <f aca="false">IF(OR(A135&gt;NL_b,$B$13=""),"",IF((ABS(B135-$B$13)+lane_off)&lt;=0,0,IF((ABS(B135-$B$13)+lane_off)&gt;=v_sh^2/a_sh,(ABS(B135-$B$13)+lane_off)/v_sh+v_sh/a_sh,2*SQRT((ABS(B135-$B$13)+lane_off)/a_sh))))</f>
        <v/>
      </c>
      <c r="E135" s="34" t="str">
        <f aca="false">IF(OR(A135&gt;NL_b,$B$14=""),"",IF((ABS(B135-$B$14)+lane_off)&lt;=0,0,IF((ABS(B135-$B$14)+lane_off)&gt;=v_sh^2/a_sh,(ABS(B135-$B$14)+lane_off)/v_sh+v_sh/a_sh,2*SQRT((ABS(B135-$B$14)+lane_off)/a_sh))))</f>
        <v/>
      </c>
      <c r="F135" s="34" t="str">
        <f aca="false">IF(OR(A135&gt;NL_b,$B$15=""),"",IF((ABS(B135-$B$15)+lane_off)&lt;=0,0,IF((ABS(B135-$B$15)+lane_off)&gt;=v_sh^2/a_sh,(ABS(B135-$B$15)+lane_off)/v_sh+v_sh/a_sh,2*SQRT((ABS(B135-$B$15)+lane_off)/a_sh))))</f>
        <v/>
      </c>
      <c r="G135" s="34" t="str">
        <f aca="false">IF(OR(A135&gt;NL_b,$B$16=""),"",IF((ABS(B135-$B$16)+lane_off)&lt;=0,0,IF((ABS(B135-$B$16)+lane_off)&gt;=v_sh^2/a_sh,(ABS(B135-$B$16)+lane_off)/v_sh+v_sh/a_sh,2*SQRT((ABS(B135-$B$16)+lane_off)/a_sh))))</f>
        <v/>
      </c>
      <c r="H135" s="34" t="str">
        <f aca="false">IF(OR(A135&gt;NL_b,$B$17=""),"",IF((ABS(B135-$B$17)+lane_off)&lt;=0,0,IF((ABS(B135-$B$17)+lane_off)&gt;=v_sh^2/a_sh,(ABS(B135-$B$17)+lane_off)/v_sh+v_sh/a_sh,2*SQRT((ABS(B135-$B$17)+lane_off)/a_sh))))</f>
        <v/>
      </c>
      <c r="I135" s="34" t="str">
        <f aca="false">IF(C135="","",2*C135+w_conv*$D$12/v_conv)</f>
        <v/>
      </c>
      <c r="J135" s="34" t="str">
        <f aca="false">IF(D135="","",2*D135+w_conv*$D$13/v_conv)</f>
        <v/>
      </c>
      <c r="K135" s="34" t="str">
        <f aca="false">IF(E135="","",2*E135+w_conv*$D$14/v_conv)</f>
        <v/>
      </c>
      <c r="L135" s="34" t="str">
        <f aca="false">IF(F135="","",2*F135+w_conv*$D$15/v_conv)</f>
        <v/>
      </c>
      <c r="M135" s="34" t="str">
        <f aca="false">IF(G135="","",2*G135+w_conv*$D$16/v_conv)</f>
        <v/>
      </c>
      <c r="N135" s="34" t="str">
        <f aca="false">IF(H135="","",2*H135+w_conv*$D$17/v_conv)</f>
        <v/>
      </c>
      <c r="O135" s="34" t="str">
        <f aca="false">IF(A135&gt;NL_b,"",MIN(I135:N135))</f>
        <v/>
      </c>
      <c r="P135" s="34" t="str">
        <f aca="false">IF(O135="","",INDEX(C135:H135,MATCH(O135,I135:N135,0)))</f>
        <v/>
      </c>
      <c r="Q135" s="34" t="str">
        <f aca="false">IF(O135="","",INDEX($D$12:$D$17,MATCH(O135,I135:N135,0)))</f>
        <v/>
      </c>
    </row>
    <row r="136" customFormat="false" ht="15" hidden="false" customHeight="true" outlineLevel="0" collapsed="false">
      <c r="A136" s="54" t="n">
        <v>116</v>
      </c>
      <c r="B136" s="34" t="n">
        <f aca="false">(A136-0.5)*u_w</f>
        <v>115.5</v>
      </c>
      <c r="C136" s="34" t="str">
        <f aca="false">IF(OR(A136&gt;NL_b,$B$12=""),"",IF((ABS(B136-$B$12)+lane_off)&lt;=0,0,IF((ABS(B136-$B$12)+lane_off)&gt;=v_sh^2/a_sh,(ABS(B136-$B$12)+lane_off)/v_sh+v_sh/a_sh,2*SQRT((ABS(B136-$B$12)+lane_off)/a_sh))))</f>
        <v/>
      </c>
      <c r="D136" s="34" t="str">
        <f aca="false">IF(OR(A136&gt;NL_b,$B$13=""),"",IF((ABS(B136-$B$13)+lane_off)&lt;=0,0,IF((ABS(B136-$B$13)+lane_off)&gt;=v_sh^2/a_sh,(ABS(B136-$B$13)+lane_off)/v_sh+v_sh/a_sh,2*SQRT((ABS(B136-$B$13)+lane_off)/a_sh))))</f>
        <v/>
      </c>
      <c r="E136" s="34" t="str">
        <f aca="false">IF(OR(A136&gt;NL_b,$B$14=""),"",IF((ABS(B136-$B$14)+lane_off)&lt;=0,0,IF((ABS(B136-$B$14)+lane_off)&gt;=v_sh^2/a_sh,(ABS(B136-$B$14)+lane_off)/v_sh+v_sh/a_sh,2*SQRT((ABS(B136-$B$14)+lane_off)/a_sh))))</f>
        <v/>
      </c>
      <c r="F136" s="34" t="str">
        <f aca="false">IF(OR(A136&gt;NL_b,$B$15=""),"",IF((ABS(B136-$B$15)+lane_off)&lt;=0,0,IF((ABS(B136-$B$15)+lane_off)&gt;=v_sh^2/a_sh,(ABS(B136-$B$15)+lane_off)/v_sh+v_sh/a_sh,2*SQRT((ABS(B136-$B$15)+lane_off)/a_sh))))</f>
        <v/>
      </c>
      <c r="G136" s="34" t="str">
        <f aca="false">IF(OR(A136&gt;NL_b,$B$16=""),"",IF((ABS(B136-$B$16)+lane_off)&lt;=0,0,IF((ABS(B136-$B$16)+lane_off)&gt;=v_sh^2/a_sh,(ABS(B136-$B$16)+lane_off)/v_sh+v_sh/a_sh,2*SQRT((ABS(B136-$B$16)+lane_off)/a_sh))))</f>
        <v/>
      </c>
      <c r="H136" s="34" t="str">
        <f aca="false">IF(OR(A136&gt;NL_b,$B$17=""),"",IF((ABS(B136-$B$17)+lane_off)&lt;=0,0,IF((ABS(B136-$B$17)+lane_off)&gt;=v_sh^2/a_sh,(ABS(B136-$B$17)+lane_off)/v_sh+v_sh/a_sh,2*SQRT((ABS(B136-$B$17)+lane_off)/a_sh))))</f>
        <v/>
      </c>
      <c r="I136" s="34" t="str">
        <f aca="false">IF(C136="","",2*C136+w_conv*$D$12/v_conv)</f>
        <v/>
      </c>
      <c r="J136" s="34" t="str">
        <f aca="false">IF(D136="","",2*D136+w_conv*$D$13/v_conv)</f>
        <v/>
      </c>
      <c r="K136" s="34" t="str">
        <f aca="false">IF(E136="","",2*E136+w_conv*$D$14/v_conv)</f>
        <v/>
      </c>
      <c r="L136" s="34" t="str">
        <f aca="false">IF(F136="","",2*F136+w_conv*$D$15/v_conv)</f>
        <v/>
      </c>
      <c r="M136" s="34" t="str">
        <f aca="false">IF(G136="","",2*G136+w_conv*$D$16/v_conv)</f>
        <v/>
      </c>
      <c r="N136" s="34" t="str">
        <f aca="false">IF(H136="","",2*H136+w_conv*$D$17/v_conv)</f>
        <v/>
      </c>
      <c r="O136" s="34" t="str">
        <f aca="false">IF(A136&gt;NL_b,"",MIN(I136:N136))</f>
        <v/>
      </c>
      <c r="P136" s="34" t="str">
        <f aca="false">IF(O136="","",INDEX(C136:H136,MATCH(O136,I136:N136,0)))</f>
        <v/>
      </c>
      <c r="Q136" s="34" t="str">
        <f aca="false">IF(O136="","",INDEX($D$12:$D$17,MATCH(O136,I136:N136,0)))</f>
        <v/>
      </c>
    </row>
    <row r="137" customFormat="false" ht="15" hidden="false" customHeight="true" outlineLevel="0" collapsed="false">
      <c r="A137" s="54" t="n">
        <v>117</v>
      </c>
      <c r="B137" s="34" t="n">
        <f aca="false">(A137-0.5)*u_w</f>
        <v>116.5</v>
      </c>
      <c r="C137" s="34" t="str">
        <f aca="false">IF(OR(A137&gt;NL_b,$B$12=""),"",IF((ABS(B137-$B$12)+lane_off)&lt;=0,0,IF((ABS(B137-$B$12)+lane_off)&gt;=v_sh^2/a_sh,(ABS(B137-$B$12)+lane_off)/v_sh+v_sh/a_sh,2*SQRT((ABS(B137-$B$12)+lane_off)/a_sh))))</f>
        <v/>
      </c>
      <c r="D137" s="34" t="str">
        <f aca="false">IF(OR(A137&gt;NL_b,$B$13=""),"",IF((ABS(B137-$B$13)+lane_off)&lt;=0,0,IF((ABS(B137-$B$13)+lane_off)&gt;=v_sh^2/a_sh,(ABS(B137-$B$13)+lane_off)/v_sh+v_sh/a_sh,2*SQRT((ABS(B137-$B$13)+lane_off)/a_sh))))</f>
        <v/>
      </c>
      <c r="E137" s="34" t="str">
        <f aca="false">IF(OR(A137&gt;NL_b,$B$14=""),"",IF((ABS(B137-$B$14)+lane_off)&lt;=0,0,IF((ABS(B137-$B$14)+lane_off)&gt;=v_sh^2/a_sh,(ABS(B137-$B$14)+lane_off)/v_sh+v_sh/a_sh,2*SQRT((ABS(B137-$B$14)+lane_off)/a_sh))))</f>
        <v/>
      </c>
      <c r="F137" s="34" t="str">
        <f aca="false">IF(OR(A137&gt;NL_b,$B$15=""),"",IF((ABS(B137-$B$15)+lane_off)&lt;=0,0,IF((ABS(B137-$B$15)+lane_off)&gt;=v_sh^2/a_sh,(ABS(B137-$B$15)+lane_off)/v_sh+v_sh/a_sh,2*SQRT((ABS(B137-$B$15)+lane_off)/a_sh))))</f>
        <v/>
      </c>
      <c r="G137" s="34" t="str">
        <f aca="false">IF(OR(A137&gt;NL_b,$B$16=""),"",IF((ABS(B137-$B$16)+lane_off)&lt;=0,0,IF((ABS(B137-$B$16)+lane_off)&gt;=v_sh^2/a_sh,(ABS(B137-$B$16)+lane_off)/v_sh+v_sh/a_sh,2*SQRT((ABS(B137-$B$16)+lane_off)/a_sh))))</f>
        <v/>
      </c>
      <c r="H137" s="34" t="str">
        <f aca="false">IF(OR(A137&gt;NL_b,$B$17=""),"",IF((ABS(B137-$B$17)+lane_off)&lt;=0,0,IF((ABS(B137-$B$17)+lane_off)&gt;=v_sh^2/a_sh,(ABS(B137-$B$17)+lane_off)/v_sh+v_sh/a_sh,2*SQRT((ABS(B137-$B$17)+lane_off)/a_sh))))</f>
        <v/>
      </c>
      <c r="I137" s="34" t="str">
        <f aca="false">IF(C137="","",2*C137+w_conv*$D$12/v_conv)</f>
        <v/>
      </c>
      <c r="J137" s="34" t="str">
        <f aca="false">IF(D137="","",2*D137+w_conv*$D$13/v_conv)</f>
        <v/>
      </c>
      <c r="K137" s="34" t="str">
        <f aca="false">IF(E137="","",2*E137+w_conv*$D$14/v_conv)</f>
        <v/>
      </c>
      <c r="L137" s="34" t="str">
        <f aca="false">IF(F137="","",2*F137+w_conv*$D$15/v_conv)</f>
        <v/>
      </c>
      <c r="M137" s="34" t="str">
        <f aca="false">IF(G137="","",2*G137+w_conv*$D$16/v_conv)</f>
        <v/>
      </c>
      <c r="N137" s="34" t="str">
        <f aca="false">IF(H137="","",2*H137+w_conv*$D$17/v_conv)</f>
        <v/>
      </c>
      <c r="O137" s="34" t="str">
        <f aca="false">IF(A137&gt;NL_b,"",MIN(I137:N137))</f>
        <v/>
      </c>
      <c r="P137" s="34" t="str">
        <f aca="false">IF(O137="","",INDEX(C137:H137,MATCH(O137,I137:N137,0)))</f>
        <v/>
      </c>
      <c r="Q137" s="34" t="str">
        <f aca="false">IF(O137="","",INDEX($D$12:$D$17,MATCH(O137,I137:N137,0)))</f>
        <v/>
      </c>
    </row>
    <row r="138" customFormat="false" ht="15" hidden="false" customHeight="true" outlineLevel="0" collapsed="false">
      <c r="A138" s="54" t="n">
        <v>118</v>
      </c>
      <c r="B138" s="34" t="n">
        <f aca="false">(A138-0.5)*u_w</f>
        <v>117.5</v>
      </c>
      <c r="C138" s="34" t="str">
        <f aca="false">IF(OR(A138&gt;NL_b,$B$12=""),"",IF((ABS(B138-$B$12)+lane_off)&lt;=0,0,IF((ABS(B138-$B$12)+lane_off)&gt;=v_sh^2/a_sh,(ABS(B138-$B$12)+lane_off)/v_sh+v_sh/a_sh,2*SQRT((ABS(B138-$B$12)+lane_off)/a_sh))))</f>
        <v/>
      </c>
      <c r="D138" s="34" t="str">
        <f aca="false">IF(OR(A138&gt;NL_b,$B$13=""),"",IF((ABS(B138-$B$13)+lane_off)&lt;=0,0,IF((ABS(B138-$B$13)+lane_off)&gt;=v_sh^2/a_sh,(ABS(B138-$B$13)+lane_off)/v_sh+v_sh/a_sh,2*SQRT((ABS(B138-$B$13)+lane_off)/a_sh))))</f>
        <v/>
      </c>
      <c r="E138" s="34" t="str">
        <f aca="false">IF(OR(A138&gt;NL_b,$B$14=""),"",IF((ABS(B138-$B$14)+lane_off)&lt;=0,0,IF((ABS(B138-$B$14)+lane_off)&gt;=v_sh^2/a_sh,(ABS(B138-$B$14)+lane_off)/v_sh+v_sh/a_sh,2*SQRT((ABS(B138-$B$14)+lane_off)/a_sh))))</f>
        <v/>
      </c>
      <c r="F138" s="34" t="str">
        <f aca="false">IF(OR(A138&gt;NL_b,$B$15=""),"",IF((ABS(B138-$B$15)+lane_off)&lt;=0,0,IF((ABS(B138-$B$15)+lane_off)&gt;=v_sh^2/a_sh,(ABS(B138-$B$15)+lane_off)/v_sh+v_sh/a_sh,2*SQRT((ABS(B138-$B$15)+lane_off)/a_sh))))</f>
        <v/>
      </c>
      <c r="G138" s="34" t="str">
        <f aca="false">IF(OR(A138&gt;NL_b,$B$16=""),"",IF((ABS(B138-$B$16)+lane_off)&lt;=0,0,IF((ABS(B138-$B$16)+lane_off)&gt;=v_sh^2/a_sh,(ABS(B138-$B$16)+lane_off)/v_sh+v_sh/a_sh,2*SQRT((ABS(B138-$B$16)+lane_off)/a_sh))))</f>
        <v/>
      </c>
      <c r="H138" s="34" t="str">
        <f aca="false">IF(OR(A138&gt;NL_b,$B$17=""),"",IF((ABS(B138-$B$17)+lane_off)&lt;=0,0,IF((ABS(B138-$B$17)+lane_off)&gt;=v_sh^2/a_sh,(ABS(B138-$B$17)+lane_off)/v_sh+v_sh/a_sh,2*SQRT((ABS(B138-$B$17)+lane_off)/a_sh))))</f>
        <v/>
      </c>
      <c r="I138" s="34" t="str">
        <f aca="false">IF(C138="","",2*C138+w_conv*$D$12/v_conv)</f>
        <v/>
      </c>
      <c r="J138" s="34" t="str">
        <f aca="false">IF(D138="","",2*D138+w_conv*$D$13/v_conv)</f>
        <v/>
      </c>
      <c r="K138" s="34" t="str">
        <f aca="false">IF(E138="","",2*E138+w_conv*$D$14/v_conv)</f>
        <v/>
      </c>
      <c r="L138" s="34" t="str">
        <f aca="false">IF(F138="","",2*F138+w_conv*$D$15/v_conv)</f>
        <v/>
      </c>
      <c r="M138" s="34" t="str">
        <f aca="false">IF(G138="","",2*G138+w_conv*$D$16/v_conv)</f>
        <v/>
      </c>
      <c r="N138" s="34" t="str">
        <f aca="false">IF(H138="","",2*H138+w_conv*$D$17/v_conv)</f>
        <v/>
      </c>
      <c r="O138" s="34" t="str">
        <f aca="false">IF(A138&gt;NL_b,"",MIN(I138:N138))</f>
        <v/>
      </c>
      <c r="P138" s="34" t="str">
        <f aca="false">IF(O138="","",INDEX(C138:H138,MATCH(O138,I138:N138,0)))</f>
        <v/>
      </c>
      <c r="Q138" s="34" t="str">
        <f aca="false">IF(O138="","",INDEX($D$12:$D$17,MATCH(O138,I138:N138,0)))</f>
        <v/>
      </c>
    </row>
    <row r="139" customFormat="false" ht="15" hidden="false" customHeight="true" outlineLevel="0" collapsed="false">
      <c r="A139" s="54" t="n">
        <v>119</v>
      </c>
      <c r="B139" s="34" t="n">
        <f aca="false">(A139-0.5)*u_w</f>
        <v>118.5</v>
      </c>
      <c r="C139" s="34" t="str">
        <f aca="false">IF(OR(A139&gt;NL_b,$B$12=""),"",IF((ABS(B139-$B$12)+lane_off)&lt;=0,0,IF((ABS(B139-$B$12)+lane_off)&gt;=v_sh^2/a_sh,(ABS(B139-$B$12)+lane_off)/v_sh+v_sh/a_sh,2*SQRT((ABS(B139-$B$12)+lane_off)/a_sh))))</f>
        <v/>
      </c>
      <c r="D139" s="34" t="str">
        <f aca="false">IF(OR(A139&gt;NL_b,$B$13=""),"",IF((ABS(B139-$B$13)+lane_off)&lt;=0,0,IF((ABS(B139-$B$13)+lane_off)&gt;=v_sh^2/a_sh,(ABS(B139-$B$13)+lane_off)/v_sh+v_sh/a_sh,2*SQRT((ABS(B139-$B$13)+lane_off)/a_sh))))</f>
        <v/>
      </c>
      <c r="E139" s="34" t="str">
        <f aca="false">IF(OR(A139&gt;NL_b,$B$14=""),"",IF((ABS(B139-$B$14)+lane_off)&lt;=0,0,IF((ABS(B139-$B$14)+lane_off)&gt;=v_sh^2/a_sh,(ABS(B139-$B$14)+lane_off)/v_sh+v_sh/a_sh,2*SQRT((ABS(B139-$B$14)+lane_off)/a_sh))))</f>
        <v/>
      </c>
      <c r="F139" s="34" t="str">
        <f aca="false">IF(OR(A139&gt;NL_b,$B$15=""),"",IF((ABS(B139-$B$15)+lane_off)&lt;=0,0,IF((ABS(B139-$B$15)+lane_off)&gt;=v_sh^2/a_sh,(ABS(B139-$B$15)+lane_off)/v_sh+v_sh/a_sh,2*SQRT((ABS(B139-$B$15)+lane_off)/a_sh))))</f>
        <v/>
      </c>
      <c r="G139" s="34" t="str">
        <f aca="false">IF(OR(A139&gt;NL_b,$B$16=""),"",IF((ABS(B139-$B$16)+lane_off)&lt;=0,0,IF((ABS(B139-$B$16)+lane_off)&gt;=v_sh^2/a_sh,(ABS(B139-$B$16)+lane_off)/v_sh+v_sh/a_sh,2*SQRT((ABS(B139-$B$16)+lane_off)/a_sh))))</f>
        <v/>
      </c>
      <c r="H139" s="34" t="str">
        <f aca="false">IF(OR(A139&gt;NL_b,$B$17=""),"",IF((ABS(B139-$B$17)+lane_off)&lt;=0,0,IF((ABS(B139-$B$17)+lane_off)&gt;=v_sh^2/a_sh,(ABS(B139-$B$17)+lane_off)/v_sh+v_sh/a_sh,2*SQRT((ABS(B139-$B$17)+lane_off)/a_sh))))</f>
        <v/>
      </c>
      <c r="I139" s="34" t="str">
        <f aca="false">IF(C139="","",2*C139+w_conv*$D$12/v_conv)</f>
        <v/>
      </c>
      <c r="J139" s="34" t="str">
        <f aca="false">IF(D139="","",2*D139+w_conv*$D$13/v_conv)</f>
        <v/>
      </c>
      <c r="K139" s="34" t="str">
        <f aca="false">IF(E139="","",2*E139+w_conv*$D$14/v_conv)</f>
        <v/>
      </c>
      <c r="L139" s="34" t="str">
        <f aca="false">IF(F139="","",2*F139+w_conv*$D$15/v_conv)</f>
        <v/>
      </c>
      <c r="M139" s="34" t="str">
        <f aca="false">IF(G139="","",2*G139+w_conv*$D$16/v_conv)</f>
        <v/>
      </c>
      <c r="N139" s="34" t="str">
        <f aca="false">IF(H139="","",2*H139+w_conv*$D$17/v_conv)</f>
        <v/>
      </c>
      <c r="O139" s="34" t="str">
        <f aca="false">IF(A139&gt;NL_b,"",MIN(I139:N139))</f>
        <v/>
      </c>
      <c r="P139" s="34" t="str">
        <f aca="false">IF(O139="","",INDEX(C139:H139,MATCH(O139,I139:N139,0)))</f>
        <v/>
      </c>
      <c r="Q139" s="34" t="str">
        <f aca="false">IF(O139="","",INDEX($D$12:$D$17,MATCH(O139,I139:N139,0)))</f>
        <v/>
      </c>
    </row>
    <row r="140" customFormat="false" ht="15" hidden="false" customHeight="true" outlineLevel="0" collapsed="false">
      <c r="A140" s="54" t="n">
        <v>120</v>
      </c>
      <c r="B140" s="34" t="n">
        <f aca="false">(A140-0.5)*u_w</f>
        <v>119.5</v>
      </c>
      <c r="C140" s="34" t="str">
        <f aca="false">IF(OR(A140&gt;NL_b,$B$12=""),"",IF((ABS(B140-$B$12)+lane_off)&lt;=0,0,IF((ABS(B140-$B$12)+lane_off)&gt;=v_sh^2/a_sh,(ABS(B140-$B$12)+lane_off)/v_sh+v_sh/a_sh,2*SQRT((ABS(B140-$B$12)+lane_off)/a_sh))))</f>
        <v/>
      </c>
      <c r="D140" s="34" t="str">
        <f aca="false">IF(OR(A140&gt;NL_b,$B$13=""),"",IF((ABS(B140-$B$13)+lane_off)&lt;=0,0,IF((ABS(B140-$B$13)+lane_off)&gt;=v_sh^2/a_sh,(ABS(B140-$B$13)+lane_off)/v_sh+v_sh/a_sh,2*SQRT((ABS(B140-$B$13)+lane_off)/a_sh))))</f>
        <v/>
      </c>
      <c r="E140" s="34" t="str">
        <f aca="false">IF(OR(A140&gt;NL_b,$B$14=""),"",IF((ABS(B140-$B$14)+lane_off)&lt;=0,0,IF((ABS(B140-$B$14)+lane_off)&gt;=v_sh^2/a_sh,(ABS(B140-$B$14)+lane_off)/v_sh+v_sh/a_sh,2*SQRT((ABS(B140-$B$14)+lane_off)/a_sh))))</f>
        <v/>
      </c>
      <c r="F140" s="34" t="str">
        <f aca="false">IF(OR(A140&gt;NL_b,$B$15=""),"",IF((ABS(B140-$B$15)+lane_off)&lt;=0,0,IF((ABS(B140-$B$15)+lane_off)&gt;=v_sh^2/a_sh,(ABS(B140-$B$15)+lane_off)/v_sh+v_sh/a_sh,2*SQRT((ABS(B140-$B$15)+lane_off)/a_sh))))</f>
        <v/>
      </c>
      <c r="G140" s="34" t="str">
        <f aca="false">IF(OR(A140&gt;NL_b,$B$16=""),"",IF((ABS(B140-$B$16)+lane_off)&lt;=0,0,IF((ABS(B140-$B$16)+lane_off)&gt;=v_sh^2/a_sh,(ABS(B140-$B$16)+lane_off)/v_sh+v_sh/a_sh,2*SQRT((ABS(B140-$B$16)+lane_off)/a_sh))))</f>
        <v/>
      </c>
      <c r="H140" s="34" t="str">
        <f aca="false">IF(OR(A140&gt;NL_b,$B$17=""),"",IF((ABS(B140-$B$17)+lane_off)&lt;=0,0,IF((ABS(B140-$B$17)+lane_off)&gt;=v_sh^2/a_sh,(ABS(B140-$B$17)+lane_off)/v_sh+v_sh/a_sh,2*SQRT((ABS(B140-$B$17)+lane_off)/a_sh))))</f>
        <v/>
      </c>
      <c r="I140" s="34" t="str">
        <f aca="false">IF(C140="","",2*C140+w_conv*$D$12/v_conv)</f>
        <v/>
      </c>
      <c r="J140" s="34" t="str">
        <f aca="false">IF(D140="","",2*D140+w_conv*$D$13/v_conv)</f>
        <v/>
      </c>
      <c r="K140" s="34" t="str">
        <f aca="false">IF(E140="","",2*E140+w_conv*$D$14/v_conv)</f>
        <v/>
      </c>
      <c r="L140" s="34" t="str">
        <f aca="false">IF(F140="","",2*F140+w_conv*$D$15/v_conv)</f>
        <v/>
      </c>
      <c r="M140" s="34" t="str">
        <f aca="false">IF(G140="","",2*G140+w_conv*$D$16/v_conv)</f>
        <v/>
      </c>
      <c r="N140" s="34" t="str">
        <f aca="false">IF(H140="","",2*H140+w_conv*$D$17/v_conv)</f>
        <v/>
      </c>
      <c r="O140" s="34" t="str">
        <f aca="false">IF(A140&gt;NL_b,"",MIN(I140:N140))</f>
        <v/>
      </c>
      <c r="P140" s="34" t="str">
        <f aca="false">IF(O140="","",INDEX(C140:H140,MATCH(O140,I140:N140,0)))</f>
        <v/>
      </c>
      <c r="Q140" s="34" t="str">
        <f aca="false">IF(O140="","",INDEX($D$12:$D$17,MATCH(O140,I140:N140,0)))</f>
        <v/>
      </c>
    </row>
    <row r="141" customFormat="false" ht="15" hidden="false" customHeight="true" outlineLevel="0" collapsed="false">
      <c r="A141" s="54" t="n">
        <v>121</v>
      </c>
      <c r="B141" s="34" t="n">
        <f aca="false">(A141-0.5)*u_w</f>
        <v>120.5</v>
      </c>
      <c r="C141" s="34" t="str">
        <f aca="false">IF(OR(A141&gt;NL_b,$B$12=""),"",IF((ABS(B141-$B$12)+lane_off)&lt;=0,0,IF((ABS(B141-$B$12)+lane_off)&gt;=v_sh^2/a_sh,(ABS(B141-$B$12)+lane_off)/v_sh+v_sh/a_sh,2*SQRT((ABS(B141-$B$12)+lane_off)/a_sh))))</f>
        <v/>
      </c>
      <c r="D141" s="34" t="str">
        <f aca="false">IF(OR(A141&gt;NL_b,$B$13=""),"",IF((ABS(B141-$B$13)+lane_off)&lt;=0,0,IF((ABS(B141-$B$13)+lane_off)&gt;=v_sh^2/a_sh,(ABS(B141-$B$13)+lane_off)/v_sh+v_sh/a_sh,2*SQRT((ABS(B141-$B$13)+lane_off)/a_sh))))</f>
        <v/>
      </c>
      <c r="E141" s="34" t="str">
        <f aca="false">IF(OR(A141&gt;NL_b,$B$14=""),"",IF((ABS(B141-$B$14)+lane_off)&lt;=0,0,IF((ABS(B141-$B$14)+lane_off)&gt;=v_sh^2/a_sh,(ABS(B141-$B$14)+lane_off)/v_sh+v_sh/a_sh,2*SQRT((ABS(B141-$B$14)+lane_off)/a_sh))))</f>
        <v/>
      </c>
      <c r="F141" s="34" t="str">
        <f aca="false">IF(OR(A141&gt;NL_b,$B$15=""),"",IF((ABS(B141-$B$15)+lane_off)&lt;=0,0,IF((ABS(B141-$B$15)+lane_off)&gt;=v_sh^2/a_sh,(ABS(B141-$B$15)+lane_off)/v_sh+v_sh/a_sh,2*SQRT((ABS(B141-$B$15)+lane_off)/a_sh))))</f>
        <v/>
      </c>
      <c r="G141" s="34" t="str">
        <f aca="false">IF(OR(A141&gt;NL_b,$B$16=""),"",IF((ABS(B141-$B$16)+lane_off)&lt;=0,0,IF((ABS(B141-$B$16)+lane_off)&gt;=v_sh^2/a_sh,(ABS(B141-$B$16)+lane_off)/v_sh+v_sh/a_sh,2*SQRT((ABS(B141-$B$16)+lane_off)/a_sh))))</f>
        <v/>
      </c>
      <c r="H141" s="34" t="str">
        <f aca="false">IF(OR(A141&gt;NL_b,$B$17=""),"",IF((ABS(B141-$B$17)+lane_off)&lt;=0,0,IF((ABS(B141-$B$17)+lane_off)&gt;=v_sh^2/a_sh,(ABS(B141-$B$17)+lane_off)/v_sh+v_sh/a_sh,2*SQRT((ABS(B141-$B$17)+lane_off)/a_sh))))</f>
        <v/>
      </c>
      <c r="I141" s="34" t="str">
        <f aca="false">IF(C141="","",2*C141+w_conv*$D$12/v_conv)</f>
        <v/>
      </c>
      <c r="J141" s="34" t="str">
        <f aca="false">IF(D141="","",2*D141+w_conv*$D$13/v_conv)</f>
        <v/>
      </c>
      <c r="K141" s="34" t="str">
        <f aca="false">IF(E141="","",2*E141+w_conv*$D$14/v_conv)</f>
        <v/>
      </c>
      <c r="L141" s="34" t="str">
        <f aca="false">IF(F141="","",2*F141+w_conv*$D$15/v_conv)</f>
        <v/>
      </c>
      <c r="M141" s="34" t="str">
        <f aca="false">IF(G141="","",2*G141+w_conv*$D$16/v_conv)</f>
        <v/>
      </c>
      <c r="N141" s="34" t="str">
        <f aca="false">IF(H141="","",2*H141+w_conv*$D$17/v_conv)</f>
        <v/>
      </c>
      <c r="O141" s="34" t="str">
        <f aca="false">IF(A141&gt;NL_b,"",MIN(I141:N141))</f>
        <v/>
      </c>
      <c r="P141" s="34" t="str">
        <f aca="false">IF(O141="","",INDEX(C141:H141,MATCH(O141,I141:N141,0)))</f>
        <v/>
      </c>
      <c r="Q141" s="34" t="str">
        <f aca="false">IF(O141="","",INDEX($D$12:$D$17,MATCH(O141,I141:N141,0)))</f>
        <v/>
      </c>
    </row>
    <row r="142" customFormat="false" ht="15" hidden="false" customHeight="true" outlineLevel="0" collapsed="false">
      <c r="A142" s="54" t="n">
        <v>122</v>
      </c>
      <c r="B142" s="34" t="n">
        <f aca="false">(A142-0.5)*u_w</f>
        <v>121.5</v>
      </c>
      <c r="C142" s="34" t="str">
        <f aca="false">IF(OR(A142&gt;NL_b,$B$12=""),"",IF((ABS(B142-$B$12)+lane_off)&lt;=0,0,IF((ABS(B142-$B$12)+lane_off)&gt;=v_sh^2/a_sh,(ABS(B142-$B$12)+lane_off)/v_sh+v_sh/a_sh,2*SQRT((ABS(B142-$B$12)+lane_off)/a_sh))))</f>
        <v/>
      </c>
      <c r="D142" s="34" t="str">
        <f aca="false">IF(OR(A142&gt;NL_b,$B$13=""),"",IF((ABS(B142-$B$13)+lane_off)&lt;=0,0,IF((ABS(B142-$B$13)+lane_off)&gt;=v_sh^2/a_sh,(ABS(B142-$B$13)+lane_off)/v_sh+v_sh/a_sh,2*SQRT((ABS(B142-$B$13)+lane_off)/a_sh))))</f>
        <v/>
      </c>
      <c r="E142" s="34" t="str">
        <f aca="false">IF(OR(A142&gt;NL_b,$B$14=""),"",IF((ABS(B142-$B$14)+lane_off)&lt;=0,0,IF((ABS(B142-$B$14)+lane_off)&gt;=v_sh^2/a_sh,(ABS(B142-$B$14)+lane_off)/v_sh+v_sh/a_sh,2*SQRT((ABS(B142-$B$14)+lane_off)/a_sh))))</f>
        <v/>
      </c>
      <c r="F142" s="34" t="str">
        <f aca="false">IF(OR(A142&gt;NL_b,$B$15=""),"",IF((ABS(B142-$B$15)+lane_off)&lt;=0,0,IF((ABS(B142-$B$15)+lane_off)&gt;=v_sh^2/a_sh,(ABS(B142-$B$15)+lane_off)/v_sh+v_sh/a_sh,2*SQRT((ABS(B142-$B$15)+lane_off)/a_sh))))</f>
        <v/>
      </c>
      <c r="G142" s="34" t="str">
        <f aca="false">IF(OR(A142&gt;NL_b,$B$16=""),"",IF((ABS(B142-$B$16)+lane_off)&lt;=0,0,IF((ABS(B142-$B$16)+lane_off)&gt;=v_sh^2/a_sh,(ABS(B142-$B$16)+lane_off)/v_sh+v_sh/a_sh,2*SQRT((ABS(B142-$B$16)+lane_off)/a_sh))))</f>
        <v/>
      </c>
      <c r="H142" s="34" t="str">
        <f aca="false">IF(OR(A142&gt;NL_b,$B$17=""),"",IF((ABS(B142-$B$17)+lane_off)&lt;=0,0,IF((ABS(B142-$B$17)+lane_off)&gt;=v_sh^2/a_sh,(ABS(B142-$B$17)+lane_off)/v_sh+v_sh/a_sh,2*SQRT((ABS(B142-$B$17)+lane_off)/a_sh))))</f>
        <v/>
      </c>
      <c r="I142" s="34" t="str">
        <f aca="false">IF(C142="","",2*C142+w_conv*$D$12/v_conv)</f>
        <v/>
      </c>
      <c r="J142" s="34" t="str">
        <f aca="false">IF(D142="","",2*D142+w_conv*$D$13/v_conv)</f>
        <v/>
      </c>
      <c r="K142" s="34" t="str">
        <f aca="false">IF(E142="","",2*E142+w_conv*$D$14/v_conv)</f>
        <v/>
      </c>
      <c r="L142" s="34" t="str">
        <f aca="false">IF(F142="","",2*F142+w_conv*$D$15/v_conv)</f>
        <v/>
      </c>
      <c r="M142" s="34" t="str">
        <f aca="false">IF(G142="","",2*G142+w_conv*$D$16/v_conv)</f>
        <v/>
      </c>
      <c r="N142" s="34" t="str">
        <f aca="false">IF(H142="","",2*H142+w_conv*$D$17/v_conv)</f>
        <v/>
      </c>
      <c r="O142" s="34" t="str">
        <f aca="false">IF(A142&gt;NL_b,"",MIN(I142:N142))</f>
        <v/>
      </c>
      <c r="P142" s="34" t="str">
        <f aca="false">IF(O142="","",INDEX(C142:H142,MATCH(O142,I142:N142,0)))</f>
        <v/>
      </c>
      <c r="Q142" s="34" t="str">
        <f aca="false">IF(O142="","",INDEX($D$12:$D$17,MATCH(O142,I142:N142,0)))</f>
        <v/>
      </c>
    </row>
    <row r="143" customFormat="false" ht="15" hidden="false" customHeight="true" outlineLevel="0" collapsed="false">
      <c r="A143" s="54" t="n">
        <v>123</v>
      </c>
      <c r="B143" s="34" t="n">
        <f aca="false">(A143-0.5)*u_w</f>
        <v>122.5</v>
      </c>
      <c r="C143" s="34" t="str">
        <f aca="false">IF(OR(A143&gt;NL_b,$B$12=""),"",IF((ABS(B143-$B$12)+lane_off)&lt;=0,0,IF((ABS(B143-$B$12)+lane_off)&gt;=v_sh^2/a_sh,(ABS(B143-$B$12)+lane_off)/v_sh+v_sh/a_sh,2*SQRT((ABS(B143-$B$12)+lane_off)/a_sh))))</f>
        <v/>
      </c>
      <c r="D143" s="34" t="str">
        <f aca="false">IF(OR(A143&gt;NL_b,$B$13=""),"",IF((ABS(B143-$B$13)+lane_off)&lt;=0,0,IF((ABS(B143-$B$13)+lane_off)&gt;=v_sh^2/a_sh,(ABS(B143-$B$13)+lane_off)/v_sh+v_sh/a_sh,2*SQRT((ABS(B143-$B$13)+lane_off)/a_sh))))</f>
        <v/>
      </c>
      <c r="E143" s="34" t="str">
        <f aca="false">IF(OR(A143&gt;NL_b,$B$14=""),"",IF((ABS(B143-$B$14)+lane_off)&lt;=0,0,IF((ABS(B143-$B$14)+lane_off)&gt;=v_sh^2/a_sh,(ABS(B143-$B$14)+lane_off)/v_sh+v_sh/a_sh,2*SQRT((ABS(B143-$B$14)+lane_off)/a_sh))))</f>
        <v/>
      </c>
      <c r="F143" s="34" t="str">
        <f aca="false">IF(OR(A143&gt;NL_b,$B$15=""),"",IF((ABS(B143-$B$15)+lane_off)&lt;=0,0,IF((ABS(B143-$B$15)+lane_off)&gt;=v_sh^2/a_sh,(ABS(B143-$B$15)+lane_off)/v_sh+v_sh/a_sh,2*SQRT((ABS(B143-$B$15)+lane_off)/a_sh))))</f>
        <v/>
      </c>
      <c r="G143" s="34" t="str">
        <f aca="false">IF(OR(A143&gt;NL_b,$B$16=""),"",IF((ABS(B143-$B$16)+lane_off)&lt;=0,0,IF((ABS(B143-$B$16)+lane_off)&gt;=v_sh^2/a_sh,(ABS(B143-$B$16)+lane_off)/v_sh+v_sh/a_sh,2*SQRT((ABS(B143-$B$16)+lane_off)/a_sh))))</f>
        <v/>
      </c>
      <c r="H143" s="34" t="str">
        <f aca="false">IF(OR(A143&gt;NL_b,$B$17=""),"",IF((ABS(B143-$B$17)+lane_off)&lt;=0,0,IF((ABS(B143-$B$17)+lane_off)&gt;=v_sh^2/a_sh,(ABS(B143-$B$17)+lane_off)/v_sh+v_sh/a_sh,2*SQRT((ABS(B143-$B$17)+lane_off)/a_sh))))</f>
        <v/>
      </c>
      <c r="I143" s="34" t="str">
        <f aca="false">IF(C143="","",2*C143+w_conv*$D$12/v_conv)</f>
        <v/>
      </c>
      <c r="J143" s="34" t="str">
        <f aca="false">IF(D143="","",2*D143+w_conv*$D$13/v_conv)</f>
        <v/>
      </c>
      <c r="K143" s="34" t="str">
        <f aca="false">IF(E143="","",2*E143+w_conv*$D$14/v_conv)</f>
        <v/>
      </c>
      <c r="L143" s="34" t="str">
        <f aca="false">IF(F143="","",2*F143+w_conv*$D$15/v_conv)</f>
        <v/>
      </c>
      <c r="M143" s="34" t="str">
        <f aca="false">IF(G143="","",2*G143+w_conv*$D$16/v_conv)</f>
        <v/>
      </c>
      <c r="N143" s="34" t="str">
        <f aca="false">IF(H143="","",2*H143+w_conv*$D$17/v_conv)</f>
        <v/>
      </c>
      <c r="O143" s="34" t="str">
        <f aca="false">IF(A143&gt;NL_b,"",MIN(I143:N143))</f>
        <v/>
      </c>
      <c r="P143" s="34" t="str">
        <f aca="false">IF(O143="","",INDEX(C143:H143,MATCH(O143,I143:N143,0)))</f>
        <v/>
      </c>
      <c r="Q143" s="34" t="str">
        <f aca="false">IF(O143="","",INDEX($D$12:$D$17,MATCH(O143,I143:N143,0)))</f>
        <v/>
      </c>
    </row>
    <row r="144" customFormat="false" ht="15" hidden="false" customHeight="true" outlineLevel="0" collapsed="false">
      <c r="A144" s="54" t="n">
        <v>124</v>
      </c>
      <c r="B144" s="34" t="n">
        <f aca="false">(A144-0.5)*u_w</f>
        <v>123.5</v>
      </c>
      <c r="C144" s="34" t="str">
        <f aca="false">IF(OR(A144&gt;NL_b,$B$12=""),"",IF((ABS(B144-$B$12)+lane_off)&lt;=0,0,IF((ABS(B144-$B$12)+lane_off)&gt;=v_sh^2/a_sh,(ABS(B144-$B$12)+lane_off)/v_sh+v_sh/a_sh,2*SQRT((ABS(B144-$B$12)+lane_off)/a_sh))))</f>
        <v/>
      </c>
      <c r="D144" s="34" t="str">
        <f aca="false">IF(OR(A144&gt;NL_b,$B$13=""),"",IF((ABS(B144-$B$13)+lane_off)&lt;=0,0,IF((ABS(B144-$B$13)+lane_off)&gt;=v_sh^2/a_sh,(ABS(B144-$B$13)+lane_off)/v_sh+v_sh/a_sh,2*SQRT((ABS(B144-$B$13)+lane_off)/a_sh))))</f>
        <v/>
      </c>
      <c r="E144" s="34" t="str">
        <f aca="false">IF(OR(A144&gt;NL_b,$B$14=""),"",IF((ABS(B144-$B$14)+lane_off)&lt;=0,0,IF((ABS(B144-$B$14)+lane_off)&gt;=v_sh^2/a_sh,(ABS(B144-$B$14)+lane_off)/v_sh+v_sh/a_sh,2*SQRT((ABS(B144-$B$14)+lane_off)/a_sh))))</f>
        <v/>
      </c>
      <c r="F144" s="34" t="str">
        <f aca="false">IF(OR(A144&gt;NL_b,$B$15=""),"",IF((ABS(B144-$B$15)+lane_off)&lt;=0,0,IF((ABS(B144-$B$15)+lane_off)&gt;=v_sh^2/a_sh,(ABS(B144-$B$15)+lane_off)/v_sh+v_sh/a_sh,2*SQRT((ABS(B144-$B$15)+lane_off)/a_sh))))</f>
        <v/>
      </c>
      <c r="G144" s="34" t="str">
        <f aca="false">IF(OR(A144&gt;NL_b,$B$16=""),"",IF((ABS(B144-$B$16)+lane_off)&lt;=0,0,IF((ABS(B144-$B$16)+lane_off)&gt;=v_sh^2/a_sh,(ABS(B144-$B$16)+lane_off)/v_sh+v_sh/a_sh,2*SQRT((ABS(B144-$B$16)+lane_off)/a_sh))))</f>
        <v/>
      </c>
      <c r="H144" s="34" t="str">
        <f aca="false">IF(OR(A144&gt;NL_b,$B$17=""),"",IF((ABS(B144-$B$17)+lane_off)&lt;=0,0,IF((ABS(B144-$B$17)+lane_off)&gt;=v_sh^2/a_sh,(ABS(B144-$B$17)+lane_off)/v_sh+v_sh/a_sh,2*SQRT((ABS(B144-$B$17)+lane_off)/a_sh))))</f>
        <v/>
      </c>
      <c r="I144" s="34" t="str">
        <f aca="false">IF(C144="","",2*C144+w_conv*$D$12/v_conv)</f>
        <v/>
      </c>
      <c r="J144" s="34" t="str">
        <f aca="false">IF(D144="","",2*D144+w_conv*$D$13/v_conv)</f>
        <v/>
      </c>
      <c r="K144" s="34" t="str">
        <f aca="false">IF(E144="","",2*E144+w_conv*$D$14/v_conv)</f>
        <v/>
      </c>
      <c r="L144" s="34" t="str">
        <f aca="false">IF(F144="","",2*F144+w_conv*$D$15/v_conv)</f>
        <v/>
      </c>
      <c r="M144" s="34" t="str">
        <f aca="false">IF(G144="","",2*G144+w_conv*$D$16/v_conv)</f>
        <v/>
      </c>
      <c r="N144" s="34" t="str">
        <f aca="false">IF(H144="","",2*H144+w_conv*$D$17/v_conv)</f>
        <v/>
      </c>
      <c r="O144" s="34" t="str">
        <f aca="false">IF(A144&gt;NL_b,"",MIN(I144:N144))</f>
        <v/>
      </c>
      <c r="P144" s="34" t="str">
        <f aca="false">IF(O144="","",INDEX(C144:H144,MATCH(O144,I144:N144,0)))</f>
        <v/>
      </c>
      <c r="Q144" s="34" t="str">
        <f aca="false">IF(O144="","",INDEX($D$12:$D$17,MATCH(O144,I144:N144,0)))</f>
        <v/>
      </c>
    </row>
    <row r="145" customFormat="false" ht="15" hidden="false" customHeight="true" outlineLevel="0" collapsed="false">
      <c r="A145" s="54" t="n">
        <v>125</v>
      </c>
      <c r="B145" s="34" t="n">
        <f aca="false">(A145-0.5)*u_w</f>
        <v>124.5</v>
      </c>
      <c r="C145" s="34" t="str">
        <f aca="false">IF(OR(A145&gt;NL_b,$B$12=""),"",IF((ABS(B145-$B$12)+lane_off)&lt;=0,0,IF((ABS(B145-$B$12)+lane_off)&gt;=v_sh^2/a_sh,(ABS(B145-$B$12)+lane_off)/v_sh+v_sh/a_sh,2*SQRT((ABS(B145-$B$12)+lane_off)/a_sh))))</f>
        <v/>
      </c>
      <c r="D145" s="34" t="str">
        <f aca="false">IF(OR(A145&gt;NL_b,$B$13=""),"",IF((ABS(B145-$B$13)+lane_off)&lt;=0,0,IF((ABS(B145-$B$13)+lane_off)&gt;=v_sh^2/a_sh,(ABS(B145-$B$13)+lane_off)/v_sh+v_sh/a_sh,2*SQRT((ABS(B145-$B$13)+lane_off)/a_sh))))</f>
        <v/>
      </c>
      <c r="E145" s="34" t="str">
        <f aca="false">IF(OR(A145&gt;NL_b,$B$14=""),"",IF((ABS(B145-$B$14)+lane_off)&lt;=0,0,IF((ABS(B145-$B$14)+lane_off)&gt;=v_sh^2/a_sh,(ABS(B145-$B$14)+lane_off)/v_sh+v_sh/a_sh,2*SQRT((ABS(B145-$B$14)+lane_off)/a_sh))))</f>
        <v/>
      </c>
      <c r="F145" s="34" t="str">
        <f aca="false">IF(OR(A145&gt;NL_b,$B$15=""),"",IF((ABS(B145-$B$15)+lane_off)&lt;=0,0,IF((ABS(B145-$B$15)+lane_off)&gt;=v_sh^2/a_sh,(ABS(B145-$B$15)+lane_off)/v_sh+v_sh/a_sh,2*SQRT((ABS(B145-$B$15)+lane_off)/a_sh))))</f>
        <v/>
      </c>
      <c r="G145" s="34" t="str">
        <f aca="false">IF(OR(A145&gt;NL_b,$B$16=""),"",IF((ABS(B145-$B$16)+lane_off)&lt;=0,0,IF((ABS(B145-$B$16)+lane_off)&gt;=v_sh^2/a_sh,(ABS(B145-$B$16)+lane_off)/v_sh+v_sh/a_sh,2*SQRT((ABS(B145-$B$16)+lane_off)/a_sh))))</f>
        <v/>
      </c>
      <c r="H145" s="34" t="str">
        <f aca="false">IF(OR(A145&gt;NL_b,$B$17=""),"",IF((ABS(B145-$B$17)+lane_off)&lt;=0,0,IF((ABS(B145-$B$17)+lane_off)&gt;=v_sh^2/a_sh,(ABS(B145-$B$17)+lane_off)/v_sh+v_sh/a_sh,2*SQRT((ABS(B145-$B$17)+lane_off)/a_sh))))</f>
        <v/>
      </c>
      <c r="I145" s="34" t="str">
        <f aca="false">IF(C145="","",2*C145+w_conv*$D$12/v_conv)</f>
        <v/>
      </c>
      <c r="J145" s="34" t="str">
        <f aca="false">IF(D145="","",2*D145+w_conv*$D$13/v_conv)</f>
        <v/>
      </c>
      <c r="K145" s="34" t="str">
        <f aca="false">IF(E145="","",2*E145+w_conv*$D$14/v_conv)</f>
        <v/>
      </c>
      <c r="L145" s="34" t="str">
        <f aca="false">IF(F145="","",2*F145+w_conv*$D$15/v_conv)</f>
        <v/>
      </c>
      <c r="M145" s="34" t="str">
        <f aca="false">IF(G145="","",2*G145+w_conv*$D$16/v_conv)</f>
        <v/>
      </c>
      <c r="N145" s="34" t="str">
        <f aca="false">IF(H145="","",2*H145+w_conv*$D$17/v_conv)</f>
        <v/>
      </c>
      <c r="O145" s="34" t="str">
        <f aca="false">IF(A145&gt;NL_b,"",MIN(I145:N145))</f>
        <v/>
      </c>
      <c r="P145" s="34" t="str">
        <f aca="false">IF(O145="","",INDEX(C145:H145,MATCH(O145,I145:N145,0)))</f>
        <v/>
      </c>
      <c r="Q145" s="34" t="str">
        <f aca="false">IF(O145="","",INDEX($D$12:$D$17,MATCH(O145,I145:N145,0)))</f>
        <v/>
      </c>
    </row>
    <row r="146" customFormat="false" ht="15" hidden="false" customHeight="true" outlineLevel="0" collapsed="false">
      <c r="A146" s="54" t="n">
        <v>126</v>
      </c>
      <c r="B146" s="34" t="n">
        <f aca="false">(A146-0.5)*u_w</f>
        <v>125.5</v>
      </c>
      <c r="C146" s="34" t="str">
        <f aca="false">IF(OR(A146&gt;NL_b,$B$12=""),"",IF((ABS(B146-$B$12)+lane_off)&lt;=0,0,IF((ABS(B146-$B$12)+lane_off)&gt;=v_sh^2/a_sh,(ABS(B146-$B$12)+lane_off)/v_sh+v_sh/a_sh,2*SQRT((ABS(B146-$B$12)+lane_off)/a_sh))))</f>
        <v/>
      </c>
      <c r="D146" s="34" t="str">
        <f aca="false">IF(OR(A146&gt;NL_b,$B$13=""),"",IF((ABS(B146-$B$13)+lane_off)&lt;=0,0,IF((ABS(B146-$B$13)+lane_off)&gt;=v_sh^2/a_sh,(ABS(B146-$B$13)+lane_off)/v_sh+v_sh/a_sh,2*SQRT((ABS(B146-$B$13)+lane_off)/a_sh))))</f>
        <v/>
      </c>
      <c r="E146" s="34" t="str">
        <f aca="false">IF(OR(A146&gt;NL_b,$B$14=""),"",IF((ABS(B146-$B$14)+lane_off)&lt;=0,0,IF((ABS(B146-$B$14)+lane_off)&gt;=v_sh^2/a_sh,(ABS(B146-$B$14)+lane_off)/v_sh+v_sh/a_sh,2*SQRT((ABS(B146-$B$14)+lane_off)/a_sh))))</f>
        <v/>
      </c>
      <c r="F146" s="34" t="str">
        <f aca="false">IF(OR(A146&gt;NL_b,$B$15=""),"",IF((ABS(B146-$B$15)+lane_off)&lt;=0,0,IF((ABS(B146-$B$15)+lane_off)&gt;=v_sh^2/a_sh,(ABS(B146-$B$15)+lane_off)/v_sh+v_sh/a_sh,2*SQRT((ABS(B146-$B$15)+lane_off)/a_sh))))</f>
        <v/>
      </c>
      <c r="G146" s="34" t="str">
        <f aca="false">IF(OR(A146&gt;NL_b,$B$16=""),"",IF((ABS(B146-$B$16)+lane_off)&lt;=0,0,IF((ABS(B146-$B$16)+lane_off)&gt;=v_sh^2/a_sh,(ABS(B146-$B$16)+lane_off)/v_sh+v_sh/a_sh,2*SQRT((ABS(B146-$B$16)+lane_off)/a_sh))))</f>
        <v/>
      </c>
      <c r="H146" s="34" t="str">
        <f aca="false">IF(OR(A146&gt;NL_b,$B$17=""),"",IF((ABS(B146-$B$17)+lane_off)&lt;=0,0,IF((ABS(B146-$B$17)+lane_off)&gt;=v_sh^2/a_sh,(ABS(B146-$B$17)+lane_off)/v_sh+v_sh/a_sh,2*SQRT((ABS(B146-$B$17)+lane_off)/a_sh))))</f>
        <v/>
      </c>
      <c r="I146" s="34" t="str">
        <f aca="false">IF(C146="","",2*C146+w_conv*$D$12/v_conv)</f>
        <v/>
      </c>
      <c r="J146" s="34" t="str">
        <f aca="false">IF(D146="","",2*D146+w_conv*$D$13/v_conv)</f>
        <v/>
      </c>
      <c r="K146" s="34" t="str">
        <f aca="false">IF(E146="","",2*E146+w_conv*$D$14/v_conv)</f>
        <v/>
      </c>
      <c r="L146" s="34" t="str">
        <f aca="false">IF(F146="","",2*F146+w_conv*$D$15/v_conv)</f>
        <v/>
      </c>
      <c r="M146" s="34" t="str">
        <f aca="false">IF(G146="","",2*G146+w_conv*$D$16/v_conv)</f>
        <v/>
      </c>
      <c r="N146" s="34" t="str">
        <f aca="false">IF(H146="","",2*H146+w_conv*$D$17/v_conv)</f>
        <v/>
      </c>
      <c r="O146" s="34" t="str">
        <f aca="false">IF(A146&gt;NL_b,"",MIN(I146:N146))</f>
        <v/>
      </c>
      <c r="P146" s="34" t="str">
        <f aca="false">IF(O146="","",INDEX(C146:H146,MATCH(O146,I146:N146,0)))</f>
        <v/>
      </c>
      <c r="Q146" s="34" t="str">
        <f aca="false">IF(O146="","",INDEX($D$12:$D$17,MATCH(O146,I146:N146,0)))</f>
        <v/>
      </c>
    </row>
    <row r="147" customFormat="false" ht="15" hidden="false" customHeight="true" outlineLevel="0" collapsed="false">
      <c r="A147" s="54" t="n">
        <v>127</v>
      </c>
      <c r="B147" s="34" t="n">
        <f aca="false">(A147-0.5)*u_w</f>
        <v>126.5</v>
      </c>
      <c r="C147" s="34" t="str">
        <f aca="false">IF(OR(A147&gt;NL_b,$B$12=""),"",IF((ABS(B147-$B$12)+lane_off)&lt;=0,0,IF((ABS(B147-$B$12)+lane_off)&gt;=v_sh^2/a_sh,(ABS(B147-$B$12)+lane_off)/v_sh+v_sh/a_sh,2*SQRT((ABS(B147-$B$12)+lane_off)/a_sh))))</f>
        <v/>
      </c>
      <c r="D147" s="34" t="str">
        <f aca="false">IF(OR(A147&gt;NL_b,$B$13=""),"",IF((ABS(B147-$B$13)+lane_off)&lt;=0,0,IF((ABS(B147-$B$13)+lane_off)&gt;=v_sh^2/a_sh,(ABS(B147-$B$13)+lane_off)/v_sh+v_sh/a_sh,2*SQRT((ABS(B147-$B$13)+lane_off)/a_sh))))</f>
        <v/>
      </c>
      <c r="E147" s="34" t="str">
        <f aca="false">IF(OR(A147&gt;NL_b,$B$14=""),"",IF((ABS(B147-$B$14)+lane_off)&lt;=0,0,IF((ABS(B147-$B$14)+lane_off)&gt;=v_sh^2/a_sh,(ABS(B147-$B$14)+lane_off)/v_sh+v_sh/a_sh,2*SQRT((ABS(B147-$B$14)+lane_off)/a_sh))))</f>
        <v/>
      </c>
      <c r="F147" s="34" t="str">
        <f aca="false">IF(OR(A147&gt;NL_b,$B$15=""),"",IF((ABS(B147-$B$15)+lane_off)&lt;=0,0,IF((ABS(B147-$B$15)+lane_off)&gt;=v_sh^2/a_sh,(ABS(B147-$B$15)+lane_off)/v_sh+v_sh/a_sh,2*SQRT((ABS(B147-$B$15)+lane_off)/a_sh))))</f>
        <v/>
      </c>
      <c r="G147" s="34" t="str">
        <f aca="false">IF(OR(A147&gt;NL_b,$B$16=""),"",IF((ABS(B147-$B$16)+lane_off)&lt;=0,0,IF((ABS(B147-$B$16)+lane_off)&gt;=v_sh^2/a_sh,(ABS(B147-$B$16)+lane_off)/v_sh+v_sh/a_sh,2*SQRT((ABS(B147-$B$16)+lane_off)/a_sh))))</f>
        <v/>
      </c>
      <c r="H147" s="34" t="str">
        <f aca="false">IF(OR(A147&gt;NL_b,$B$17=""),"",IF((ABS(B147-$B$17)+lane_off)&lt;=0,0,IF((ABS(B147-$B$17)+lane_off)&gt;=v_sh^2/a_sh,(ABS(B147-$B$17)+lane_off)/v_sh+v_sh/a_sh,2*SQRT((ABS(B147-$B$17)+lane_off)/a_sh))))</f>
        <v/>
      </c>
      <c r="I147" s="34" t="str">
        <f aca="false">IF(C147="","",2*C147+w_conv*$D$12/v_conv)</f>
        <v/>
      </c>
      <c r="J147" s="34" t="str">
        <f aca="false">IF(D147="","",2*D147+w_conv*$D$13/v_conv)</f>
        <v/>
      </c>
      <c r="K147" s="34" t="str">
        <f aca="false">IF(E147="","",2*E147+w_conv*$D$14/v_conv)</f>
        <v/>
      </c>
      <c r="L147" s="34" t="str">
        <f aca="false">IF(F147="","",2*F147+w_conv*$D$15/v_conv)</f>
        <v/>
      </c>
      <c r="M147" s="34" t="str">
        <f aca="false">IF(G147="","",2*G147+w_conv*$D$16/v_conv)</f>
        <v/>
      </c>
      <c r="N147" s="34" t="str">
        <f aca="false">IF(H147="","",2*H147+w_conv*$D$17/v_conv)</f>
        <v/>
      </c>
      <c r="O147" s="34" t="str">
        <f aca="false">IF(A147&gt;NL_b,"",MIN(I147:N147))</f>
        <v/>
      </c>
      <c r="P147" s="34" t="str">
        <f aca="false">IF(O147="","",INDEX(C147:H147,MATCH(O147,I147:N147,0)))</f>
        <v/>
      </c>
      <c r="Q147" s="34" t="str">
        <f aca="false">IF(O147="","",INDEX($D$12:$D$17,MATCH(O147,I147:N147,0)))</f>
        <v/>
      </c>
    </row>
    <row r="148" customFormat="false" ht="15" hidden="false" customHeight="true" outlineLevel="0" collapsed="false">
      <c r="A148" s="54" t="n">
        <v>128</v>
      </c>
      <c r="B148" s="34" t="n">
        <f aca="false">(A148-0.5)*u_w</f>
        <v>127.5</v>
      </c>
      <c r="C148" s="34" t="str">
        <f aca="false">IF(OR(A148&gt;NL_b,$B$12=""),"",IF((ABS(B148-$B$12)+lane_off)&lt;=0,0,IF((ABS(B148-$B$12)+lane_off)&gt;=v_sh^2/a_sh,(ABS(B148-$B$12)+lane_off)/v_sh+v_sh/a_sh,2*SQRT((ABS(B148-$B$12)+lane_off)/a_sh))))</f>
        <v/>
      </c>
      <c r="D148" s="34" t="str">
        <f aca="false">IF(OR(A148&gt;NL_b,$B$13=""),"",IF((ABS(B148-$B$13)+lane_off)&lt;=0,0,IF((ABS(B148-$B$13)+lane_off)&gt;=v_sh^2/a_sh,(ABS(B148-$B$13)+lane_off)/v_sh+v_sh/a_sh,2*SQRT((ABS(B148-$B$13)+lane_off)/a_sh))))</f>
        <v/>
      </c>
      <c r="E148" s="34" t="str">
        <f aca="false">IF(OR(A148&gt;NL_b,$B$14=""),"",IF((ABS(B148-$B$14)+lane_off)&lt;=0,0,IF((ABS(B148-$B$14)+lane_off)&gt;=v_sh^2/a_sh,(ABS(B148-$B$14)+lane_off)/v_sh+v_sh/a_sh,2*SQRT((ABS(B148-$B$14)+lane_off)/a_sh))))</f>
        <v/>
      </c>
      <c r="F148" s="34" t="str">
        <f aca="false">IF(OR(A148&gt;NL_b,$B$15=""),"",IF((ABS(B148-$B$15)+lane_off)&lt;=0,0,IF((ABS(B148-$B$15)+lane_off)&gt;=v_sh^2/a_sh,(ABS(B148-$B$15)+lane_off)/v_sh+v_sh/a_sh,2*SQRT((ABS(B148-$B$15)+lane_off)/a_sh))))</f>
        <v/>
      </c>
      <c r="G148" s="34" t="str">
        <f aca="false">IF(OR(A148&gt;NL_b,$B$16=""),"",IF((ABS(B148-$B$16)+lane_off)&lt;=0,0,IF((ABS(B148-$B$16)+lane_off)&gt;=v_sh^2/a_sh,(ABS(B148-$B$16)+lane_off)/v_sh+v_sh/a_sh,2*SQRT((ABS(B148-$B$16)+lane_off)/a_sh))))</f>
        <v/>
      </c>
      <c r="H148" s="34" t="str">
        <f aca="false">IF(OR(A148&gt;NL_b,$B$17=""),"",IF((ABS(B148-$B$17)+lane_off)&lt;=0,0,IF((ABS(B148-$B$17)+lane_off)&gt;=v_sh^2/a_sh,(ABS(B148-$B$17)+lane_off)/v_sh+v_sh/a_sh,2*SQRT((ABS(B148-$B$17)+lane_off)/a_sh))))</f>
        <v/>
      </c>
      <c r="I148" s="34" t="str">
        <f aca="false">IF(C148="","",2*C148+w_conv*$D$12/v_conv)</f>
        <v/>
      </c>
      <c r="J148" s="34" t="str">
        <f aca="false">IF(D148="","",2*D148+w_conv*$D$13/v_conv)</f>
        <v/>
      </c>
      <c r="K148" s="34" t="str">
        <f aca="false">IF(E148="","",2*E148+w_conv*$D$14/v_conv)</f>
        <v/>
      </c>
      <c r="L148" s="34" t="str">
        <f aca="false">IF(F148="","",2*F148+w_conv*$D$15/v_conv)</f>
        <v/>
      </c>
      <c r="M148" s="34" t="str">
        <f aca="false">IF(G148="","",2*G148+w_conv*$D$16/v_conv)</f>
        <v/>
      </c>
      <c r="N148" s="34" t="str">
        <f aca="false">IF(H148="","",2*H148+w_conv*$D$17/v_conv)</f>
        <v/>
      </c>
      <c r="O148" s="34" t="str">
        <f aca="false">IF(A148&gt;NL_b,"",MIN(I148:N148))</f>
        <v/>
      </c>
      <c r="P148" s="34" t="str">
        <f aca="false">IF(O148="","",INDEX(C148:H148,MATCH(O148,I148:N148,0)))</f>
        <v/>
      </c>
      <c r="Q148" s="34" t="str">
        <f aca="false">IF(O148="","",INDEX($D$12:$D$17,MATCH(O148,I148:N148,0)))</f>
        <v/>
      </c>
    </row>
    <row r="149" customFormat="false" ht="15" hidden="false" customHeight="true" outlineLevel="0" collapsed="false">
      <c r="A149" s="54" t="n">
        <v>129</v>
      </c>
      <c r="B149" s="34" t="n">
        <f aca="false">(A149-0.5)*u_w</f>
        <v>128.5</v>
      </c>
      <c r="C149" s="34" t="str">
        <f aca="false">IF(OR(A149&gt;NL_b,$B$12=""),"",IF((ABS(B149-$B$12)+lane_off)&lt;=0,0,IF((ABS(B149-$B$12)+lane_off)&gt;=v_sh^2/a_sh,(ABS(B149-$B$12)+lane_off)/v_sh+v_sh/a_sh,2*SQRT((ABS(B149-$B$12)+lane_off)/a_sh))))</f>
        <v/>
      </c>
      <c r="D149" s="34" t="str">
        <f aca="false">IF(OR(A149&gt;NL_b,$B$13=""),"",IF((ABS(B149-$B$13)+lane_off)&lt;=0,0,IF((ABS(B149-$B$13)+lane_off)&gt;=v_sh^2/a_sh,(ABS(B149-$B$13)+lane_off)/v_sh+v_sh/a_sh,2*SQRT((ABS(B149-$B$13)+lane_off)/a_sh))))</f>
        <v/>
      </c>
      <c r="E149" s="34" t="str">
        <f aca="false">IF(OR(A149&gt;NL_b,$B$14=""),"",IF((ABS(B149-$B$14)+lane_off)&lt;=0,0,IF((ABS(B149-$B$14)+lane_off)&gt;=v_sh^2/a_sh,(ABS(B149-$B$14)+lane_off)/v_sh+v_sh/a_sh,2*SQRT((ABS(B149-$B$14)+lane_off)/a_sh))))</f>
        <v/>
      </c>
      <c r="F149" s="34" t="str">
        <f aca="false">IF(OR(A149&gt;NL_b,$B$15=""),"",IF((ABS(B149-$B$15)+lane_off)&lt;=0,0,IF((ABS(B149-$B$15)+lane_off)&gt;=v_sh^2/a_sh,(ABS(B149-$B$15)+lane_off)/v_sh+v_sh/a_sh,2*SQRT((ABS(B149-$B$15)+lane_off)/a_sh))))</f>
        <v/>
      </c>
      <c r="G149" s="34" t="str">
        <f aca="false">IF(OR(A149&gt;NL_b,$B$16=""),"",IF((ABS(B149-$B$16)+lane_off)&lt;=0,0,IF((ABS(B149-$B$16)+lane_off)&gt;=v_sh^2/a_sh,(ABS(B149-$B$16)+lane_off)/v_sh+v_sh/a_sh,2*SQRT((ABS(B149-$B$16)+lane_off)/a_sh))))</f>
        <v/>
      </c>
      <c r="H149" s="34" t="str">
        <f aca="false">IF(OR(A149&gt;NL_b,$B$17=""),"",IF((ABS(B149-$B$17)+lane_off)&lt;=0,0,IF((ABS(B149-$B$17)+lane_off)&gt;=v_sh^2/a_sh,(ABS(B149-$B$17)+lane_off)/v_sh+v_sh/a_sh,2*SQRT((ABS(B149-$B$17)+lane_off)/a_sh))))</f>
        <v/>
      </c>
      <c r="I149" s="34" t="str">
        <f aca="false">IF(C149="","",2*C149+w_conv*$D$12/v_conv)</f>
        <v/>
      </c>
      <c r="J149" s="34" t="str">
        <f aca="false">IF(D149="","",2*D149+w_conv*$D$13/v_conv)</f>
        <v/>
      </c>
      <c r="K149" s="34" t="str">
        <f aca="false">IF(E149="","",2*E149+w_conv*$D$14/v_conv)</f>
        <v/>
      </c>
      <c r="L149" s="34" t="str">
        <f aca="false">IF(F149="","",2*F149+w_conv*$D$15/v_conv)</f>
        <v/>
      </c>
      <c r="M149" s="34" t="str">
        <f aca="false">IF(G149="","",2*G149+w_conv*$D$16/v_conv)</f>
        <v/>
      </c>
      <c r="N149" s="34" t="str">
        <f aca="false">IF(H149="","",2*H149+w_conv*$D$17/v_conv)</f>
        <v/>
      </c>
      <c r="O149" s="34" t="str">
        <f aca="false">IF(A149&gt;NL_b,"",MIN(I149:N149))</f>
        <v/>
      </c>
      <c r="P149" s="34" t="str">
        <f aca="false">IF(O149="","",INDEX(C149:H149,MATCH(O149,I149:N149,0)))</f>
        <v/>
      </c>
      <c r="Q149" s="34" t="str">
        <f aca="false">IF(O149="","",INDEX($D$12:$D$17,MATCH(O149,I149:N149,0)))</f>
        <v/>
      </c>
    </row>
    <row r="150" customFormat="false" ht="15" hidden="false" customHeight="true" outlineLevel="0" collapsed="false">
      <c r="A150" s="54" t="n">
        <v>130</v>
      </c>
      <c r="B150" s="34" t="n">
        <f aca="false">(A150-0.5)*u_w</f>
        <v>129.5</v>
      </c>
      <c r="C150" s="34" t="str">
        <f aca="false">IF(OR(A150&gt;NL_b,$B$12=""),"",IF((ABS(B150-$B$12)+lane_off)&lt;=0,0,IF((ABS(B150-$B$12)+lane_off)&gt;=v_sh^2/a_sh,(ABS(B150-$B$12)+lane_off)/v_sh+v_sh/a_sh,2*SQRT((ABS(B150-$B$12)+lane_off)/a_sh))))</f>
        <v/>
      </c>
      <c r="D150" s="34" t="str">
        <f aca="false">IF(OR(A150&gt;NL_b,$B$13=""),"",IF((ABS(B150-$B$13)+lane_off)&lt;=0,0,IF((ABS(B150-$B$13)+lane_off)&gt;=v_sh^2/a_sh,(ABS(B150-$B$13)+lane_off)/v_sh+v_sh/a_sh,2*SQRT((ABS(B150-$B$13)+lane_off)/a_sh))))</f>
        <v/>
      </c>
      <c r="E150" s="34" t="str">
        <f aca="false">IF(OR(A150&gt;NL_b,$B$14=""),"",IF((ABS(B150-$B$14)+lane_off)&lt;=0,0,IF((ABS(B150-$B$14)+lane_off)&gt;=v_sh^2/a_sh,(ABS(B150-$B$14)+lane_off)/v_sh+v_sh/a_sh,2*SQRT((ABS(B150-$B$14)+lane_off)/a_sh))))</f>
        <v/>
      </c>
      <c r="F150" s="34" t="str">
        <f aca="false">IF(OR(A150&gt;NL_b,$B$15=""),"",IF((ABS(B150-$B$15)+lane_off)&lt;=0,0,IF((ABS(B150-$B$15)+lane_off)&gt;=v_sh^2/a_sh,(ABS(B150-$B$15)+lane_off)/v_sh+v_sh/a_sh,2*SQRT((ABS(B150-$B$15)+lane_off)/a_sh))))</f>
        <v/>
      </c>
      <c r="G150" s="34" t="str">
        <f aca="false">IF(OR(A150&gt;NL_b,$B$16=""),"",IF((ABS(B150-$B$16)+lane_off)&lt;=0,0,IF((ABS(B150-$B$16)+lane_off)&gt;=v_sh^2/a_sh,(ABS(B150-$B$16)+lane_off)/v_sh+v_sh/a_sh,2*SQRT((ABS(B150-$B$16)+lane_off)/a_sh))))</f>
        <v/>
      </c>
      <c r="H150" s="34" t="str">
        <f aca="false">IF(OR(A150&gt;NL_b,$B$17=""),"",IF((ABS(B150-$B$17)+lane_off)&lt;=0,0,IF((ABS(B150-$B$17)+lane_off)&gt;=v_sh^2/a_sh,(ABS(B150-$B$17)+lane_off)/v_sh+v_sh/a_sh,2*SQRT((ABS(B150-$B$17)+lane_off)/a_sh))))</f>
        <v/>
      </c>
      <c r="I150" s="34" t="str">
        <f aca="false">IF(C150="","",2*C150+w_conv*$D$12/v_conv)</f>
        <v/>
      </c>
      <c r="J150" s="34" t="str">
        <f aca="false">IF(D150="","",2*D150+w_conv*$D$13/v_conv)</f>
        <v/>
      </c>
      <c r="K150" s="34" t="str">
        <f aca="false">IF(E150="","",2*E150+w_conv*$D$14/v_conv)</f>
        <v/>
      </c>
      <c r="L150" s="34" t="str">
        <f aca="false">IF(F150="","",2*F150+w_conv*$D$15/v_conv)</f>
        <v/>
      </c>
      <c r="M150" s="34" t="str">
        <f aca="false">IF(G150="","",2*G150+w_conv*$D$16/v_conv)</f>
        <v/>
      </c>
      <c r="N150" s="34" t="str">
        <f aca="false">IF(H150="","",2*H150+w_conv*$D$17/v_conv)</f>
        <v/>
      </c>
      <c r="O150" s="34" t="str">
        <f aca="false">IF(A150&gt;NL_b,"",MIN(I150:N150))</f>
        <v/>
      </c>
      <c r="P150" s="34" t="str">
        <f aca="false">IF(O150="","",INDEX(C150:H150,MATCH(O150,I150:N150,0)))</f>
        <v/>
      </c>
      <c r="Q150" s="34" t="str">
        <f aca="false">IF(O150="","",INDEX($D$12:$D$17,MATCH(O150,I150:N150,0)))</f>
        <v/>
      </c>
    </row>
    <row r="151" customFormat="false" ht="15" hidden="false" customHeight="true" outlineLevel="0" collapsed="false">
      <c r="A151" s="54" t="n">
        <v>131</v>
      </c>
      <c r="B151" s="34" t="n">
        <f aca="false">(A151-0.5)*u_w</f>
        <v>130.5</v>
      </c>
      <c r="C151" s="34" t="str">
        <f aca="false">IF(OR(A151&gt;NL_b,$B$12=""),"",IF((ABS(B151-$B$12)+lane_off)&lt;=0,0,IF((ABS(B151-$B$12)+lane_off)&gt;=v_sh^2/a_sh,(ABS(B151-$B$12)+lane_off)/v_sh+v_sh/a_sh,2*SQRT((ABS(B151-$B$12)+lane_off)/a_sh))))</f>
        <v/>
      </c>
      <c r="D151" s="34" t="str">
        <f aca="false">IF(OR(A151&gt;NL_b,$B$13=""),"",IF((ABS(B151-$B$13)+lane_off)&lt;=0,0,IF((ABS(B151-$B$13)+lane_off)&gt;=v_sh^2/a_sh,(ABS(B151-$B$13)+lane_off)/v_sh+v_sh/a_sh,2*SQRT((ABS(B151-$B$13)+lane_off)/a_sh))))</f>
        <v/>
      </c>
      <c r="E151" s="34" t="str">
        <f aca="false">IF(OR(A151&gt;NL_b,$B$14=""),"",IF((ABS(B151-$B$14)+lane_off)&lt;=0,0,IF((ABS(B151-$B$14)+lane_off)&gt;=v_sh^2/a_sh,(ABS(B151-$B$14)+lane_off)/v_sh+v_sh/a_sh,2*SQRT((ABS(B151-$B$14)+lane_off)/a_sh))))</f>
        <v/>
      </c>
      <c r="F151" s="34" t="str">
        <f aca="false">IF(OR(A151&gt;NL_b,$B$15=""),"",IF((ABS(B151-$B$15)+lane_off)&lt;=0,0,IF((ABS(B151-$B$15)+lane_off)&gt;=v_sh^2/a_sh,(ABS(B151-$B$15)+lane_off)/v_sh+v_sh/a_sh,2*SQRT((ABS(B151-$B$15)+lane_off)/a_sh))))</f>
        <v/>
      </c>
      <c r="G151" s="34" t="str">
        <f aca="false">IF(OR(A151&gt;NL_b,$B$16=""),"",IF((ABS(B151-$B$16)+lane_off)&lt;=0,0,IF((ABS(B151-$B$16)+lane_off)&gt;=v_sh^2/a_sh,(ABS(B151-$B$16)+lane_off)/v_sh+v_sh/a_sh,2*SQRT((ABS(B151-$B$16)+lane_off)/a_sh))))</f>
        <v/>
      </c>
      <c r="H151" s="34" t="str">
        <f aca="false">IF(OR(A151&gt;NL_b,$B$17=""),"",IF((ABS(B151-$B$17)+lane_off)&lt;=0,0,IF((ABS(B151-$B$17)+lane_off)&gt;=v_sh^2/a_sh,(ABS(B151-$B$17)+lane_off)/v_sh+v_sh/a_sh,2*SQRT((ABS(B151-$B$17)+lane_off)/a_sh))))</f>
        <v/>
      </c>
      <c r="I151" s="34" t="str">
        <f aca="false">IF(C151="","",2*C151+w_conv*$D$12/v_conv)</f>
        <v/>
      </c>
      <c r="J151" s="34" t="str">
        <f aca="false">IF(D151="","",2*D151+w_conv*$D$13/v_conv)</f>
        <v/>
      </c>
      <c r="K151" s="34" t="str">
        <f aca="false">IF(E151="","",2*E151+w_conv*$D$14/v_conv)</f>
        <v/>
      </c>
      <c r="L151" s="34" t="str">
        <f aca="false">IF(F151="","",2*F151+w_conv*$D$15/v_conv)</f>
        <v/>
      </c>
      <c r="M151" s="34" t="str">
        <f aca="false">IF(G151="","",2*G151+w_conv*$D$16/v_conv)</f>
        <v/>
      </c>
      <c r="N151" s="34" t="str">
        <f aca="false">IF(H151="","",2*H151+w_conv*$D$17/v_conv)</f>
        <v/>
      </c>
      <c r="O151" s="34" t="str">
        <f aca="false">IF(A151&gt;NL_b,"",MIN(I151:N151))</f>
        <v/>
      </c>
      <c r="P151" s="34" t="str">
        <f aca="false">IF(O151="","",INDEX(C151:H151,MATCH(O151,I151:N151,0)))</f>
        <v/>
      </c>
      <c r="Q151" s="34" t="str">
        <f aca="false">IF(O151="","",INDEX($D$12:$D$17,MATCH(O151,I151:N151,0)))</f>
        <v/>
      </c>
    </row>
    <row r="152" customFormat="false" ht="15" hidden="false" customHeight="true" outlineLevel="0" collapsed="false">
      <c r="A152" s="54" t="n">
        <v>132</v>
      </c>
      <c r="B152" s="34" t="n">
        <f aca="false">(A152-0.5)*u_w</f>
        <v>131.5</v>
      </c>
      <c r="C152" s="34" t="str">
        <f aca="false">IF(OR(A152&gt;NL_b,$B$12=""),"",IF((ABS(B152-$B$12)+lane_off)&lt;=0,0,IF((ABS(B152-$B$12)+lane_off)&gt;=v_sh^2/a_sh,(ABS(B152-$B$12)+lane_off)/v_sh+v_sh/a_sh,2*SQRT((ABS(B152-$B$12)+lane_off)/a_sh))))</f>
        <v/>
      </c>
      <c r="D152" s="34" t="str">
        <f aca="false">IF(OR(A152&gt;NL_b,$B$13=""),"",IF((ABS(B152-$B$13)+lane_off)&lt;=0,0,IF((ABS(B152-$B$13)+lane_off)&gt;=v_sh^2/a_sh,(ABS(B152-$B$13)+lane_off)/v_sh+v_sh/a_sh,2*SQRT((ABS(B152-$B$13)+lane_off)/a_sh))))</f>
        <v/>
      </c>
      <c r="E152" s="34" t="str">
        <f aca="false">IF(OR(A152&gt;NL_b,$B$14=""),"",IF((ABS(B152-$B$14)+lane_off)&lt;=0,0,IF((ABS(B152-$B$14)+lane_off)&gt;=v_sh^2/a_sh,(ABS(B152-$B$14)+lane_off)/v_sh+v_sh/a_sh,2*SQRT((ABS(B152-$B$14)+lane_off)/a_sh))))</f>
        <v/>
      </c>
      <c r="F152" s="34" t="str">
        <f aca="false">IF(OR(A152&gt;NL_b,$B$15=""),"",IF((ABS(B152-$B$15)+lane_off)&lt;=0,0,IF((ABS(B152-$B$15)+lane_off)&gt;=v_sh^2/a_sh,(ABS(B152-$B$15)+lane_off)/v_sh+v_sh/a_sh,2*SQRT((ABS(B152-$B$15)+lane_off)/a_sh))))</f>
        <v/>
      </c>
      <c r="G152" s="34" t="str">
        <f aca="false">IF(OR(A152&gt;NL_b,$B$16=""),"",IF((ABS(B152-$B$16)+lane_off)&lt;=0,0,IF((ABS(B152-$B$16)+lane_off)&gt;=v_sh^2/a_sh,(ABS(B152-$B$16)+lane_off)/v_sh+v_sh/a_sh,2*SQRT((ABS(B152-$B$16)+lane_off)/a_sh))))</f>
        <v/>
      </c>
      <c r="H152" s="34" t="str">
        <f aca="false">IF(OR(A152&gt;NL_b,$B$17=""),"",IF((ABS(B152-$B$17)+lane_off)&lt;=0,0,IF((ABS(B152-$B$17)+lane_off)&gt;=v_sh^2/a_sh,(ABS(B152-$B$17)+lane_off)/v_sh+v_sh/a_sh,2*SQRT((ABS(B152-$B$17)+lane_off)/a_sh))))</f>
        <v/>
      </c>
      <c r="I152" s="34" t="str">
        <f aca="false">IF(C152="","",2*C152+w_conv*$D$12/v_conv)</f>
        <v/>
      </c>
      <c r="J152" s="34" t="str">
        <f aca="false">IF(D152="","",2*D152+w_conv*$D$13/v_conv)</f>
        <v/>
      </c>
      <c r="K152" s="34" t="str">
        <f aca="false">IF(E152="","",2*E152+w_conv*$D$14/v_conv)</f>
        <v/>
      </c>
      <c r="L152" s="34" t="str">
        <f aca="false">IF(F152="","",2*F152+w_conv*$D$15/v_conv)</f>
        <v/>
      </c>
      <c r="M152" s="34" t="str">
        <f aca="false">IF(G152="","",2*G152+w_conv*$D$16/v_conv)</f>
        <v/>
      </c>
      <c r="N152" s="34" t="str">
        <f aca="false">IF(H152="","",2*H152+w_conv*$D$17/v_conv)</f>
        <v/>
      </c>
      <c r="O152" s="34" t="str">
        <f aca="false">IF(A152&gt;NL_b,"",MIN(I152:N152))</f>
        <v/>
      </c>
      <c r="P152" s="34" t="str">
        <f aca="false">IF(O152="","",INDEX(C152:H152,MATCH(O152,I152:N152,0)))</f>
        <v/>
      </c>
      <c r="Q152" s="34" t="str">
        <f aca="false">IF(O152="","",INDEX($D$12:$D$17,MATCH(O152,I152:N152,0)))</f>
        <v/>
      </c>
    </row>
    <row r="153" customFormat="false" ht="15" hidden="false" customHeight="true" outlineLevel="0" collapsed="false">
      <c r="A153" s="54" t="n">
        <v>133</v>
      </c>
      <c r="B153" s="34" t="n">
        <f aca="false">(A153-0.5)*u_w</f>
        <v>132.5</v>
      </c>
      <c r="C153" s="34" t="str">
        <f aca="false">IF(OR(A153&gt;NL_b,$B$12=""),"",IF((ABS(B153-$B$12)+lane_off)&lt;=0,0,IF((ABS(B153-$B$12)+lane_off)&gt;=v_sh^2/a_sh,(ABS(B153-$B$12)+lane_off)/v_sh+v_sh/a_sh,2*SQRT((ABS(B153-$B$12)+lane_off)/a_sh))))</f>
        <v/>
      </c>
      <c r="D153" s="34" t="str">
        <f aca="false">IF(OR(A153&gt;NL_b,$B$13=""),"",IF((ABS(B153-$B$13)+lane_off)&lt;=0,0,IF((ABS(B153-$B$13)+lane_off)&gt;=v_sh^2/a_sh,(ABS(B153-$B$13)+lane_off)/v_sh+v_sh/a_sh,2*SQRT((ABS(B153-$B$13)+lane_off)/a_sh))))</f>
        <v/>
      </c>
      <c r="E153" s="34" t="str">
        <f aca="false">IF(OR(A153&gt;NL_b,$B$14=""),"",IF((ABS(B153-$B$14)+lane_off)&lt;=0,0,IF((ABS(B153-$B$14)+lane_off)&gt;=v_sh^2/a_sh,(ABS(B153-$B$14)+lane_off)/v_sh+v_sh/a_sh,2*SQRT((ABS(B153-$B$14)+lane_off)/a_sh))))</f>
        <v/>
      </c>
      <c r="F153" s="34" t="str">
        <f aca="false">IF(OR(A153&gt;NL_b,$B$15=""),"",IF((ABS(B153-$B$15)+lane_off)&lt;=0,0,IF((ABS(B153-$B$15)+lane_off)&gt;=v_sh^2/a_sh,(ABS(B153-$B$15)+lane_off)/v_sh+v_sh/a_sh,2*SQRT((ABS(B153-$B$15)+lane_off)/a_sh))))</f>
        <v/>
      </c>
      <c r="G153" s="34" t="str">
        <f aca="false">IF(OR(A153&gt;NL_b,$B$16=""),"",IF((ABS(B153-$B$16)+lane_off)&lt;=0,0,IF((ABS(B153-$B$16)+lane_off)&gt;=v_sh^2/a_sh,(ABS(B153-$B$16)+lane_off)/v_sh+v_sh/a_sh,2*SQRT((ABS(B153-$B$16)+lane_off)/a_sh))))</f>
        <v/>
      </c>
      <c r="H153" s="34" t="str">
        <f aca="false">IF(OR(A153&gt;NL_b,$B$17=""),"",IF((ABS(B153-$B$17)+lane_off)&lt;=0,0,IF((ABS(B153-$B$17)+lane_off)&gt;=v_sh^2/a_sh,(ABS(B153-$B$17)+lane_off)/v_sh+v_sh/a_sh,2*SQRT((ABS(B153-$B$17)+lane_off)/a_sh))))</f>
        <v/>
      </c>
      <c r="I153" s="34" t="str">
        <f aca="false">IF(C153="","",2*C153+w_conv*$D$12/v_conv)</f>
        <v/>
      </c>
      <c r="J153" s="34" t="str">
        <f aca="false">IF(D153="","",2*D153+w_conv*$D$13/v_conv)</f>
        <v/>
      </c>
      <c r="K153" s="34" t="str">
        <f aca="false">IF(E153="","",2*E153+w_conv*$D$14/v_conv)</f>
        <v/>
      </c>
      <c r="L153" s="34" t="str">
        <f aca="false">IF(F153="","",2*F153+w_conv*$D$15/v_conv)</f>
        <v/>
      </c>
      <c r="M153" s="34" t="str">
        <f aca="false">IF(G153="","",2*G153+w_conv*$D$16/v_conv)</f>
        <v/>
      </c>
      <c r="N153" s="34" t="str">
        <f aca="false">IF(H153="","",2*H153+w_conv*$D$17/v_conv)</f>
        <v/>
      </c>
      <c r="O153" s="34" t="str">
        <f aca="false">IF(A153&gt;NL_b,"",MIN(I153:N153))</f>
        <v/>
      </c>
      <c r="P153" s="34" t="str">
        <f aca="false">IF(O153="","",INDEX(C153:H153,MATCH(O153,I153:N153,0)))</f>
        <v/>
      </c>
      <c r="Q153" s="34" t="str">
        <f aca="false">IF(O153="","",INDEX($D$12:$D$17,MATCH(O153,I153:N153,0)))</f>
        <v/>
      </c>
    </row>
    <row r="154" customFormat="false" ht="15" hidden="false" customHeight="true" outlineLevel="0" collapsed="false">
      <c r="A154" s="54" t="n">
        <v>134</v>
      </c>
      <c r="B154" s="34" t="n">
        <f aca="false">(A154-0.5)*u_w</f>
        <v>133.5</v>
      </c>
      <c r="C154" s="34" t="str">
        <f aca="false">IF(OR(A154&gt;NL_b,$B$12=""),"",IF((ABS(B154-$B$12)+lane_off)&lt;=0,0,IF((ABS(B154-$B$12)+lane_off)&gt;=v_sh^2/a_sh,(ABS(B154-$B$12)+lane_off)/v_sh+v_sh/a_sh,2*SQRT((ABS(B154-$B$12)+lane_off)/a_sh))))</f>
        <v/>
      </c>
      <c r="D154" s="34" t="str">
        <f aca="false">IF(OR(A154&gt;NL_b,$B$13=""),"",IF((ABS(B154-$B$13)+lane_off)&lt;=0,0,IF((ABS(B154-$B$13)+lane_off)&gt;=v_sh^2/a_sh,(ABS(B154-$B$13)+lane_off)/v_sh+v_sh/a_sh,2*SQRT((ABS(B154-$B$13)+lane_off)/a_sh))))</f>
        <v/>
      </c>
      <c r="E154" s="34" t="str">
        <f aca="false">IF(OR(A154&gt;NL_b,$B$14=""),"",IF((ABS(B154-$B$14)+lane_off)&lt;=0,0,IF((ABS(B154-$B$14)+lane_off)&gt;=v_sh^2/a_sh,(ABS(B154-$B$14)+lane_off)/v_sh+v_sh/a_sh,2*SQRT((ABS(B154-$B$14)+lane_off)/a_sh))))</f>
        <v/>
      </c>
      <c r="F154" s="34" t="str">
        <f aca="false">IF(OR(A154&gt;NL_b,$B$15=""),"",IF((ABS(B154-$B$15)+lane_off)&lt;=0,0,IF((ABS(B154-$B$15)+lane_off)&gt;=v_sh^2/a_sh,(ABS(B154-$B$15)+lane_off)/v_sh+v_sh/a_sh,2*SQRT((ABS(B154-$B$15)+lane_off)/a_sh))))</f>
        <v/>
      </c>
      <c r="G154" s="34" t="str">
        <f aca="false">IF(OR(A154&gt;NL_b,$B$16=""),"",IF((ABS(B154-$B$16)+lane_off)&lt;=0,0,IF((ABS(B154-$B$16)+lane_off)&gt;=v_sh^2/a_sh,(ABS(B154-$B$16)+lane_off)/v_sh+v_sh/a_sh,2*SQRT((ABS(B154-$B$16)+lane_off)/a_sh))))</f>
        <v/>
      </c>
      <c r="H154" s="34" t="str">
        <f aca="false">IF(OR(A154&gt;NL_b,$B$17=""),"",IF((ABS(B154-$B$17)+lane_off)&lt;=0,0,IF((ABS(B154-$B$17)+lane_off)&gt;=v_sh^2/a_sh,(ABS(B154-$B$17)+lane_off)/v_sh+v_sh/a_sh,2*SQRT((ABS(B154-$B$17)+lane_off)/a_sh))))</f>
        <v/>
      </c>
      <c r="I154" s="34" t="str">
        <f aca="false">IF(C154="","",2*C154+w_conv*$D$12/v_conv)</f>
        <v/>
      </c>
      <c r="J154" s="34" t="str">
        <f aca="false">IF(D154="","",2*D154+w_conv*$D$13/v_conv)</f>
        <v/>
      </c>
      <c r="K154" s="34" t="str">
        <f aca="false">IF(E154="","",2*E154+w_conv*$D$14/v_conv)</f>
        <v/>
      </c>
      <c r="L154" s="34" t="str">
        <f aca="false">IF(F154="","",2*F154+w_conv*$D$15/v_conv)</f>
        <v/>
      </c>
      <c r="M154" s="34" t="str">
        <f aca="false">IF(G154="","",2*G154+w_conv*$D$16/v_conv)</f>
        <v/>
      </c>
      <c r="N154" s="34" t="str">
        <f aca="false">IF(H154="","",2*H154+w_conv*$D$17/v_conv)</f>
        <v/>
      </c>
      <c r="O154" s="34" t="str">
        <f aca="false">IF(A154&gt;NL_b,"",MIN(I154:N154))</f>
        <v/>
      </c>
      <c r="P154" s="34" t="str">
        <f aca="false">IF(O154="","",INDEX(C154:H154,MATCH(O154,I154:N154,0)))</f>
        <v/>
      </c>
      <c r="Q154" s="34" t="str">
        <f aca="false">IF(O154="","",INDEX($D$12:$D$17,MATCH(O154,I154:N154,0)))</f>
        <v/>
      </c>
    </row>
    <row r="155" customFormat="false" ht="15" hidden="false" customHeight="true" outlineLevel="0" collapsed="false">
      <c r="A155" s="54" t="n">
        <v>135</v>
      </c>
      <c r="B155" s="34" t="n">
        <f aca="false">(A155-0.5)*u_w</f>
        <v>134.5</v>
      </c>
      <c r="C155" s="34" t="str">
        <f aca="false">IF(OR(A155&gt;NL_b,$B$12=""),"",IF((ABS(B155-$B$12)+lane_off)&lt;=0,0,IF((ABS(B155-$B$12)+lane_off)&gt;=v_sh^2/a_sh,(ABS(B155-$B$12)+lane_off)/v_sh+v_sh/a_sh,2*SQRT((ABS(B155-$B$12)+lane_off)/a_sh))))</f>
        <v/>
      </c>
      <c r="D155" s="34" t="str">
        <f aca="false">IF(OR(A155&gt;NL_b,$B$13=""),"",IF((ABS(B155-$B$13)+lane_off)&lt;=0,0,IF((ABS(B155-$B$13)+lane_off)&gt;=v_sh^2/a_sh,(ABS(B155-$B$13)+lane_off)/v_sh+v_sh/a_sh,2*SQRT((ABS(B155-$B$13)+lane_off)/a_sh))))</f>
        <v/>
      </c>
      <c r="E155" s="34" t="str">
        <f aca="false">IF(OR(A155&gt;NL_b,$B$14=""),"",IF((ABS(B155-$B$14)+lane_off)&lt;=0,0,IF((ABS(B155-$B$14)+lane_off)&gt;=v_sh^2/a_sh,(ABS(B155-$B$14)+lane_off)/v_sh+v_sh/a_sh,2*SQRT((ABS(B155-$B$14)+lane_off)/a_sh))))</f>
        <v/>
      </c>
      <c r="F155" s="34" t="str">
        <f aca="false">IF(OR(A155&gt;NL_b,$B$15=""),"",IF((ABS(B155-$B$15)+lane_off)&lt;=0,0,IF((ABS(B155-$B$15)+lane_off)&gt;=v_sh^2/a_sh,(ABS(B155-$B$15)+lane_off)/v_sh+v_sh/a_sh,2*SQRT((ABS(B155-$B$15)+lane_off)/a_sh))))</f>
        <v/>
      </c>
      <c r="G155" s="34" t="str">
        <f aca="false">IF(OR(A155&gt;NL_b,$B$16=""),"",IF((ABS(B155-$B$16)+lane_off)&lt;=0,0,IF((ABS(B155-$B$16)+lane_off)&gt;=v_sh^2/a_sh,(ABS(B155-$B$16)+lane_off)/v_sh+v_sh/a_sh,2*SQRT((ABS(B155-$B$16)+lane_off)/a_sh))))</f>
        <v/>
      </c>
      <c r="H155" s="34" t="str">
        <f aca="false">IF(OR(A155&gt;NL_b,$B$17=""),"",IF((ABS(B155-$B$17)+lane_off)&lt;=0,0,IF((ABS(B155-$B$17)+lane_off)&gt;=v_sh^2/a_sh,(ABS(B155-$B$17)+lane_off)/v_sh+v_sh/a_sh,2*SQRT((ABS(B155-$B$17)+lane_off)/a_sh))))</f>
        <v/>
      </c>
      <c r="I155" s="34" t="str">
        <f aca="false">IF(C155="","",2*C155+w_conv*$D$12/v_conv)</f>
        <v/>
      </c>
      <c r="J155" s="34" t="str">
        <f aca="false">IF(D155="","",2*D155+w_conv*$D$13/v_conv)</f>
        <v/>
      </c>
      <c r="K155" s="34" t="str">
        <f aca="false">IF(E155="","",2*E155+w_conv*$D$14/v_conv)</f>
        <v/>
      </c>
      <c r="L155" s="34" t="str">
        <f aca="false">IF(F155="","",2*F155+w_conv*$D$15/v_conv)</f>
        <v/>
      </c>
      <c r="M155" s="34" t="str">
        <f aca="false">IF(G155="","",2*G155+w_conv*$D$16/v_conv)</f>
        <v/>
      </c>
      <c r="N155" s="34" t="str">
        <f aca="false">IF(H155="","",2*H155+w_conv*$D$17/v_conv)</f>
        <v/>
      </c>
      <c r="O155" s="34" t="str">
        <f aca="false">IF(A155&gt;NL_b,"",MIN(I155:N155))</f>
        <v/>
      </c>
      <c r="P155" s="34" t="str">
        <f aca="false">IF(O155="","",INDEX(C155:H155,MATCH(O155,I155:N155,0)))</f>
        <v/>
      </c>
      <c r="Q155" s="34" t="str">
        <f aca="false">IF(O155="","",INDEX($D$12:$D$17,MATCH(O155,I155:N155,0)))</f>
        <v/>
      </c>
    </row>
    <row r="156" customFormat="false" ht="15" hidden="false" customHeight="true" outlineLevel="0" collapsed="false">
      <c r="A156" s="54" t="n">
        <v>136</v>
      </c>
      <c r="B156" s="34" t="n">
        <f aca="false">(A156-0.5)*u_w</f>
        <v>135.5</v>
      </c>
      <c r="C156" s="34" t="str">
        <f aca="false">IF(OR(A156&gt;NL_b,$B$12=""),"",IF((ABS(B156-$B$12)+lane_off)&lt;=0,0,IF((ABS(B156-$B$12)+lane_off)&gt;=v_sh^2/a_sh,(ABS(B156-$B$12)+lane_off)/v_sh+v_sh/a_sh,2*SQRT((ABS(B156-$B$12)+lane_off)/a_sh))))</f>
        <v/>
      </c>
      <c r="D156" s="34" t="str">
        <f aca="false">IF(OR(A156&gt;NL_b,$B$13=""),"",IF((ABS(B156-$B$13)+lane_off)&lt;=0,0,IF((ABS(B156-$B$13)+lane_off)&gt;=v_sh^2/a_sh,(ABS(B156-$B$13)+lane_off)/v_sh+v_sh/a_sh,2*SQRT((ABS(B156-$B$13)+lane_off)/a_sh))))</f>
        <v/>
      </c>
      <c r="E156" s="34" t="str">
        <f aca="false">IF(OR(A156&gt;NL_b,$B$14=""),"",IF((ABS(B156-$B$14)+lane_off)&lt;=0,0,IF((ABS(B156-$B$14)+lane_off)&gt;=v_sh^2/a_sh,(ABS(B156-$B$14)+lane_off)/v_sh+v_sh/a_sh,2*SQRT((ABS(B156-$B$14)+lane_off)/a_sh))))</f>
        <v/>
      </c>
      <c r="F156" s="34" t="str">
        <f aca="false">IF(OR(A156&gt;NL_b,$B$15=""),"",IF((ABS(B156-$B$15)+lane_off)&lt;=0,0,IF((ABS(B156-$B$15)+lane_off)&gt;=v_sh^2/a_sh,(ABS(B156-$B$15)+lane_off)/v_sh+v_sh/a_sh,2*SQRT((ABS(B156-$B$15)+lane_off)/a_sh))))</f>
        <v/>
      </c>
      <c r="G156" s="34" t="str">
        <f aca="false">IF(OR(A156&gt;NL_b,$B$16=""),"",IF((ABS(B156-$B$16)+lane_off)&lt;=0,0,IF((ABS(B156-$B$16)+lane_off)&gt;=v_sh^2/a_sh,(ABS(B156-$B$16)+lane_off)/v_sh+v_sh/a_sh,2*SQRT((ABS(B156-$B$16)+lane_off)/a_sh))))</f>
        <v/>
      </c>
      <c r="H156" s="34" t="str">
        <f aca="false">IF(OR(A156&gt;NL_b,$B$17=""),"",IF((ABS(B156-$B$17)+lane_off)&lt;=0,0,IF((ABS(B156-$B$17)+lane_off)&gt;=v_sh^2/a_sh,(ABS(B156-$B$17)+lane_off)/v_sh+v_sh/a_sh,2*SQRT((ABS(B156-$B$17)+lane_off)/a_sh))))</f>
        <v/>
      </c>
      <c r="I156" s="34" t="str">
        <f aca="false">IF(C156="","",2*C156+w_conv*$D$12/v_conv)</f>
        <v/>
      </c>
      <c r="J156" s="34" t="str">
        <f aca="false">IF(D156="","",2*D156+w_conv*$D$13/v_conv)</f>
        <v/>
      </c>
      <c r="K156" s="34" t="str">
        <f aca="false">IF(E156="","",2*E156+w_conv*$D$14/v_conv)</f>
        <v/>
      </c>
      <c r="L156" s="34" t="str">
        <f aca="false">IF(F156="","",2*F156+w_conv*$D$15/v_conv)</f>
        <v/>
      </c>
      <c r="M156" s="34" t="str">
        <f aca="false">IF(G156="","",2*G156+w_conv*$D$16/v_conv)</f>
        <v/>
      </c>
      <c r="N156" s="34" t="str">
        <f aca="false">IF(H156="","",2*H156+w_conv*$D$17/v_conv)</f>
        <v/>
      </c>
      <c r="O156" s="34" t="str">
        <f aca="false">IF(A156&gt;NL_b,"",MIN(I156:N156))</f>
        <v/>
      </c>
      <c r="P156" s="34" t="str">
        <f aca="false">IF(O156="","",INDEX(C156:H156,MATCH(O156,I156:N156,0)))</f>
        <v/>
      </c>
      <c r="Q156" s="34" t="str">
        <f aca="false">IF(O156="","",INDEX($D$12:$D$17,MATCH(O156,I156:N156,0)))</f>
        <v/>
      </c>
    </row>
    <row r="157" customFormat="false" ht="15" hidden="false" customHeight="true" outlineLevel="0" collapsed="false">
      <c r="A157" s="54" t="n">
        <v>137</v>
      </c>
      <c r="B157" s="34" t="n">
        <f aca="false">(A157-0.5)*u_w</f>
        <v>136.5</v>
      </c>
      <c r="C157" s="34" t="str">
        <f aca="false">IF(OR(A157&gt;NL_b,$B$12=""),"",IF((ABS(B157-$B$12)+lane_off)&lt;=0,0,IF((ABS(B157-$B$12)+lane_off)&gt;=v_sh^2/a_sh,(ABS(B157-$B$12)+lane_off)/v_sh+v_sh/a_sh,2*SQRT((ABS(B157-$B$12)+lane_off)/a_sh))))</f>
        <v/>
      </c>
      <c r="D157" s="34" t="str">
        <f aca="false">IF(OR(A157&gt;NL_b,$B$13=""),"",IF((ABS(B157-$B$13)+lane_off)&lt;=0,0,IF((ABS(B157-$B$13)+lane_off)&gt;=v_sh^2/a_sh,(ABS(B157-$B$13)+lane_off)/v_sh+v_sh/a_sh,2*SQRT((ABS(B157-$B$13)+lane_off)/a_sh))))</f>
        <v/>
      </c>
      <c r="E157" s="34" t="str">
        <f aca="false">IF(OR(A157&gt;NL_b,$B$14=""),"",IF((ABS(B157-$B$14)+lane_off)&lt;=0,0,IF((ABS(B157-$B$14)+lane_off)&gt;=v_sh^2/a_sh,(ABS(B157-$B$14)+lane_off)/v_sh+v_sh/a_sh,2*SQRT((ABS(B157-$B$14)+lane_off)/a_sh))))</f>
        <v/>
      </c>
      <c r="F157" s="34" t="str">
        <f aca="false">IF(OR(A157&gt;NL_b,$B$15=""),"",IF((ABS(B157-$B$15)+lane_off)&lt;=0,0,IF((ABS(B157-$B$15)+lane_off)&gt;=v_sh^2/a_sh,(ABS(B157-$B$15)+lane_off)/v_sh+v_sh/a_sh,2*SQRT((ABS(B157-$B$15)+lane_off)/a_sh))))</f>
        <v/>
      </c>
      <c r="G157" s="34" t="str">
        <f aca="false">IF(OR(A157&gt;NL_b,$B$16=""),"",IF((ABS(B157-$B$16)+lane_off)&lt;=0,0,IF((ABS(B157-$B$16)+lane_off)&gt;=v_sh^2/a_sh,(ABS(B157-$B$16)+lane_off)/v_sh+v_sh/a_sh,2*SQRT((ABS(B157-$B$16)+lane_off)/a_sh))))</f>
        <v/>
      </c>
      <c r="H157" s="34" t="str">
        <f aca="false">IF(OR(A157&gt;NL_b,$B$17=""),"",IF((ABS(B157-$B$17)+lane_off)&lt;=0,0,IF((ABS(B157-$B$17)+lane_off)&gt;=v_sh^2/a_sh,(ABS(B157-$B$17)+lane_off)/v_sh+v_sh/a_sh,2*SQRT((ABS(B157-$B$17)+lane_off)/a_sh))))</f>
        <v/>
      </c>
      <c r="I157" s="34" t="str">
        <f aca="false">IF(C157="","",2*C157+w_conv*$D$12/v_conv)</f>
        <v/>
      </c>
      <c r="J157" s="34" t="str">
        <f aca="false">IF(D157="","",2*D157+w_conv*$D$13/v_conv)</f>
        <v/>
      </c>
      <c r="K157" s="34" t="str">
        <f aca="false">IF(E157="","",2*E157+w_conv*$D$14/v_conv)</f>
        <v/>
      </c>
      <c r="L157" s="34" t="str">
        <f aca="false">IF(F157="","",2*F157+w_conv*$D$15/v_conv)</f>
        <v/>
      </c>
      <c r="M157" s="34" t="str">
        <f aca="false">IF(G157="","",2*G157+w_conv*$D$16/v_conv)</f>
        <v/>
      </c>
      <c r="N157" s="34" t="str">
        <f aca="false">IF(H157="","",2*H157+w_conv*$D$17/v_conv)</f>
        <v/>
      </c>
      <c r="O157" s="34" t="str">
        <f aca="false">IF(A157&gt;NL_b,"",MIN(I157:N157))</f>
        <v/>
      </c>
      <c r="P157" s="34" t="str">
        <f aca="false">IF(O157="","",INDEX(C157:H157,MATCH(O157,I157:N157,0)))</f>
        <v/>
      </c>
      <c r="Q157" s="34" t="str">
        <f aca="false">IF(O157="","",INDEX($D$12:$D$17,MATCH(O157,I157:N157,0)))</f>
        <v/>
      </c>
    </row>
    <row r="158" customFormat="false" ht="15" hidden="false" customHeight="true" outlineLevel="0" collapsed="false">
      <c r="A158" s="54" t="n">
        <v>138</v>
      </c>
      <c r="B158" s="34" t="n">
        <f aca="false">(A158-0.5)*u_w</f>
        <v>137.5</v>
      </c>
      <c r="C158" s="34" t="str">
        <f aca="false">IF(OR(A158&gt;NL_b,$B$12=""),"",IF((ABS(B158-$B$12)+lane_off)&lt;=0,0,IF((ABS(B158-$B$12)+lane_off)&gt;=v_sh^2/a_sh,(ABS(B158-$B$12)+lane_off)/v_sh+v_sh/a_sh,2*SQRT((ABS(B158-$B$12)+lane_off)/a_sh))))</f>
        <v/>
      </c>
      <c r="D158" s="34" t="str">
        <f aca="false">IF(OR(A158&gt;NL_b,$B$13=""),"",IF((ABS(B158-$B$13)+lane_off)&lt;=0,0,IF((ABS(B158-$B$13)+lane_off)&gt;=v_sh^2/a_sh,(ABS(B158-$B$13)+lane_off)/v_sh+v_sh/a_sh,2*SQRT((ABS(B158-$B$13)+lane_off)/a_sh))))</f>
        <v/>
      </c>
      <c r="E158" s="34" t="str">
        <f aca="false">IF(OR(A158&gt;NL_b,$B$14=""),"",IF((ABS(B158-$B$14)+lane_off)&lt;=0,0,IF((ABS(B158-$B$14)+lane_off)&gt;=v_sh^2/a_sh,(ABS(B158-$B$14)+lane_off)/v_sh+v_sh/a_sh,2*SQRT((ABS(B158-$B$14)+lane_off)/a_sh))))</f>
        <v/>
      </c>
      <c r="F158" s="34" t="str">
        <f aca="false">IF(OR(A158&gt;NL_b,$B$15=""),"",IF((ABS(B158-$B$15)+lane_off)&lt;=0,0,IF((ABS(B158-$B$15)+lane_off)&gt;=v_sh^2/a_sh,(ABS(B158-$B$15)+lane_off)/v_sh+v_sh/a_sh,2*SQRT((ABS(B158-$B$15)+lane_off)/a_sh))))</f>
        <v/>
      </c>
      <c r="G158" s="34" t="str">
        <f aca="false">IF(OR(A158&gt;NL_b,$B$16=""),"",IF((ABS(B158-$B$16)+lane_off)&lt;=0,0,IF((ABS(B158-$B$16)+lane_off)&gt;=v_sh^2/a_sh,(ABS(B158-$B$16)+lane_off)/v_sh+v_sh/a_sh,2*SQRT((ABS(B158-$B$16)+lane_off)/a_sh))))</f>
        <v/>
      </c>
      <c r="H158" s="34" t="str">
        <f aca="false">IF(OR(A158&gt;NL_b,$B$17=""),"",IF((ABS(B158-$B$17)+lane_off)&lt;=0,0,IF((ABS(B158-$B$17)+lane_off)&gt;=v_sh^2/a_sh,(ABS(B158-$B$17)+lane_off)/v_sh+v_sh/a_sh,2*SQRT((ABS(B158-$B$17)+lane_off)/a_sh))))</f>
        <v/>
      </c>
      <c r="I158" s="34" t="str">
        <f aca="false">IF(C158="","",2*C158+w_conv*$D$12/v_conv)</f>
        <v/>
      </c>
      <c r="J158" s="34" t="str">
        <f aca="false">IF(D158="","",2*D158+w_conv*$D$13/v_conv)</f>
        <v/>
      </c>
      <c r="K158" s="34" t="str">
        <f aca="false">IF(E158="","",2*E158+w_conv*$D$14/v_conv)</f>
        <v/>
      </c>
      <c r="L158" s="34" t="str">
        <f aca="false">IF(F158="","",2*F158+w_conv*$D$15/v_conv)</f>
        <v/>
      </c>
      <c r="M158" s="34" t="str">
        <f aca="false">IF(G158="","",2*G158+w_conv*$D$16/v_conv)</f>
        <v/>
      </c>
      <c r="N158" s="34" t="str">
        <f aca="false">IF(H158="","",2*H158+w_conv*$D$17/v_conv)</f>
        <v/>
      </c>
      <c r="O158" s="34" t="str">
        <f aca="false">IF(A158&gt;NL_b,"",MIN(I158:N158))</f>
        <v/>
      </c>
      <c r="P158" s="34" t="str">
        <f aca="false">IF(O158="","",INDEX(C158:H158,MATCH(O158,I158:N158,0)))</f>
        <v/>
      </c>
      <c r="Q158" s="34" t="str">
        <f aca="false">IF(O158="","",INDEX($D$12:$D$17,MATCH(O158,I158:N158,0)))</f>
        <v/>
      </c>
    </row>
    <row r="159" customFormat="false" ht="15" hidden="false" customHeight="true" outlineLevel="0" collapsed="false">
      <c r="A159" s="54" t="n">
        <v>139</v>
      </c>
      <c r="B159" s="34" t="n">
        <f aca="false">(A159-0.5)*u_w</f>
        <v>138.5</v>
      </c>
      <c r="C159" s="34" t="str">
        <f aca="false">IF(OR(A159&gt;NL_b,$B$12=""),"",IF((ABS(B159-$B$12)+lane_off)&lt;=0,0,IF((ABS(B159-$B$12)+lane_off)&gt;=v_sh^2/a_sh,(ABS(B159-$B$12)+lane_off)/v_sh+v_sh/a_sh,2*SQRT((ABS(B159-$B$12)+lane_off)/a_sh))))</f>
        <v/>
      </c>
      <c r="D159" s="34" t="str">
        <f aca="false">IF(OR(A159&gt;NL_b,$B$13=""),"",IF((ABS(B159-$B$13)+lane_off)&lt;=0,0,IF((ABS(B159-$B$13)+lane_off)&gt;=v_sh^2/a_sh,(ABS(B159-$B$13)+lane_off)/v_sh+v_sh/a_sh,2*SQRT((ABS(B159-$B$13)+lane_off)/a_sh))))</f>
        <v/>
      </c>
      <c r="E159" s="34" t="str">
        <f aca="false">IF(OR(A159&gt;NL_b,$B$14=""),"",IF((ABS(B159-$B$14)+lane_off)&lt;=0,0,IF((ABS(B159-$B$14)+lane_off)&gt;=v_sh^2/a_sh,(ABS(B159-$B$14)+lane_off)/v_sh+v_sh/a_sh,2*SQRT((ABS(B159-$B$14)+lane_off)/a_sh))))</f>
        <v/>
      </c>
      <c r="F159" s="34" t="str">
        <f aca="false">IF(OR(A159&gt;NL_b,$B$15=""),"",IF((ABS(B159-$B$15)+lane_off)&lt;=0,0,IF((ABS(B159-$B$15)+lane_off)&gt;=v_sh^2/a_sh,(ABS(B159-$B$15)+lane_off)/v_sh+v_sh/a_sh,2*SQRT((ABS(B159-$B$15)+lane_off)/a_sh))))</f>
        <v/>
      </c>
      <c r="G159" s="34" t="str">
        <f aca="false">IF(OR(A159&gt;NL_b,$B$16=""),"",IF((ABS(B159-$B$16)+lane_off)&lt;=0,0,IF((ABS(B159-$B$16)+lane_off)&gt;=v_sh^2/a_sh,(ABS(B159-$B$16)+lane_off)/v_sh+v_sh/a_sh,2*SQRT((ABS(B159-$B$16)+lane_off)/a_sh))))</f>
        <v/>
      </c>
      <c r="H159" s="34" t="str">
        <f aca="false">IF(OR(A159&gt;NL_b,$B$17=""),"",IF((ABS(B159-$B$17)+lane_off)&lt;=0,0,IF((ABS(B159-$B$17)+lane_off)&gt;=v_sh^2/a_sh,(ABS(B159-$B$17)+lane_off)/v_sh+v_sh/a_sh,2*SQRT((ABS(B159-$B$17)+lane_off)/a_sh))))</f>
        <v/>
      </c>
      <c r="I159" s="34" t="str">
        <f aca="false">IF(C159="","",2*C159+w_conv*$D$12/v_conv)</f>
        <v/>
      </c>
      <c r="J159" s="34" t="str">
        <f aca="false">IF(D159="","",2*D159+w_conv*$D$13/v_conv)</f>
        <v/>
      </c>
      <c r="K159" s="34" t="str">
        <f aca="false">IF(E159="","",2*E159+w_conv*$D$14/v_conv)</f>
        <v/>
      </c>
      <c r="L159" s="34" t="str">
        <f aca="false">IF(F159="","",2*F159+w_conv*$D$15/v_conv)</f>
        <v/>
      </c>
      <c r="M159" s="34" t="str">
        <f aca="false">IF(G159="","",2*G159+w_conv*$D$16/v_conv)</f>
        <v/>
      </c>
      <c r="N159" s="34" t="str">
        <f aca="false">IF(H159="","",2*H159+w_conv*$D$17/v_conv)</f>
        <v/>
      </c>
      <c r="O159" s="34" t="str">
        <f aca="false">IF(A159&gt;NL_b,"",MIN(I159:N159))</f>
        <v/>
      </c>
      <c r="P159" s="34" t="str">
        <f aca="false">IF(O159="","",INDEX(C159:H159,MATCH(O159,I159:N159,0)))</f>
        <v/>
      </c>
      <c r="Q159" s="34" t="str">
        <f aca="false">IF(O159="","",INDEX($D$12:$D$17,MATCH(O159,I159:N159,0)))</f>
        <v/>
      </c>
    </row>
    <row r="160" customFormat="false" ht="15" hidden="false" customHeight="true" outlineLevel="0" collapsed="false">
      <c r="A160" s="54" t="n">
        <v>140</v>
      </c>
      <c r="B160" s="34" t="n">
        <f aca="false">(A160-0.5)*u_w</f>
        <v>139.5</v>
      </c>
      <c r="C160" s="34" t="str">
        <f aca="false">IF(OR(A160&gt;NL_b,$B$12=""),"",IF((ABS(B160-$B$12)+lane_off)&lt;=0,0,IF((ABS(B160-$B$12)+lane_off)&gt;=v_sh^2/a_sh,(ABS(B160-$B$12)+lane_off)/v_sh+v_sh/a_sh,2*SQRT((ABS(B160-$B$12)+lane_off)/a_sh))))</f>
        <v/>
      </c>
      <c r="D160" s="34" t="str">
        <f aca="false">IF(OR(A160&gt;NL_b,$B$13=""),"",IF((ABS(B160-$B$13)+lane_off)&lt;=0,0,IF((ABS(B160-$B$13)+lane_off)&gt;=v_sh^2/a_sh,(ABS(B160-$B$13)+lane_off)/v_sh+v_sh/a_sh,2*SQRT((ABS(B160-$B$13)+lane_off)/a_sh))))</f>
        <v/>
      </c>
      <c r="E160" s="34" t="str">
        <f aca="false">IF(OR(A160&gt;NL_b,$B$14=""),"",IF((ABS(B160-$B$14)+lane_off)&lt;=0,0,IF((ABS(B160-$B$14)+lane_off)&gt;=v_sh^2/a_sh,(ABS(B160-$B$14)+lane_off)/v_sh+v_sh/a_sh,2*SQRT((ABS(B160-$B$14)+lane_off)/a_sh))))</f>
        <v/>
      </c>
      <c r="F160" s="34" t="str">
        <f aca="false">IF(OR(A160&gt;NL_b,$B$15=""),"",IF((ABS(B160-$B$15)+lane_off)&lt;=0,0,IF((ABS(B160-$B$15)+lane_off)&gt;=v_sh^2/a_sh,(ABS(B160-$B$15)+lane_off)/v_sh+v_sh/a_sh,2*SQRT((ABS(B160-$B$15)+lane_off)/a_sh))))</f>
        <v/>
      </c>
      <c r="G160" s="34" t="str">
        <f aca="false">IF(OR(A160&gt;NL_b,$B$16=""),"",IF((ABS(B160-$B$16)+lane_off)&lt;=0,0,IF((ABS(B160-$B$16)+lane_off)&gt;=v_sh^2/a_sh,(ABS(B160-$B$16)+lane_off)/v_sh+v_sh/a_sh,2*SQRT((ABS(B160-$B$16)+lane_off)/a_sh))))</f>
        <v/>
      </c>
      <c r="H160" s="34" t="str">
        <f aca="false">IF(OR(A160&gt;NL_b,$B$17=""),"",IF((ABS(B160-$B$17)+lane_off)&lt;=0,0,IF((ABS(B160-$B$17)+lane_off)&gt;=v_sh^2/a_sh,(ABS(B160-$B$17)+lane_off)/v_sh+v_sh/a_sh,2*SQRT((ABS(B160-$B$17)+lane_off)/a_sh))))</f>
        <v/>
      </c>
      <c r="I160" s="34" t="str">
        <f aca="false">IF(C160="","",2*C160+w_conv*$D$12/v_conv)</f>
        <v/>
      </c>
      <c r="J160" s="34" t="str">
        <f aca="false">IF(D160="","",2*D160+w_conv*$D$13/v_conv)</f>
        <v/>
      </c>
      <c r="K160" s="34" t="str">
        <f aca="false">IF(E160="","",2*E160+w_conv*$D$14/v_conv)</f>
        <v/>
      </c>
      <c r="L160" s="34" t="str">
        <f aca="false">IF(F160="","",2*F160+w_conv*$D$15/v_conv)</f>
        <v/>
      </c>
      <c r="M160" s="34" t="str">
        <f aca="false">IF(G160="","",2*G160+w_conv*$D$16/v_conv)</f>
        <v/>
      </c>
      <c r="N160" s="34" t="str">
        <f aca="false">IF(H160="","",2*H160+w_conv*$D$17/v_conv)</f>
        <v/>
      </c>
      <c r="O160" s="34" t="str">
        <f aca="false">IF(A160&gt;NL_b,"",MIN(I160:N160))</f>
        <v/>
      </c>
      <c r="P160" s="34" t="str">
        <f aca="false">IF(O160="","",INDEX(C160:H160,MATCH(O160,I160:N160,0)))</f>
        <v/>
      </c>
      <c r="Q160" s="34" t="str">
        <f aca="false">IF(O160="","",INDEX($D$12:$D$17,MATCH(O160,I160:N160,0)))</f>
        <v/>
      </c>
    </row>
    <row r="161" customFormat="false" ht="15" hidden="false" customHeight="true" outlineLevel="0" collapsed="false">
      <c r="A161" s="54" t="n">
        <v>141</v>
      </c>
      <c r="B161" s="34" t="n">
        <f aca="false">(A161-0.5)*u_w</f>
        <v>140.5</v>
      </c>
      <c r="C161" s="34" t="str">
        <f aca="false">IF(OR(A161&gt;NL_b,$B$12=""),"",IF((ABS(B161-$B$12)+lane_off)&lt;=0,0,IF((ABS(B161-$B$12)+lane_off)&gt;=v_sh^2/a_sh,(ABS(B161-$B$12)+lane_off)/v_sh+v_sh/a_sh,2*SQRT((ABS(B161-$B$12)+lane_off)/a_sh))))</f>
        <v/>
      </c>
      <c r="D161" s="34" t="str">
        <f aca="false">IF(OR(A161&gt;NL_b,$B$13=""),"",IF((ABS(B161-$B$13)+lane_off)&lt;=0,0,IF((ABS(B161-$B$13)+lane_off)&gt;=v_sh^2/a_sh,(ABS(B161-$B$13)+lane_off)/v_sh+v_sh/a_sh,2*SQRT((ABS(B161-$B$13)+lane_off)/a_sh))))</f>
        <v/>
      </c>
      <c r="E161" s="34" t="str">
        <f aca="false">IF(OR(A161&gt;NL_b,$B$14=""),"",IF((ABS(B161-$B$14)+lane_off)&lt;=0,0,IF((ABS(B161-$B$14)+lane_off)&gt;=v_sh^2/a_sh,(ABS(B161-$B$14)+lane_off)/v_sh+v_sh/a_sh,2*SQRT((ABS(B161-$B$14)+lane_off)/a_sh))))</f>
        <v/>
      </c>
      <c r="F161" s="34" t="str">
        <f aca="false">IF(OR(A161&gt;NL_b,$B$15=""),"",IF((ABS(B161-$B$15)+lane_off)&lt;=0,0,IF((ABS(B161-$B$15)+lane_off)&gt;=v_sh^2/a_sh,(ABS(B161-$B$15)+lane_off)/v_sh+v_sh/a_sh,2*SQRT((ABS(B161-$B$15)+lane_off)/a_sh))))</f>
        <v/>
      </c>
      <c r="G161" s="34" t="str">
        <f aca="false">IF(OR(A161&gt;NL_b,$B$16=""),"",IF((ABS(B161-$B$16)+lane_off)&lt;=0,0,IF((ABS(B161-$B$16)+lane_off)&gt;=v_sh^2/a_sh,(ABS(B161-$B$16)+lane_off)/v_sh+v_sh/a_sh,2*SQRT((ABS(B161-$B$16)+lane_off)/a_sh))))</f>
        <v/>
      </c>
      <c r="H161" s="34" t="str">
        <f aca="false">IF(OR(A161&gt;NL_b,$B$17=""),"",IF((ABS(B161-$B$17)+lane_off)&lt;=0,0,IF((ABS(B161-$B$17)+lane_off)&gt;=v_sh^2/a_sh,(ABS(B161-$B$17)+lane_off)/v_sh+v_sh/a_sh,2*SQRT((ABS(B161-$B$17)+lane_off)/a_sh))))</f>
        <v/>
      </c>
      <c r="I161" s="34" t="str">
        <f aca="false">IF(C161="","",2*C161+w_conv*$D$12/v_conv)</f>
        <v/>
      </c>
      <c r="J161" s="34" t="str">
        <f aca="false">IF(D161="","",2*D161+w_conv*$D$13/v_conv)</f>
        <v/>
      </c>
      <c r="K161" s="34" t="str">
        <f aca="false">IF(E161="","",2*E161+w_conv*$D$14/v_conv)</f>
        <v/>
      </c>
      <c r="L161" s="34" t="str">
        <f aca="false">IF(F161="","",2*F161+w_conv*$D$15/v_conv)</f>
        <v/>
      </c>
      <c r="M161" s="34" t="str">
        <f aca="false">IF(G161="","",2*G161+w_conv*$D$16/v_conv)</f>
        <v/>
      </c>
      <c r="N161" s="34" t="str">
        <f aca="false">IF(H161="","",2*H161+w_conv*$D$17/v_conv)</f>
        <v/>
      </c>
      <c r="O161" s="34" t="str">
        <f aca="false">IF(A161&gt;NL_b,"",MIN(I161:N161))</f>
        <v/>
      </c>
      <c r="P161" s="34" t="str">
        <f aca="false">IF(O161="","",INDEX(C161:H161,MATCH(O161,I161:N161,0)))</f>
        <v/>
      </c>
      <c r="Q161" s="34" t="str">
        <f aca="false">IF(O161="","",INDEX($D$12:$D$17,MATCH(O161,I161:N161,0)))</f>
        <v/>
      </c>
    </row>
    <row r="162" customFormat="false" ht="15" hidden="false" customHeight="true" outlineLevel="0" collapsed="false">
      <c r="A162" s="54" t="n">
        <v>142</v>
      </c>
      <c r="B162" s="34" t="n">
        <f aca="false">(A162-0.5)*u_w</f>
        <v>141.5</v>
      </c>
      <c r="C162" s="34" t="str">
        <f aca="false">IF(OR(A162&gt;NL_b,$B$12=""),"",IF((ABS(B162-$B$12)+lane_off)&lt;=0,0,IF((ABS(B162-$B$12)+lane_off)&gt;=v_sh^2/a_sh,(ABS(B162-$B$12)+lane_off)/v_sh+v_sh/a_sh,2*SQRT((ABS(B162-$B$12)+lane_off)/a_sh))))</f>
        <v/>
      </c>
      <c r="D162" s="34" t="str">
        <f aca="false">IF(OR(A162&gt;NL_b,$B$13=""),"",IF((ABS(B162-$B$13)+lane_off)&lt;=0,0,IF((ABS(B162-$B$13)+lane_off)&gt;=v_sh^2/a_sh,(ABS(B162-$B$13)+lane_off)/v_sh+v_sh/a_sh,2*SQRT((ABS(B162-$B$13)+lane_off)/a_sh))))</f>
        <v/>
      </c>
      <c r="E162" s="34" t="str">
        <f aca="false">IF(OR(A162&gt;NL_b,$B$14=""),"",IF((ABS(B162-$B$14)+lane_off)&lt;=0,0,IF((ABS(B162-$B$14)+lane_off)&gt;=v_sh^2/a_sh,(ABS(B162-$B$14)+lane_off)/v_sh+v_sh/a_sh,2*SQRT((ABS(B162-$B$14)+lane_off)/a_sh))))</f>
        <v/>
      </c>
      <c r="F162" s="34" t="str">
        <f aca="false">IF(OR(A162&gt;NL_b,$B$15=""),"",IF((ABS(B162-$B$15)+lane_off)&lt;=0,0,IF((ABS(B162-$B$15)+lane_off)&gt;=v_sh^2/a_sh,(ABS(B162-$B$15)+lane_off)/v_sh+v_sh/a_sh,2*SQRT((ABS(B162-$B$15)+lane_off)/a_sh))))</f>
        <v/>
      </c>
      <c r="G162" s="34" t="str">
        <f aca="false">IF(OR(A162&gt;NL_b,$B$16=""),"",IF((ABS(B162-$B$16)+lane_off)&lt;=0,0,IF((ABS(B162-$B$16)+lane_off)&gt;=v_sh^2/a_sh,(ABS(B162-$B$16)+lane_off)/v_sh+v_sh/a_sh,2*SQRT((ABS(B162-$B$16)+lane_off)/a_sh))))</f>
        <v/>
      </c>
      <c r="H162" s="34" t="str">
        <f aca="false">IF(OR(A162&gt;NL_b,$B$17=""),"",IF((ABS(B162-$B$17)+lane_off)&lt;=0,0,IF((ABS(B162-$B$17)+lane_off)&gt;=v_sh^2/a_sh,(ABS(B162-$B$17)+lane_off)/v_sh+v_sh/a_sh,2*SQRT((ABS(B162-$B$17)+lane_off)/a_sh))))</f>
        <v/>
      </c>
      <c r="I162" s="34" t="str">
        <f aca="false">IF(C162="","",2*C162+w_conv*$D$12/v_conv)</f>
        <v/>
      </c>
      <c r="J162" s="34" t="str">
        <f aca="false">IF(D162="","",2*D162+w_conv*$D$13/v_conv)</f>
        <v/>
      </c>
      <c r="K162" s="34" t="str">
        <f aca="false">IF(E162="","",2*E162+w_conv*$D$14/v_conv)</f>
        <v/>
      </c>
      <c r="L162" s="34" t="str">
        <f aca="false">IF(F162="","",2*F162+w_conv*$D$15/v_conv)</f>
        <v/>
      </c>
      <c r="M162" s="34" t="str">
        <f aca="false">IF(G162="","",2*G162+w_conv*$D$16/v_conv)</f>
        <v/>
      </c>
      <c r="N162" s="34" t="str">
        <f aca="false">IF(H162="","",2*H162+w_conv*$D$17/v_conv)</f>
        <v/>
      </c>
      <c r="O162" s="34" t="str">
        <f aca="false">IF(A162&gt;NL_b,"",MIN(I162:N162))</f>
        <v/>
      </c>
      <c r="P162" s="34" t="str">
        <f aca="false">IF(O162="","",INDEX(C162:H162,MATCH(O162,I162:N162,0)))</f>
        <v/>
      </c>
      <c r="Q162" s="34" t="str">
        <f aca="false">IF(O162="","",INDEX($D$12:$D$17,MATCH(O162,I162:N162,0)))</f>
        <v/>
      </c>
    </row>
    <row r="163" customFormat="false" ht="15" hidden="false" customHeight="true" outlineLevel="0" collapsed="false">
      <c r="A163" s="54" t="n">
        <v>143</v>
      </c>
      <c r="B163" s="34" t="n">
        <f aca="false">(A163-0.5)*u_w</f>
        <v>142.5</v>
      </c>
      <c r="C163" s="34" t="str">
        <f aca="false">IF(OR(A163&gt;NL_b,$B$12=""),"",IF((ABS(B163-$B$12)+lane_off)&lt;=0,0,IF((ABS(B163-$B$12)+lane_off)&gt;=v_sh^2/a_sh,(ABS(B163-$B$12)+lane_off)/v_sh+v_sh/a_sh,2*SQRT((ABS(B163-$B$12)+lane_off)/a_sh))))</f>
        <v/>
      </c>
      <c r="D163" s="34" t="str">
        <f aca="false">IF(OR(A163&gt;NL_b,$B$13=""),"",IF((ABS(B163-$B$13)+lane_off)&lt;=0,0,IF((ABS(B163-$B$13)+lane_off)&gt;=v_sh^2/a_sh,(ABS(B163-$B$13)+lane_off)/v_sh+v_sh/a_sh,2*SQRT((ABS(B163-$B$13)+lane_off)/a_sh))))</f>
        <v/>
      </c>
      <c r="E163" s="34" t="str">
        <f aca="false">IF(OR(A163&gt;NL_b,$B$14=""),"",IF((ABS(B163-$B$14)+lane_off)&lt;=0,0,IF((ABS(B163-$B$14)+lane_off)&gt;=v_sh^2/a_sh,(ABS(B163-$B$14)+lane_off)/v_sh+v_sh/a_sh,2*SQRT((ABS(B163-$B$14)+lane_off)/a_sh))))</f>
        <v/>
      </c>
      <c r="F163" s="34" t="str">
        <f aca="false">IF(OR(A163&gt;NL_b,$B$15=""),"",IF((ABS(B163-$B$15)+lane_off)&lt;=0,0,IF((ABS(B163-$B$15)+lane_off)&gt;=v_sh^2/a_sh,(ABS(B163-$B$15)+lane_off)/v_sh+v_sh/a_sh,2*SQRT((ABS(B163-$B$15)+lane_off)/a_sh))))</f>
        <v/>
      </c>
      <c r="G163" s="34" t="str">
        <f aca="false">IF(OR(A163&gt;NL_b,$B$16=""),"",IF((ABS(B163-$B$16)+lane_off)&lt;=0,0,IF((ABS(B163-$B$16)+lane_off)&gt;=v_sh^2/a_sh,(ABS(B163-$B$16)+lane_off)/v_sh+v_sh/a_sh,2*SQRT((ABS(B163-$B$16)+lane_off)/a_sh))))</f>
        <v/>
      </c>
      <c r="H163" s="34" t="str">
        <f aca="false">IF(OR(A163&gt;NL_b,$B$17=""),"",IF((ABS(B163-$B$17)+lane_off)&lt;=0,0,IF((ABS(B163-$B$17)+lane_off)&gt;=v_sh^2/a_sh,(ABS(B163-$B$17)+lane_off)/v_sh+v_sh/a_sh,2*SQRT((ABS(B163-$B$17)+lane_off)/a_sh))))</f>
        <v/>
      </c>
      <c r="I163" s="34" t="str">
        <f aca="false">IF(C163="","",2*C163+w_conv*$D$12/v_conv)</f>
        <v/>
      </c>
      <c r="J163" s="34" t="str">
        <f aca="false">IF(D163="","",2*D163+w_conv*$D$13/v_conv)</f>
        <v/>
      </c>
      <c r="K163" s="34" t="str">
        <f aca="false">IF(E163="","",2*E163+w_conv*$D$14/v_conv)</f>
        <v/>
      </c>
      <c r="L163" s="34" t="str">
        <f aca="false">IF(F163="","",2*F163+w_conv*$D$15/v_conv)</f>
        <v/>
      </c>
      <c r="M163" s="34" t="str">
        <f aca="false">IF(G163="","",2*G163+w_conv*$D$16/v_conv)</f>
        <v/>
      </c>
      <c r="N163" s="34" t="str">
        <f aca="false">IF(H163="","",2*H163+w_conv*$D$17/v_conv)</f>
        <v/>
      </c>
      <c r="O163" s="34" t="str">
        <f aca="false">IF(A163&gt;NL_b,"",MIN(I163:N163))</f>
        <v/>
      </c>
      <c r="P163" s="34" t="str">
        <f aca="false">IF(O163="","",INDEX(C163:H163,MATCH(O163,I163:N163,0)))</f>
        <v/>
      </c>
      <c r="Q163" s="34" t="str">
        <f aca="false">IF(O163="","",INDEX($D$12:$D$17,MATCH(O163,I163:N163,0)))</f>
        <v/>
      </c>
    </row>
    <row r="164" customFormat="false" ht="15" hidden="false" customHeight="true" outlineLevel="0" collapsed="false">
      <c r="A164" s="54" t="n">
        <v>144</v>
      </c>
      <c r="B164" s="34" t="n">
        <f aca="false">(A164-0.5)*u_w</f>
        <v>143.5</v>
      </c>
      <c r="C164" s="34" t="str">
        <f aca="false">IF(OR(A164&gt;NL_b,$B$12=""),"",IF((ABS(B164-$B$12)+lane_off)&lt;=0,0,IF((ABS(B164-$B$12)+lane_off)&gt;=v_sh^2/a_sh,(ABS(B164-$B$12)+lane_off)/v_sh+v_sh/a_sh,2*SQRT((ABS(B164-$B$12)+lane_off)/a_sh))))</f>
        <v/>
      </c>
      <c r="D164" s="34" t="str">
        <f aca="false">IF(OR(A164&gt;NL_b,$B$13=""),"",IF((ABS(B164-$B$13)+lane_off)&lt;=0,0,IF((ABS(B164-$B$13)+lane_off)&gt;=v_sh^2/a_sh,(ABS(B164-$B$13)+lane_off)/v_sh+v_sh/a_sh,2*SQRT((ABS(B164-$B$13)+lane_off)/a_sh))))</f>
        <v/>
      </c>
      <c r="E164" s="34" t="str">
        <f aca="false">IF(OR(A164&gt;NL_b,$B$14=""),"",IF((ABS(B164-$B$14)+lane_off)&lt;=0,0,IF((ABS(B164-$B$14)+lane_off)&gt;=v_sh^2/a_sh,(ABS(B164-$B$14)+lane_off)/v_sh+v_sh/a_sh,2*SQRT((ABS(B164-$B$14)+lane_off)/a_sh))))</f>
        <v/>
      </c>
      <c r="F164" s="34" t="str">
        <f aca="false">IF(OR(A164&gt;NL_b,$B$15=""),"",IF((ABS(B164-$B$15)+lane_off)&lt;=0,0,IF((ABS(B164-$B$15)+lane_off)&gt;=v_sh^2/a_sh,(ABS(B164-$B$15)+lane_off)/v_sh+v_sh/a_sh,2*SQRT((ABS(B164-$B$15)+lane_off)/a_sh))))</f>
        <v/>
      </c>
      <c r="G164" s="34" t="str">
        <f aca="false">IF(OR(A164&gt;NL_b,$B$16=""),"",IF((ABS(B164-$B$16)+lane_off)&lt;=0,0,IF((ABS(B164-$B$16)+lane_off)&gt;=v_sh^2/a_sh,(ABS(B164-$B$16)+lane_off)/v_sh+v_sh/a_sh,2*SQRT((ABS(B164-$B$16)+lane_off)/a_sh))))</f>
        <v/>
      </c>
      <c r="H164" s="34" t="str">
        <f aca="false">IF(OR(A164&gt;NL_b,$B$17=""),"",IF((ABS(B164-$B$17)+lane_off)&lt;=0,0,IF((ABS(B164-$B$17)+lane_off)&gt;=v_sh^2/a_sh,(ABS(B164-$B$17)+lane_off)/v_sh+v_sh/a_sh,2*SQRT((ABS(B164-$B$17)+lane_off)/a_sh))))</f>
        <v/>
      </c>
      <c r="I164" s="34" t="str">
        <f aca="false">IF(C164="","",2*C164+w_conv*$D$12/v_conv)</f>
        <v/>
      </c>
      <c r="J164" s="34" t="str">
        <f aca="false">IF(D164="","",2*D164+w_conv*$D$13/v_conv)</f>
        <v/>
      </c>
      <c r="K164" s="34" t="str">
        <f aca="false">IF(E164="","",2*E164+w_conv*$D$14/v_conv)</f>
        <v/>
      </c>
      <c r="L164" s="34" t="str">
        <f aca="false">IF(F164="","",2*F164+w_conv*$D$15/v_conv)</f>
        <v/>
      </c>
      <c r="M164" s="34" t="str">
        <f aca="false">IF(G164="","",2*G164+w_conv*$D$16/v_conv)</f>
        <v/>
      </c>
      <c r="N164" s="34" t="str">
        <f aca="false">IF(H164="","",2*H164+w_conv*$D$17/v_conv)</f>
        <v/>
      </c>
      <c r="O164" s="34" t="str">
        <f aca="false">IF(A164&gt;NL_b,"",MIN(I164:N164))</f>
        <v/>
      </c>
      <c r="P164" s="34" t="str">
        <f aca="false">IF(O164="","",INDEX(C164:H164,MATCH(O164,I164:N164,0)))</f>
        <v/>
      </c>
      <c r="Q164" s="34" t="str">
        <f aca="false">IF(O164="","",INDEX($D$12:$D$17,MATCH(O164,I164:N164,0)))</f>
        <v/>
      </c>
    </row>
    <row r="165" customFormat="false" ht="15" hidden="false" customHeight="true" outlineLevel="0" collapsed="false">
      <c r="A165" s="54" t="n">
        <v>145</v>
      </c>
      <c r="B165" s="34" t="n">
        <f aca="false">(A165-0.5)*u_w</f>
        <v>144.5</v>
      </c>
      <c r="C165" s="34" t="str">
        <f aca="false">IF(OR(A165&gt;NL_b,$B$12=""),"",IF((ABS(B165-$B$12)+lane_off)&lt;=0,0,IF((ABS(B165-$B$12)+lane_off)&gt;=v_sh^2/a_sh,(ABS(B165-$B$12)+lane_off)/v_sh+v_sh/a_sh,2*SQRT((ABS(B165-$B$12)+lane_off)/a_sh))))</f>
        <v/>
      </c>
      <c r="D165" s="34" t="str">
        <f aca="false">IF(OR(A165&gt;NL_b,$B$13=""),"",IF((ABS(B165-$B$13)+lane_off)&lt;=0,0,IF((ABS(B165-$B$13)+lane_off)&gt;=v_sh^2/a_sh,(ABS(B165-$B$13)+lane_off)/v_sh+v_sh/a_sh,2*SQRT((ABS(B165-$B$13)+lane_off)/a_sh))))</f>
        <v/>
      </c>
      <c r="E165" s="34" t="str">
        <f aca="false">IF(OR(A165&gt;NL_b,$B$14=""),"",IF((ABS(B165-$B$14)+lane_off)&lt;=0,0,IF((ABS(B165-$B$14)+lane_off)&gt;=v_sh^2/a_sh,(ABS(B165-$B$14)+lane_off)/v_sh+v_sh/a_sh,2*SQRT((ABS(B165-$B$14)+lane_off)/a_sh))))</f>
        <v/>
      </c>
      <c r="F165" s="34" t="str">
        <f aca="false">IF(OR(A165&gt;NL_b,$B$15=""),"",IF((ABS(B165-$B$15)+lane_off)&lt;=0,0,IF((ABS(B165-$B$15)+lane_off)&gt;=v_sh^2/a_sh,(ABS(B165-$B$15)+lane_off)/v_sh+v_sh/a_sh,2*SQRT((ABS(B165-$B$15)+lane_off)/a_sh))))</f>
        <v/>
      </c>
      <c r="G165" s="34" t="str">
        <f aca="false">IF(OR(A165&gt;NL_b,$B$16=""),"",IF((ABS(B165-$B$16)+lane_off)&lt;=0,0,IF((ABS(B165-$B$16)+lane_off)&gt;=v_sh^2/a_sh,(ABS(B165-$B$16)+lane_off)/v_sh+v_sh/a_sh,2*SQRT((ABS(B165-$B$16)+lane_off)/a_sh))))</f>
        <v/>
      </c>
      <c r="H165" s="34" t="str">
        <f aca="false">IF(OR(A165&gt;NL_b,$B$17=""),"",IF((ABS(B165-$B$17)+lane_off)&lt;=0,0,IF((ABS(B165-$B$17)+lane_off)&gt;=v_sh^2/a_sh,(ABS(B165-$B$17)+lane_off)/v_sh+v_sh/a_sh,2*SQRT((ABS(B165-$B$17)+lane_off)/a_sh))))</f>
        <v/>
      </c>
      <c r="I165" s="34" t="str">
        <f aca="false">IF(C165="","",2*C165+w_conv*$D$12/v_conv)</f>
        <v/>
      </c>
      <c r="J165" s="34" t="str">
        <f aca="false">IF(D165="","",2*D165+w_conv*$D$13/v_conv)</f>
        <v/>
      </c>
      <c r="K165" s="34" t="str">
        <f aca="false">IF(E165="","",2*E165+w_conv*$D$14/v_conv)</f>
        <v/>
      </c>
      <c r="L165" s="34" t="str">
        <f aca="false">IF(F165="","",2*F165+w_conv*$D$15/v_conv)</f>
        <v/>
      </c>
      <c r="M165" s="34" t="str">
        <f aca="false">IF(G165="","",2*G165+w_conv*$D$16/v_conv)</f>
        <v/>
      </c>
      <c r="N165" s="34" t="str">
        <f aca="false">IF(H165="","",2*H165+w_conv*$D$17/v_conv)</f>
        <v/>
      </c>
      <c r="O165" s="34" t="str">
        <f aca="false">IF(A165&gt;NL_b,"",MIN(I165:N165))</f>
        <v/>
      </c>
      <c r="P165" s="34" t="str">
        <f aca="false">IF(O165="","",INDEX(C165:H165,MATCH(O165,I165:N165,0)))</f>
        <v/>
      </c>
      <c r="Q165" s="34" t="str">
        <f aca="false">IF(O165="","",INDEX($D$12:$D$17,MATCH(O165,I165:N165,0)))</f>
        <v/>
      </c>
    </row>
    <row r="166" customFormat="false" ht="15" hidden="false" customHeight="true" outlineLevel="0" collapsed="false">
      <c r="A166" s="54" t="n">
        <v>146</v>
      </c>
      <c r="B166" s="34" t="n">
        <f aca="false">(A166-0.5)*u_w</f>
        <v>145.5</v>
      </c>
      <c r="C166" s="34" t="str">
        <f aca="false">IF(OR(A166&gt;NL_b,$B$12=""),"",IF((ABS(B166-$B$12)+lane_off)&lt;=0,0,IF((ABS(B166-$B$12)+lane_off)&gt;=v_sh^2/a_sh,(ABS(B166-$B$12)+lane_off)/v_sh+v_sh/a_sh,2*SQRT((ABS(B166-$B$12)+lane_off)/a_sh))))</f>
        <v/>
      </c>
      <c r="D166" s="34" t="str">
        <f aca="false">IF(OR(A166&gt;NL_b,$B$13=""),"",IF((ABS(B166-$B$13)+lane_off)&lt;=0,0,IF((ABS(B166-$B$13)+lane_off)&gt;=v_sh^2/a_sh,(ABS(B166-$B$13)+lane_off)/v_sh+v_sh/a_sh,2*SQRT((ABS(B166-$B$13)+lane_off)/a_sh))))</f>
        <v/>
      </c>
      <c r="E166" s="34" t="str">
        <f aca="false">IF(OR(A166&gt;NL_b,$B$14=""),"",IF((ABS(B166-$B$14)+lane_off)&lt;=0,0,IF((ABS(B166-$B$14)+lane_off)&gt;=v_sh^2/a_sh,(ABS(B166-$B$14)+lane_off)/v_sh+v_sh/a_sh,2*SQRT((ABS(B166-$B$14)+lane_off)/a_sh))))</f>
        <v/>
      </c>
      <c r="F166" s="34" t="str">
        <f aca="false">IF(OR(A166&gt;NL_b,$B$15=""),"",IF((ABS(B166-$B$15)+lane_off)&lt;=0,0,IF((ABS(B166-$B$15)+lane_off)&gt;=v_sh^2/a_sh,(ABS(B166-$B$15)+lane_off)/v_sh+v_sh/a_sh,2*SQRT((ABS(B166-$B$15)+lane_off)/a_sh))))</f>
        <v/>
      </c>
      <c r="G166" s="34" t="str">
        <f aca="false">IF(OR(A166&gt;NL_b,$B$16=""),"",IF((ABS(B166-$B$16)+lane_off)&lt;=0,0,IF((ABS(B166-$B$16)+lane_off)&gt;=v_sh^2/a_sh,(ABS(B166-$B$16)+lane_off)/v_sh+v_sh/a_sh,2*SQRT((ABS(B166-$B$16)+lane_off)/a_sh))))</f>
        <v/>
      </c>
      <c r="H166" s="34" t="str">
        <f aca="false">IF(OR(A166&gt;NL_b,$B$17=""),"",IF((ABS(B166-$B$17)+lane_off)&lt;=0,0,IF((ABS(B166-$B$17)+lane_off)&gt;=v_sh^2/a_sh,(ABS(B166-$B$17)+lane_off)/v_sh+v_sh/a_sh,2*SQRT((ABS(B166-$B$17)+lane_off)/a_sh))))</f>
        <v/>
      </c>
      <c r="I166" s="34" t="str">
        <f aca="false">IF(C166="","",2*C166+w_conv*$D$12/v_conv)</f>
        <v/>
      </c>
      <c r="J166" s="34" t="str">
        <f aca="false">IF(D166="","",2*D166+w_conv*$D$13/v_conv)</f>
        <v/>
      </c>
      <c r="K166" s="34" t="str">
        <f aca="false">IF(E166="","",2*E166+w_conv*$D$14/v_conv)</f>
        <v/>
      </c>
      <c r="L166" s="34" t="str">
        <f aca="false">IF(F166="","",2*F166+w_conv*$D$15/v_conv)</f>
        <v/>
      </c>
      <c r="M166" s="34" t="str">
        <f aca="false">IF(G166="","",2*G166+w_conv*$D$16/v_conv)</f>
        <v/>
      </c>
      <c r="N166" s="34" t="str">
        <f aca="false">IF(H166="","",2*H166+w_conv*$D$17/v_conv)</f>
        <v/>
      </c>
      <c r="O166" s="34" t="str">
        <f aca="false">IF(A166&gt;NL_b,"",MIN(I166:N166))</f>
        <v/>
      </c>
      <c r="P166" s="34" t="str">
        <f aca="false">IF(O166="","",INDEX(C166:H166,MATCH(O166,I166:N166,0)))</f>
        <v/>
      </c>
      <c r="Q166" s="34" t="str">
        <f aca="false">IF(O166="","",INDEX($D$12:$D$17,MATCH(O166,I166:N166,0)))</f>
        <v/>
      </c>
    </row>
    <row r="167" customFormat="false" ht="15" hidden="false" customHeight="true" outlineLevel="0" collapsed="false">
      <c r="A167" s="54" t="n">
        <v>147</v>
      </c>
      <c r="B167" s="34" t="n">
        <f aca="false">(A167-0.5)*u_w</f>
        <v>146.5</v>
      </c>
      <c r="C167" s="34" t="str">
        <f aca="false">IF(OR(A167&gt;NL_b,$B$12=""),"",IF((ABS(B167-$B$12)+lane_off)&lt;=0,0,IF((ABS(B167-$B$12)+lane_off)&gt;=v_sh^2/a_sh,(ABS(B167-$B$12)+lane_off)/v_sh+v_sh/a_sh,2*SQRT((ABS(B167-$B$12)+lane_off)/a_sh))))</f>
        <v/>
      </c>
      <c r="D167" s="34" t="str">
        <f aca="false">IF(OR(A167&gt;NL_b,$B$13=""),"",IF((ABS(B167-$B$13)+lane_off)&lt;=0,0,IF((ABS(B167-$B$13)+lane_off)&gt;=v_sh^2/a_sh,(ABS(B167-$B$13)+lane_off)/v_sh+v_sh/a_sh,2*SQRT((ABS(B167-$B$13)+lane_off)/a_sh))))</f>
        <v/>
      </c>
      <c r="E167" s="34" t="str">
        <f aca="false">IF(OR(A167&gt;NL_b,$B$14=""),"",IF((ABS(B167-$B$14)+lane_off)&lt;=0,0,IF((ABS(B167-$B$14)+lane_off)&gt;=v_sh^2/a_sh,(ABS(B167-$B$14)+lane_off)/v_sh+v_sh/a_sh,2*SQRT((ABS(B167-$B$14)+lane_off)/a_sh))))</f>
        <v/>
      </c>
      <c r="F167" s="34" t="str">
        <f aca="false">IF(OR(A167&gt;NL_b,$B$15=""),"",IF((ABS(B167-$B$15)+lane_off)&lt;=0,0,IF((ABS(B167-$B$15)+lane_off)&gt;=v_sh^2/a_sh,(ABS(B167-$B$15)+lane_off)/v_sh+v_sh/a_sh,2*SQRT((ABS(B167-$B$15)+lane_off)/a_sh))))</f>
        <v/>
      </c>
      <c r="G167" s="34" t="str">
        <f aca="false">IF(OR(A167&gt;NL_b,$B$16=""),"",IF((ABS(B167-$B$16)+lane_off)&lt;=0,0,IF((ABS(B167-$B$16)+lane_off)&gt;=v_sh^2/a_sh,(ABS(B167-$B$16)+lane_off)/v_sh+v_sh/a_sh,2*SQRT((ABS(B167-$B$16)+lane_off)/a_sh))))</f>
        <v/>
      </c>
      <c r="H167" s="34" t="str">
        <f aca="false">IF(OR(A167&gt;NL_b,$B$17=""),"",IF((ABS(B167-$B$17)+lane_off)&lt;=0,0,IF((ABS(B167-$B$17)+lane_off)&gt;=v_sh^2/a_sh,(ABS(B167-$B$17)+lane_off)/v_sh+v_sh/a_sh,2*SQRT((ABS(B167-$B$17)+lane_off)/a_sh))))</f>
        <v/>
      </c>
      <c r="I167" s="34" t="str">
        <f aca="false">IF(C167="","",2*C167+w_conv*$D$12/v_conv)</f>
        <v/>
      </c>
      <c r="J167" s="34" t="str">
        <f aca="false">IF(D167="","",2*D167+w_conv*$D$13/v_conv)</f>
        <v/>
      </c>
      <c r="K167" s="34" t="str">
        <f aca="false">IF(E167="","",2*E167+w_conv*$D$14/v_conv)</f>
        <v/>
      </c>
      <c r="L167" s="34" t="str">
        <f aca="false">IF(F167="","",2*F167+w_conv*$D$15/v_conv)</f>
        <v/>
      </c>
      <c r="M167" s="34" t="str">
        <f aca="false">IF(G167="","",2*G167+w_conv*$D$16/v_conv)</f>
        <v/>
      </c>
      <c r="N167" s="34" t="str">
        <f aca="false">IF(H167="","",2*H167+w_conv*$D$17/v_conv)</f>
        <v/>
      </c>
      <c r="O167" s="34" t="str">
        <f aca="false">IF(A167&gt;NL_b,"",MIN(I167:N167))</f>
        <v/>
      </c>
      <c r="P167" s="34" t="str">
        <f aca="false">IF(O167="","",INDEX(C167:H167,MATCH(O167,I167:N167,0)))</f>
        <v/>
      </c>
      <c r="Q167" s="34" t="str">
        <f aca="false">IF(O167="","",INDEX($D$12:$D$17,MATCH(O167,I167:N167,0)))</f>
        <v/>
      </c>
    </row>
    <row r="168" customFormat="false" ht="15" hidden="false" customHeight="true" outlineLevel="0" collapsed="false">
      <c r="A168" s="54" t="n">
        <v>148</v>
      </c>
      <c r="B168" s="34" t="n">
        <f aca="false">(A168-0.5)*u_w</f>
        <v>147.5</v>
      </c>
      <c r="C168" s="34" t="str">
        <f aca="false">IF(OR(A168&gt;NL_b,$B$12=""),"",IF((ABS(B168-$B$12)+lane_off)&lt;=0,0,IF((ABS(B168-$B$12)+lane_off)&gt;=v_sh^2/a_sh,(ABS(B168-$B$12)+lane_off)/v_sh+v_sh/a_sh,2*SQRT((ABS(B168-$B$12)+lane_off)/a_sh))))</f>
        <v/>
      </c>
      <c r="D168" s="34" t="str">
        <f aca="false">IF(OR(A168&gt;NL_b,$B$13=""),"",IF((ABS(B168-$B$13)+lane_off)&lt;=0,0,IF((ABS(B168-$B$13)+lane_off)&gt;=v_sh^2/a_sh,(ABS(B168-$B$13)+lane_off)/v_sh+v_sh/a_sh,2*SQRT((ABS(B168-$B$13)+lane_off)/a_sh))))</f>
        <v/>
      </c>
      <c r="E168" s="34" t="str">
        <f aca="false">IF(OR(A168&gt;NL_b,$B$14=""),"",IF((ABS(B168-$B$14)+lane_off)&lt;=0,0,IF((ABS(B168-$B$14)+lane_off)&gt;=v_sh^2/a_sh,(ABS(B168-$B$14)+lane_off)/v_sh+v_sh/a_sh,2*SQRT((ABS(B168-$B$14)+lane_off)/a_sh))))</f>
        <v/>
      </c>
      <c r="F168" s="34" t="str">
        <f aca="false">IF(OR(A168&gt;NL_b,$B$15=""),"",IF((ABS(B168-$B$15)+lane_off)&lt;=0,0,IF((ABS(B168-$B$15)+lane_off)&gt;=v_sh^2/a_sh,(ABS(B168-$B$15)+lane_off)/v_sh+v_sh/a_sh,2*SQRT((ABS(B168-$B$15)+lane_off)/a_sh))))</f>
        <v/>
      </c>
      <c r="G168" s="34" t="str">
        <f aca="false">IF(OR(A168&gt;NL_b,$B$16=""),"",IF((ABS(B168-$B$16)+lane_off)&lt;=0,0,IF((ABS(B168-$B$16)+lane_off)&gt;=v_sh^2/a_sh,(ABS(B168-$B$16)+lane_off)/v_sh+v_sh/a_sh,2*SQRT((ABS(B168-$B$16)+lane_off)/a_sh))))</f>
        <v/>
      </c>
      <c r="H168" s="34" t="str">
        <f aca="false">IF(OR(A168&gt;NL_b,$B$17=""),"",IF((ABS(B168-$B$17)+lane_off)&lt;=0,0,IF((ABS(B168-$B$17)+lane_off)&gt;=v_sh^2/a_sh,(ABS(B168-$B$17)+lane_off)/v_sh+v_sh/a_sh,2*SQRT((ABS(B168-$B$17)+lane_off)/a_sh))))</f>
        <v/>
      </c>
      <c r="I168" s="34" t="str">
        <f aca="false">IF(C168="","",2*C168+w_conv*$D$12/v_conv)</f>
        <v/>
      </c>
      <c r="J168" s="34" t="str">
        <f aca="false">IF(D168="","",2*D168+w_conv*$D$13/v_conv)</f>
        <v/>
      </c>
      <c r="K168" s="34" t="str">
        <f aca="false">IF(E168="","",2*E168+w_conv*$D$14/v_conv)</f>
        <v/>
      </c>
      <c r="L168" s="34" t="str">
        <f aca="false">IF(F168="","",2*F168+w_conv*$D$15/v_conv)</f>
        <v/>
      </c>
      <c r="M168" s="34" t="str">
        <f aca="false">IF(G168="","",2*G168+w_conv*$D$16/v_conv)</f>
        <v/>
      </c>
      <c r="N168" s="34" t="str">
        <f aca="false">IF(H168="","",2*H168+w_conv*$D$17/v_conv)</f>
        <v/>
      </c>
      <c r="O168" s="34" t="str">
        <f aca="false">IF(A168&gt;NL_b,"",MIN(I168:N168))</f>
        <v/>
      </c>
      <c r="P168" s="34" t="str">
        <f aca="false">IF(O168="","",INDEX(C168:H168,MATCH(O168,I168:N168,0)))</f>
        <v/>
      </c>
      <c r="Q168" s="34" t="str">
        <f aca="false">IF(O168="","",INDEX($D$12:$D$17,MATCH(O168,I168:N168,0)))</f>
        <v/>
      </c>
    </row>
    <row r="169" customFormat="false" ht="15" hidden="false" customHeight="true" outlineLevel="0" collapsed="false">
      <c r="A169" s="54" t="n">
        <v>149</v>
      </c>
      <c r="B169" s="34" t="n">
        <f aca="false">(A169-0.5)*u_w</f>
        <v>148.5</v>
      </c>
      <c r="C169" s="34" t="str">
        <f aca="false">IF(OR(A169&gt;NL_b,$B$12=""),"",IF((ABS(B169-$B$12)+lane_off)&lt;=0,0,IF((ABS(B169-$B$12)+lane_off)&gt;=v_sh^2/a_sh,(ABS(B169-$B$12)+lane_off)/v_sh+v_sh/a_sh,2*SQRT((ABS(B169-$B$12)+lane_off)/a_sh))))</f>
        <v/>
      </c>
      <c r="D169" s="34" t="str">
        <f aca="false">IF(OR(A169&gt;NL_b,$B$13=""),"",IF((ABS(B169-$B$13)+lane_off)&lt;=0,0,IF((ABS(B169-$B$13)+lane_off)&gt;=v_sh^2/a_sh,(ABS(B169-$B$13)+lane_off)/v_sh+v_sh/a_sh,2*SQRT((ABS(B169-$B$13)+lane_off)/a_sh))))</f>
        <v/>
      </c>
      <c r="E169" s="34" t="str">
        <f aca="false">IF(OR(A169&gt;NL_b,$B$14=""),"",IF((ABS(B169-$B$14)+lane_off)&lt;=0,0,IF((ABS(B169-$B$14)+lane_off)&gt;=v_sh^2/a_sh,(ABS(B169-$B$14)+lane_off)/v_sh+v_sh/a_sh,2*SQRT((ABS(B169-$B$14)+lane_off)/a_sh))))</f>
        <v/>
      </c>
      <c r="F169" s="34" t="str">
        <f aca="false">IF(OR(A169&gt;NL_b,$B$15=""),"",IF((ABS(B169-$B$15)+lane_off)&lt;=0,0,IF((ABS(B169-$B$15)+lane_off)&gt;=v_sh^2/a_sh,(ABS(B169-$B$15)+lane_off)/v_sh+v_sh/a_sh,2*SQRT((ABS(B169-$B$15)+lane_off)/a_sh))))</f>
        <v/>
      </c>
      <c r="G169" s="34" t="str">
        <f aca="false">IF(OR(A169&gt;NL_b,$B$16=""),"",IF((ABS(B169-$B$16)+lane_off)&lt;=0,0,IF((ABS(B169-$B$16)+lane_off)&gt;=v_sh^2/a_sh,(ABS(B169-$B$16)+lane_off)/v_sh+v_sh/a_sh,2*SQRT((ABS(B169-$B$16)+lane_off)/a_sh))))</f>
        <v/>
      </c>
      <c r="H169" s="34" t="str">
        <f aca="false">IF(OR(A169&gt;NL_b,$B$17=""),"",IF((ABS(B169-$B$17)+lane_off)&lt;=0,0,IF((ABS(B169-$B$17)+lane_off)&gt;=v_sh^2/a_sh,(ABS(B169-$B$17)+lane_off)/v_sh+v_sh/a_sh,2*SQRT((ABS(B169-$B$17)+lane_off)/a_sh))))</f>
        <v/>
      </c>
      <c r="I169" s="34" t="str">
        <f aca="false">IF(C169="","",2*C169+w_conv*$D$12/v_conv)</f>
        <v/>
      </c>
      <c r="J169" s="34" t="str">
        <f aca="false">IF(D169="","",2*D169+w_conv*$D$13/v_conv)</f>
        <v/>
      </c>
      <c r="K169" s="34" t="str">
        <f aca="false">IF(E169="","",2*E169+w_conv*$D$14/v_conv)</f>
        <v/>
      </c>
      <c r="L169" s="34" t="str">
        <f aca="false">IF(F169="","",2*F169+w_conv*$D$15/v_conv)</f>
        <v/>
      </c>
      <c r="M169" s="34" t="str">
        <f aca="false">IF(G169="","",2*G169+w_conv*$D$16/v_conv)</f>
        <v/>
      </c>
      <c r="N169" s="34" t="str">
        <f aca="false">IF(H169="","",2*H169+w_conv*$D$17/v_conv)</f>
        <v/>
      </c>
      <c r="O169" s="34" t="str">
        <f aca="false">IF(A169&gt;NL_b,"",MIN(I169:N169))</f>
        <v/>
      </c>
      <c r="P169" s="34" t="str">
        <f aca="false">IF(O169="","",INDEX(C169:H169,MATCH(O169,I169:N169,0)))</f>
        <v/>
      </c>
      <c r="Q169" s="34" t="str">
        <f aca="false">IF(O169="","",INDEX($D$12:$D$17,MATCH(O169,I169:N169,0)))</f>
        <v/>
      </c>
    </row>
    <row r="170" customFormat="false" ht="15" hidden="false" customHeight="true" outlineLevel="0" collapsed="false">
      <c r="A170" s="54" t="n">
        <v>150</v>
      </c>
      <c r="B170" s="34" t="n">
        <f aca="false">(A170-0.5)*u_w</f>
        <v>149.5</v>
      </c>
      <c r="C170" s="34" t="str">
        <f aca="false">IF(OR(A170&gt;NL_b,$B$12=""),"",IF((ABS(B170-$B$12)+lane_off)&lt;=0,0,IF((ABS(B170-$B$12)+lane_off)&gt;=v_sh^2/a_sh,(ABS(B170-$B$12)+lane_off)/v_sh+v_sh/a_sh,2*SQRT((ABS(B170-$B$12)+lane_off)/a_sh))))</f>
        <v/>
      </c>
      <c r="D170" s="34" t="str">
        <f aca="false">IF(OR(A170&gt;NL_b,$B$13=""),"",IF((ABS(B170-$B$13)+lane_off)&lt;=0,0,IF((ABS(B170-$B$13)+lane_off)&gt;=v_sh^2/a_sh,(ABS(B170-$B$13)+lane_off)/v_sh+v_sh/a_sh,2*SQRT((ABS(B170-$B$13)+lane_off)/a_sh))))</f>
        <v/>
      </c>
      <c r="E170" s="34" t="str">
        <f aca="false">IF(OR(A170&gt;NL_b,$B$14=""),"",IF((ABS(B170-$B$14)+lane_off)&lt;=0,0,IF((ABS(B170-$B$14)+lane_off)&gt;=v_sh^2/a_sh,(ABS(B170-$B$14)+lane_off)/v_sh+v_sh/a_sh,2*SQRT((ABS(B170-$B$14)+lane_off)/a_sh))))</f>
        <v/>
      </c>
      <c r="F170" s="34" t="str">
        <f aca="false">IF(OR(A170&gt;NL_b,$B$15=""),"",IF((ABS(B170-$B$15)+lane_off)&lt;=0,0,IF((ABS(B170-$B$15)+lane_off)&gt;=v_sh^2/a_sh,(ABS(B170-$B$15)+lane_off)/v_sh+v_sh/a_sh,2*SQRT((ABS(B170-$B$15)+lane_off)/a_sh))))</f>
        <v/>
      </c>
      <c r="G170" s="34" t="str">
        <f aca="false">IF(OR(A170&gt;NL_b,$B$16=""),"",IF((ABS(B170-$B$16)+lane_off)&lt;=0,0,IF((ABS(B170-$B$16)+lane_off)&gt;=v_sh^2/a_sh,(ABS(B170-$B$16)+lane_off)/v_sh+v_sh/a_sh,2*SQRT((ABS(B170-$B$16)+lane_off)/a_sh))))</f>
        <v/>
      </c>
      <c r="H170" s="34" t="str">
        <f aca="false">IF(OR(A170&gt;NL_b,$B$17=""),"",IF((ABS(B170-$B$17)+lane_off)&lt;=0,0,IF((ABS(B170-$B$17)+lane_off)&gt;=v_sh^2/a_sh,(ABS(B170-$B$17)+lane_off)/v_sh+v_sh/a_sh,2*SQRT((ABS(B170-$B$17)+lane_off)/a_sh))))</f>
        <v/>
      </c>
      <c r="I170" s="34" t="str">
        <f aca="false">IF(C170="","",2*C170+w_conv*$D$12/v_conv)</f>
        <v/>
      </c>
      <c r="J170" s="34" t="str">
        <f aca="false">IF(D170="","",2*D170+w_conv*$D$13/v_conv)</f>
        <v/>
      </c>
      <c r="K170" s="34" t="str">
        <f aca="false">IF(E170="","",2*E170+w_conv*$D$14/v_conv)</f>
        <v/>
      </c>
      <c r="L170" s="34" t="str">
        <f aca="false">IF(F170="","",2*F170+w_conv*$D$15/v_conv)</f>
        <v/>
      </c>
      <c r="M170" s="34" t="str">
        <f aca="false">IF(G170="","",2*G170+w_conv*$D$16/v_conv)</f>
        <v/>
      </c>
      <c r="N170" s="34" t="str">
        <f aca="false">IF(H170="","",2*H170+w_conv*$D$17/v_conv)</f>
        <v/>
      </c>
      <c r="O170" s="34" t="str">
        <f aca="false">IF(A170&gt;NL_b,"",MIN(I170:N170))</f>
        <v/>
      </c>
      <c r="P170" s="34" t="str">
        <f aca="false">IF(O170="","",INDEX(C170:H170,MATCH(O170,I170:N170,0)))</f>
        <v/>
      </c>
      <c r="Q170" s="34" t="str">
        <f aca="false">IF(O170="","",INDEX($D$12:$D$17,MATCH(O170,I170:N170,0)))</f>
        <v/>
      </c>
    </row>
    <row r="171" customFormat="false" ht="15" hidden="false" customHeight="true" outlineLevel="0" collapsed="false">
      <c r="A171" s="54" t="n">
        <v>151</v>
      </c>
      <c r="B171" s="34" t="n">
        <f aca="false">(A171-0.5)*u_w</f>
        <v>150.5</v>
      </c>
      <c r="C171" s="34" t="str">
        <f aca="false">IF(OR(A171&gt;NL_b,$B$12=""),"",IF((ABS(B171-$B$12)+lane_off)&lt;=0,0,IF((ABS(B171-$B$12)+lane_off)&gt;=v_sh^2/a_sh,(ABS(B171-$B$12)+lane_off)/v_sh+v_sh/a_sh,2*SQRT((ABS(B171-$B$12)+lane_off)/a_sh))))</f>
        <v/>
      </c>
      <c r="D171" s="34" t="str">
        <f aca="false">IF(OR(A171&gt;NL_b,$B$13=""),"",IF((ABS(B171-$B$13)+lane_off)&lt;=0,0,IF((ABS(B171-$B$13)+lane_off)&gt;=v_sh^2/a_sh,(ABS(B171-$B$13)+lane_off)/v_sh+v_sh/a_sh,2*SQRT((ABS(B171-$B$13)+lane_off)/a_sh))))</f>
        <v/>
      </c>
      <c r="E171" s="34" t="str">
        <f aca="false">IF(OR(A171&gt;NL_b,$B$14=""),"",IF((ABS(B171-$B$14)+lane_off)&lt;=0,0,IF((ABS(B171-$B$14)+lane_off)&gt;=v_sh^2/a_sh,(ABS(B171-$B$14)+lane_off)/v_sh+v_sh/a_sh,2*SQRT((ABS(B171-$B$14)+lane_off)/a_sh))))</f>
        <v/>
      </c>
      <c r="F171" s="34" t="str">
        <f aca="false">IF(OR(A171&gt;NL_b,$B$15=""),"",IF((ABS(B171-$B$15)+lane_off)&lt;=0,0,IF((ABS(B171-$B$15)+lane_off)&gt;=v_sh^2/a_sh,(ABS(B171-$B$15)+lane_off)/v_sh+v_sh/a_sh,2*SQRT((ABS(B171-$B$15)+lane_off)/a_sh))))</f>
        <v/>
      </c>
      <c r="G171" s="34" t="str">
        <f aca="false">IF(OR(A171&gt;NL_b,$B$16=""),"",IF((ABS(B171-$B$16)+lane_off)&lt;=0,0,IF((ABS(B171-$B$16)+lane_off)&gt;=v_sh^2/a_sh,(ABS(B171-$B$16)+lane_off)/v_sh+v_sh/a_sh,2*SQRT((ABS(B171-$B$16)+lane_off)/a_sh))))</f>
        <v/>
      </c>
      <c r="H171" s="34" t="str">
        <f aca="false">IF(OR(A171&gt;NL_b,$B$17=""),"",IF((ABS(B171-$B$17)+lane_off)&lt;=0,0,IF((ABS(B171-$B$17)+lane_off)&gt;=v_sh^2/a_sh,(ABS(B171-$B$17)+lane_off)/v_sh+v_sh/a_sh,2*SQRT((ABS(B171-$B$17)+lane_off)/a_sh))))</f>
        <v/>
      </c>
      <c r="I171" s="34" t="str">
        <f aca="false">IF(C171="","",2*C171+w_conv*$D$12/v_conv)</f>
        <v/>
      </c>
      <c r="J171" s="34" t="str">
        <f aca="false">IF(D171="","",2*D171+w_conv*$D$13/v_conv)</f>
        <v/>
      </c>
      <c r="K171" s="34" t="str">
        <f aca="false">IF(E171="","",2*E171+w_conv*$D$14/v_conv)</f>
        <v/>
      </c>
      <c r="L171" s="34" t="str">
        <f aca="false">IF(F171="","",2*F171+w_conv*$D$15/v_conv)</f>
        <v/>
      </c>
      <c r="M171" s="34" t="str">
        <f aca="false">IF(G171="","",2*G171+w_conv*$D$16/v_conv)</f>
        <v/>
      </c>
      <c r="N171" s="34" t="str">
        <f aca="false">IF(H171="","",2*H171+w_conv*$D$17/v_conv)</f>
        <v/>
      </c>
      <c r="O171" s="34" t="str">
        <f aca="false">IF(A171&gt;NL_b,"",MIN(I171:N171))</f>
        <v/>
      </c>
      <c r="P171" s="34" t="str">
        <f aca="false">IF(O171="","",INDEX(C171:H171,MATCH(O171,I171:N171,0)))</f>
        <v/>
      </c>
      <c r="Q171" s="34" t="str">
        <f aca="false">IF(O171="","",INDEX($D$12:$D$17,MATCH(O171,I171:N171,0)))</f>
        <v/>
      </c>
    </row>
    <row r="172" customFormat="false" ht="15" hidden="false" customHeight="true" outlineLevel="0" collapsed="false">
      <c r="A172" s="54" t="n">
        <v>152</v>
      </c>
      <c r="B172" s="34" t="n">
        <f aca="false">(A172-0.5)*u_w</f>
        <v>151.5</v>
      </c>
      <c r="C172" s="34" t="str">
        <f aca="false">IF(OR(A172&gt;NL_b,$B$12=""),"",IF((ABS(B172-$B$12)+lane_off)&lt;=0,0,IF((ABS(B172-$B$12)+lane_off)&gt;=v_sh^2/a_sh,(ABS(B172-$B$12)+lane_off)/v_sh+v_sh/a_sh,2*SQRT((ABS(B172-$B$12)+lane_off)/a_sh))))</f>
        <v/>
      </c>
      <c r="D172" s="34" t="str">
        <f aca="false">IF(OR(A172&gt;NL_b,$B$13=""),"",IF((ABS(B172-$B$13)+lane_off)&lt;=0,0,IF((ABS(B172-$B$13)+lane_off)&gt;=v_sh^2/a_sh,(ABS(B172-$B$13)+lane_off)/v_sh+v_sh/a_sh,2*SQRT((ABS(B172-$B$13)+lane_off)/a_sh))))</f>
        <v/>
      </c>
      <c r="E172" s="34" t="str">
        <f aca="false">IF(OR(A172&gt;NL_b,$B$14=""),"",IF((ABS(B172-$B$14)+lane_off)&lt;=0,0,IF((ABS(B172-$B$14)+lane_off)&gt;=v_sh^2/a_sh,(ABS(B172-$B$14)+lane_off)/v_sh+v_sh/a_sh,2*SQRT((ABS(B172-$B$14)+lane_off)/a_sh))))</f>
        <v/>
      </c>
      <c r="F172" s="34" t="str">
        <f aca="false">IF(OR(A172&gt;NL_b,$B$15=""),"",IF((ABS(B172-$B$15)+lane_off)&lt;=0,0,IF((ABS(B172-$B$15)+lane_off)&gt;=v_sh^2/a_sh,(ABS(B172-$B$15)+lane_off)/v_sh+v_sh/a_sh,2*SQRT((ABS(B172-$B$15)+lane_off)/a_sh))))</f>
        <v/>
      </c>
      <c r="G172" s="34" t="str">
        <f aca="false">IF(OR(A172&gt;NL_b,$B$16=""),"",IF((ABS(B172-$B$16)+lane_off)&lt;=0,0,IF((ABS(B172-$B$16)+lane_off)&gt;=v_sh^2/a_sh,(ABS(B172-$B$16)+lane_off)/v_sh+v_sh/a_sh,2*SQRT((ABS(B172-$B$16)+lane_off)/a_sh))))</f>
        <v/>
      </c>
      <c r="H172" s="34" t="str">
        <f aca="false">IF(OR(A172&gt;NL_b,$B$17=""),"",IF((ABS(B172-$B$17)+lane_off)&lt;=0,0,IF((ABS(B172-$B$17)+lane_off)&gt;=v_sh^2/a_sh,(ABS(B172-$B$17)+lane_off)/v_sh+v_sh/a_sh,2*SQRT((ABS(B172-$B$17)+lane_off)/a_sh))))</f>
        <v/>
      </c>
      <c r="I172" s="34" t="str">
        <f aca="false">IF(C172="","",2*C172+w_conv*$D$12/v_conv)</f>
        <v/>
      </c>
      <c r="J172" s="34" t="str">
        <f aca="false">IF(D172="","",2*D172+w_conv*$D$13/v_conv)</f>
        <v/>
      </c>
      <c r="K172" s="34" t="str">
        <f aca="false">IF(E172="","",2*E172+w_conv*$D$14/v_conv)</f>
        <v/>
      </c>
      <c r="L172" s="34" t="str">
        <f aca="false">IF(F172="","",2*F172+w_conv*$D$15/v_conv)</f>
        <v/>
      </c>
      <c r="M172" s="34" t="str">
        <f aca="false">IF(G172="","",2*G172+w_conv*$D$16/v_conv)</f>
        <v/>
      </c>
      <c r="N172" s="34" t="str">
        <f aca="false">IF(H172="","",2*H172+w_conv*$D$17/v_conv)</f>
        <v/>
      </c>
      <c r="O172" s="34" t="str">
        <f aca="false">IF(A172&gt;NL_b,"",MIN(I172:N172))</f>
        <v/>
      </c>
      <c r="P172" s="34" t="str">
        <f aca="false">IF(O172="","",INDEX(C172:H172,MATCH(O172,I172:N172,0)))</f>
        <v/>
      </c>
      <c r="Q172" s="34" t="str">
        <f aca="false">IF(O172="","",INDEX($D$12:$D$17,MATCH(O172,I172:N172,0)))</f>
        <v/>
      </c>
    </row>
    <row r="173" customFormat="false" ht="15" hidden="false" customHeight="true" outlineLevel="0" collapsed="false">
      <c r="A173" s="54" t="n">
        <v>153</v>
      </c>
      <c r="B173" s="34" t="n">
        <f aca="false">(A173-0.5)*u_w</f>
        <v>152.5</v>
      </c>
      <c r="C173" s="34" t="str">
        <f aca="false">IF(OR(A173&gt;NL_b,$B$12=""),"",IF((ABS(B173-$B$12)+lane_off)&lt;=0,0,IF((ABS(B173-$B$12)+lane_off)&gt;=v_sh^2/a_sh,(ABS(B173-$B$12)+lane_off)/v_sh+v_sh/a_sh,2*SQRT((ABS(B173-$B$12)+lane_off)/a_sh))))</f>
        <v/>
      </c>
      <c r="D173" s="34" t="str">
        <f aca="false">IF(OR(A173&gt;NL_b,$B$13=""),"",IF((ABS(B173-$B$13)+lane_off)&lt;=0,0,IF((ABS(B173-$B$13)+lane_off)&gt;=v_sh^2/a_sh,(ABS(B173-$B$13)+lane_off)/v_sh+v_sh/a_sh,2*SQRT((ABS(B173-$B$13)+lane_off)/a_sh))))</f>
        <v/>
      </c>
      <c r="E173" s="34" t="str">
        <f aca="false">IF(OR(A173&gt;NL_b,$B$14=""),"",IF((ABS(B173-$B$14)+lane_off)&lt;=0,0,IF((ABS(B173-$B$14)+lane_off)&gt;=v_sh^2/a_sh,(ABS(B173-$B$14)+lane_off)/v_sh+v_sh/a_sh,2*SQRT((ABS(B173-$B$14)+lane_off)/a_sh))))</f>
        <v/>
      </c>
      <c r="F173" s="34" t="str">
        <f aca="false">IF(OR(A173&gt;NL_b,$B$15=""),"",IF((ABS(B173-$B$15)+lane_off)&lt;=0,0,IF((ABS(B173-$B$15)+lane_off)&gt;=v_sh^2/a_sh,(ABS(B173-$B$15)+lane_off)/v_sh+v_sh/a_sh,2*SQRT((ABS(B173-$B$15)+lane_off)/a_sh))))</f>
        <v/>
      </c>
      <c r="G173" s="34" t="str">
        <f aca="false">IF(OR(A173&gt;NL_b,$B$16=""),"",IF((ABS(B173-$B$16)+lane_off)&lt;=0,0,IF((ABS(B173-$B$16)+lane_off)&gt;=v_sh^2/a_sh,(ABS(B173-$B$16)+lane_off)/v_sh+v_sh/a_sh,2*SQRT((ABS(B173-$B$16)+lane_off)/a_sh))))</f>
        <v/>
      </c>
      <c r="H173" s="34" t="str">
        <f aca="false">IF(OR(A173&gt;NL_b,$B$17=""),"",IF((ABS(B173-$B$17)+lane_off)&lt;=0,0,IF((ABS(B173-$B$17)+lane_off)&gt;=v_sh^2/a_sh,(ABS(B173-$B$17)+lane_off)/v_sh+v_sh/a_sh,2*SQRT((ABS(B173-$B$17)+lane_off)/a_sh))))</f>
        <v/>
      </c>
      <c r="I173" s="34" t="str">
        <f aca="false">IF(C173="","",2*C173+w_conv*$D$12/v_conv)</f>
        <v/>
      </c>
      <c r="J173" s="34" t="str">
        <f aca="false">IF(D173="","",2*D173+w_conv*$D$13/v_conv)</f>
        <v/>
      </c>
      <c r="K173" s="34" t="str">
        <f aca="false">IF(E173="","",2*E173+w_conv*$D$14/v_conv)</f>
        <v/>
      </c>
      <c r="L173" s="34" t="str">
        <f aca="false">IF(F173="","",2*F173+w_conv*$D$15/v_conv)</f>
        <v/>
      </c>
      <c r="M173" s="34" t="str">
        <f aca="false">IF(G173="","",2*G173+w_conv*$D$16/v_conv)</f>
        <v/>
      </c>
      <c r="N173" s="34" t="str">
        <f aca="false">IF(H173="","",2*H173+w_conv*$D$17/v_conv)</f>
        <v/>
      </c>
      <c r="O173" s="34" t="str">
        <f aca="false">IF(A173&gt;NL_b,"",MIN(I173:N173))</f>
        <v/>
      </c>
      <c r="P173" s="34" t="str">
        <f aca="false">IF(O173="","",INDEX(C173:H173,MATCH(O173,I173:N173,0)))</f>
        <v/>
      </c>
      <c r="Q173" s="34" t="str">
        <f aca="false">IF(O173="","",INDEX($D$12:$D$17,MATCH(O173,I173:N173,0)))</f>
        <v/>
      </c>
    </row>
    <row r="174" customFormat="false" ht="15" hidden="false" customHeight="true" outlineLevel="0" collapsed="false">
      <c r="A174" s="54" t="n">
        <v>154</v>
      </c>
      <c r="B174" s="34" t="n">
        <f aca="false">(A174-0.5)*u_w</f>
        <v>153.5</v>
      </c>
      <c r="C174" s="34" t="str">
        <f aca="false">IF(OR(A174&gt;NL_b,$B$12=""),"",IF((ABS(B174-$B$12)+lane_off)&lt;=0,0,IF((ABS(B174-$B$12)+lane_off)&gt;=v_sh^2/a_sh,(ABS(B174-$B$12)+lane_off)/v_sh+v_sh/a_sh,2*SQRT((ABS(B174-$B$12)+lane_off)/a_sh))))</f>
        <v/>
      </c>
      <c r="D174" s="34" t="str">
        <f aca="false">IF(OR(A174&gt;NL_b,$B$13=""),"",IF((ABS(B174-$B$13)+lane_off)&lt;=0,0,IF((ABS(B174-$B$13)+lane_off)&gt;=v_sh^2/a_sh,(ABS(B174-$B$13)+lane_off)/v_sh+v_sh/a_sh,2*SQRT((ABS(B174-$B$13)+lane_off)/a_sh))))</f>
        <v/>
      </c>
      <c r="E174" s="34" t="str">
        <f aca="false">IF(OR(A174&gt;NL_b,$B$14=""),"",IF((ABS(B174-$B$14)+lane_off)&lt;=0,0,IF((ABS(B174-$B$14)+lane_off)&gt;=v_sh^2/a_sh,(ABS(B174-$B$14)+lane_off)/v_sh+v_sh/a_sh,2*SQRT((ABS(B174-$B$14)+lane_off)/a_sh))))</f>
        <v/>
      </c>
      <c r="F174" s="34" t="str">
        <f aca="false">IF(OR(A174&gt;NL_b,$B$15=""),"",IF((ABS(B174-$B$15)+lane_off)&lt;=0,0,IF((ABS(B174-$B$15)+lane_off)&gt;=v_sh^2/a_sh,(ABS(B174-$B$15)+lane_off)/v_sh+v_sh/a_sh,2*SQRT((ABS(B174-$B$15)+lane_off)/a_sh))))</f>
        <v/>
      </c>
      <c r="G174" s="34" t="str">
        <f aca="false">IF(OR(A174&gt;NL_b,$B$16=""),"",IF((ABS(B174-$B$16)+lane_off)&lt;=0,0,IF((ABS(B174-$B$16)+lane_off)&gt;=v_sh^2/a_sh,(ABS(B174-$B$16)+lane_off)/v_sh+v_sh/a_sh,2*SQRT((ABS(B174-$B$16)+lane_off)/a_sh))))</f>
        <v/>
      </c>
      <c r="H174" s="34" t="str">
        <f aca="false">IF(OR(A174&gt;NL_b,$B$17=""),"",IF((ABS(B174-$B$17)+lane_off)&lt;=0,0,IF((ABS(B174-$B$17)+lane_off)&gt;=v_sh^2/a_sh,(ABS(B174-$B$17)+lane_off)/v_sh+v_sh/a_sh,2*SQRT((ABS(B174-$B$17)+lane_off)/a_sh))))</f>
        <v/>
      </c>
      <c r="I174" s="34" t="str">
        <f aca="false">IF(C174="","",2*C174+w_conv*$D$12/v_conv)</f>
        <v/>
      </c>
      <c r="J174" s="34" t="str">
        <f aca="false">IF(D174="","",2*D174+w_conv*$D$13/v_conv)</f>
        <v/>
      </c>
      <c r="K174" s="34" t="str">
        <f aca="false">IF(E174="","",2*E174+w_conv*$D$14/v_conv)</f>
        <v/>
      </c>
      <c r="L174" s="34" t="str">
        <f aca="false">IF(F174="","",2*F174+w_conv*$D$15/v_conv)</f>
        <v/>
      </c>
      <c r="M174" s="34" t="str">
        <f aca="false">IF(G174="","",2*G174+w_conv*$D$16/v_conv)</f>
        <v/>
      </c>
      <c r="N174" s="34" t="str">
        <f aca="false">IF(H174="","",2*H174+w_conv*$D$17/v_conv)</f>
        <v/>
      </c>
      <c r="O174" s="34" t="str">
        <f aca="false">IF(A174&gt;NL_b,"",MIN(I174:N174))</f>
        <v/>
      </c>
      <c r="P174" s="34" t="str">
        <f aca="false">IF(O174="","",INDEX(C174:H174,MATCH(O174,I174:N174,0)))</f>
        <v/>
      </c>
      <c r="Q174" s="34" t="str">
        <f aca="false">IF(O174="","",INDEX($D$12:$D$17,MATCH(O174,I174:N174,0)))</f>
        <v/>
      </c>
    </row>
    <row r="175" customFormat="false" ht="15" hidden="false" customHeight="true" outlineLevel="0" collapsed="false">
      <c r="A175" s="54" t="n">
        <v>155</v>
      </c>
      <c r="B175" s="34" t="n">
        <f aca="false">(A175-0.5)*u_w</f>
        <v>154.5</v>
      </c>
      <c r="C175" s="34" t="str">
        <f aca="false">IF(OR(A175&gt;NL_b,$B$12=""),"",IF((ABS(B175-$B$12)+lane_off)&lt;=0,0,IF((ABS(B175-$B$12)+lane_off)&gt;=v_sh^2/a_sh,(ABS(B175-$B$12)+lane_off)/v_sh+v_sh/a_sh,2*SQRT((ABS(B175-$B$12)+lane_off)/a_sh))))</f>
        <v/>
      </c>
      <c r="D175" s="34" t="str">
        <f aca="false">IF(OR(A175&gt;NL_b,$B$13=""),"",IF((ABS(B175-$B$13)+lane_off)&lt;=0,0,IF((ABS(B175-$B$13)+lane_off)&gt;=v_sh^2/a_sh,(ABS(B175-$B$13)+lane_off)/v_sh+v_sh/a_sh,2*SQRT((ABS(B175-$B$13)+lane_off)/a_sh))))</f>
        <v/>
      </c>
      <c r="E175" s="34" t="str">
        <f aca="false">IF(OR(A175&gt;NL_b,$B$14=""),"",IF((ABS(B175-$B$14)+lane_off)&lt;=0,0,IF((ABS(B175-$B$14)+lane_off)&gt;=v_sh^2/a_sh,(ABS(B175-$B$14)+lane_off)/v_sh+v_sh/a_sh,2*SQRT((ABS(B175-$B$14)+lane_off)/a_sh))))</f>
        <v/>
      </c>
      <c r="F175" s="34" t="str">
        <f aca="false">IF(OR(A175&gt;NL_b,$B$15=""),"",IF((ABS(B175-$B$15)+lane_off)&lt;=0,0,IF((ABS(B175-$B$15)+lane_off)&gt;=v_sh^2/a_sh,(ABS(B175-$B$15)+lane_off)/v_sh+v_sh/a_sh,2*SQRT((ABS(B175-$B$15)+lane_off)/a_sh))))</f>
        <v/>
      </c>
      <c r="G175" s="34" t="str">
        <f aca="false">IF(OR(A175&gt;NL_b,$B$16=""),"",IF((ABS(B175-$B$16)+lane_off)&lt;=0,0,IF((ABS(B175-$B$16)+lane_off)&gt;=v_sh^2/a_sh,(ABS(B175-$B$16)+lane_off)/v_sh+v_sh/a_sh,2*SQRT((ABS(B175-$B$16)+lane_off)/a_sh))))</f>
        <v/>
      </c>
      <c r="H175" s="34" t="str">
        <f aca="false">IF(OR(A175&gt;NL_b,$B$17=""),"",IF((ABS(B175-$B$17)+lane_off)&lt;=0,0,IF((ABS(B175-$B$17)+lane_off)&gt;=v_sh^2/a_sh,(ABS(B175-$B$17)+lane_off)/v_sh+v_sh/a_sh,2*SQRT((ABS(B175-$B$17)+lane_off)/a_sh))))</f>
        <v/>
      </c>
      <c r="I175" s="34" t="str">
        <f aca="false">IF(C175="","",2*C175+w_conv*$D$12/v_conv)</f>
        <v/>
      </c>
      <c r="J175" s="34" t="str">
        <f aca="false">IF(D175="","",2*D175+w_conv*$D$13/v_conv)</f>
        <v/>
      </c>
      <c r="K175" s="34" t="str">
        <f aca="false">IF(E175="","",2*E175+w_conv*$D$14/v_conv)</f>
        <v/>
      </c>
      <c r="L175" s="34" t="str">
        <f aca="false">IF(F175="","",2*F175+w_conv*$D$15/v_conv)</f>
        <v/>
      </c>
      <c r="M175" s="34" t="str">
        <f aca="false">IF(G175="","",2*G175+w_conv*$D$16/v_conv)</f>
        <v/>
      </c>
      <c r="N175" s="34" t="str">
        <f aca="false">IF(H175="","",2*H175+w_conv*$D$17/v_conv)</f>
        <v/>
      </c>
      <c r="O175" s="34" t="str">
        <f aca="false">IF(A175&gt;NL_b,"",MIN(I175:N175))</f>
        <v/>
      </c>
      <c r="P175" s="34" t="str">
        <f aca="false">IF(O175="","",INDEX(C175:H175,MATCH(O175,I175:N175,0)))</f>
        <v/>
      </c>
      <c r="Q175" s="34" t="str">
        <f aca="false">IF(O175="","",INDEX($D$12:$D$17,MATCH(O175,I175:N175,0)))</f>
        <v/>
      </c>
    </row>
    <row r="176" customFormat="false" ht="15" hidden="false" customHeight="true" outlineLevel="0" collapsed="false">
      <c r="A176" s="54" t="n">
        <v>156</v>
      </c>
      <c r="B176" s="34" t="n">
        <f aca="false">(A176-0.5)*u_w</f>
        <v>155.5</v>
      </c>
      <c r="C176" s="34" t="str">
        <f aca="false">IF(OR(A176&gt;NL_b,$B$12=""),"",IF((ABS(B176-$B$12)+lane_off)&lt;=0,0,IF((ABS(B176-$B$12)+lane_off)&gt;=v_sh^2/a_sh,(ABS(B176-$B$12)+lane_off)/v_sh+v_sh/a_sh,2*SQRT((ABS(B176-$B$12)+lane_off)/a_sh))))</f>
        <v/>
      </c>
      <c r="D176" s="34" t="str">
        <f aca="false">IF(OR(A176&gt;NL_b,$B$13=""),"",IF((ABS(B176-$B$13)+lane_off)&lt;=0,0,IF((ABS(B176-$B$13)+lane_off)&gt;=v_sh^2/a_sh,(ABS(B176-$B$13)+lane_off)/v_sh+v_sh/a_sh,2*SQRT((ABS(B176-$B$13)+lane_off)/a_sh))))</f>
        <v/>
      </c>
      <c r="E176" s="34" t="str">
        <f aca="false">IF(OR(A176&gt;NL_b,$B$14=""),"",IF((ABS(B176-$B$14)+lane_off)&lt;=0,0,IF((ABS(B176-$B$14)+lane_off)&gt;=v_sh^2/a_sh,(ABS(B176-$B$14)+lane_off)/v_sh+v_sh/a_sh,2*SQRT((ABS(B176-$B$14)+lane_off)/a_sh))))</f>
        <v/>
      </c>
      <c r="F176" s="34" t="str">
        <f aca="false">IF(OR(A176&gt;NL_b,$B$15=""),"",IF((ABS(B176-$B$15)+lane_off)&lt;=0,0,IF((ABS(B176-$B$15)+lane_off)&gt;=v_sh^2/a_sh,(ABS(B176-$B$15)+lane_off)/v_sh+v_sh/a_sh,2*SQRT((ABS(B176-$B$15)+lane_off)/a_sh))))</f>
        <v/>
      </c>
      <c r="G176" s="34" t="str">
        <f aca="false">IF(OR(A176&gt;NL_b,$B$16=""),"",IF((ABS(B176-$B$16)+lane_off)&lt;=0,0,IF((ABS(B176-$B$16)+lane_off)&gt;=v_sh^2/a_sh,(ABS(B176-$B$16)+lane_off)/v_sh+v_sh/a_sh,2*SQRT((ABS(B176-$B$16)+lane_off)/a_sh))))</f>
        <v/>
      </c>
      <c r="H176" s="34" t="str">
        <f aca="false">IF(OR(A176&gt;NL_b,$B$17=""),"",IF((ABS(B176-$B$17)+lane_off)&lt;=0,0,IF((ABS(B176-$B$17)+lane_off)&gt;=v_sh^2/a_sh,(ABS(B176-$B$17)+lane_off)/v_sh+v_sh/a_sh,2*SQRT((ABS(B176-$B$17)+lane_off)/a_sh))))</f>
        <v/>
      </c>
      <c r="I176" s="34" t="str">
        <f aca="false">IF(C176="","",2*C176+w_conv*$D$12/v_conv)</f>
        <v/>
      </c>
      <c r="J176" s="34" t="str">
        <f aca="false">IF(D176="","",2*D176+w_conv*$D$13/v_conv)</f>
        <v/>
      </c>
      <c r="K176" s="34" t="str">
        <f aca="false">IF(E176="","",2*E176+w_conv*$D$14/v_conv)</f>
        <v/>
      </c>
      <c r="L176" s="34" t="str">
        <f aca="false">IF(F176="","",2*F176+w_conv*$D$15/v_conv)</f>
        <v/>
      </c>
      <c r="M176" s="34" t="str">
        <f aca="false">IF(G176="","",2*G176+w_conv*$D$16/v_conv)</f>
        <v/>
      </c>
      <c r="N176" s="34" t="str">
        <f aca="false">IF(H176="","",2*H176+w_conv*$D$17/v_conv)</f>
        <v/>
      </c>
      <c r="O176" s="34" t="str">
        <f aca="false">IF(A176&gt;NL_b,"",MIN(I176:N176))</f>
        <v/>
      </c>
      <c r="P176" s="34" t="str">
        <f aca="false">IF(O176="","",INDEX(C176:H176,MATCH(O176,I176:N176,0)))</f>
        <v/>
      </c>
      <c r="Q176" s="34" t="str">
        <f aca="false">IF(O176="","",INDEX($D$12:$D$17,MATCH(O176,I176:N176,0)))</f>
        <v/>
      </c>
    </row>
    <row r="177" customFormat="false" ht="15" hidden="false" customHeight="true" outlineLevel="0" collapsed="false">
      <c r="A177" s="54" t="n">
        <v>157</v>
      </c>
      <c r="B177" s="34" t="n">
        <f aca="false">(A177-0.5)*u_w</f>
        <v>156.5</v>
      </c>
      <c r="C177" s="34" t="str">
        <f aca="false">IF(OR(A177&gt;NL_b,$B$12=""),"",IF((ABS(B177-$B$12)+lane_off)&lt;=0,0,IF((ABS(B177-$B$12)+lane_off)&gt;=v_sh^2/a_sh,(ABS(B177-$B$12)+lane_off)/v_sh+v_sh/a_sh,2*SQRT((ABS(B177-$B$12)+lane_off)/a_sh))))</f>
        <v/>
      </c>
      <c r="D177" s="34" t="str">
        <f aca="false">IF(OR(A177&gt;NL_b,$B$13=""),"",IF((ABS(B177-$B$13)+lane_off)&lt;=0,0,IF((ABS(B177-$B$13)+lane_off)&gt;=v_sh^2/a_sh,(ABS(B177-$B$13)+lane_off)/v_sh+v_sh/a_sh,2*SQRT((ABS(B177-$B$13)+lane_off)/a_sh))))</f>
        <v/>
      </c>
      <c r="E177" s="34" t="str">
        <f aca="false">IF(OR(A177&gt;NL_b,$B$14=""),"",IF((ABS(B177-$B$14)+lane_off)&lt;=0,0,IF((ABS(B177-$B$14)+lane_off)&gt;=v_sh^2/a_sh,(ABS(B177-$B$14)+lane_off)/v_sh+v_sh/a_sh,2*SQRT((ABS(B177-$B$14)+lane_off)/a_sh))))</f>
        <v/>
      </c>
      <c r="F177" s="34" t="str">
        <f aca="false">IF(OR(A177&gt;NL_b,$B$15=""),"",IF((ABS(B177-$B$15)+lane_off)&lt;=0,0,IF((ABS(B177-$B$15)+lane_off)&gt;=v_sh^2/a_sh,(ABS(B177-$B$15)+lane_off)/v_sh+v_sh/a_sh,2*SQRT((ABS(B177-$B$15)+lane_off)/a_sh))))</f>
        <v/>
      </c>
      <c r="G177" s="34" t="str">
        <f aca="false">IF(OR(A177&gt;NL_b,$B$16=""),"",IF((ABS(B177-$B$16)+lane_off)&lt;=0,0,IF((ABS(B177-$B$16)+lane_off)&gt;=v_sh^2/a_sh,(ABS(B177-$B$16)+lane_off)/v_sh+v_sh/a_sh,2*SQRT((ABS(B177-$B$16)+lane_off)/a_sh))))</f>
        <v/>
      </c>
      <c r="H177" s="34" t="str">
        <f aca="false">IF(OR(A177&gt;NL_b,$B$17=""),"",IF((ABS(B177-$B$17)+lane_off)&lt;=0,0,IF((ABS(B177-$B$17)+lane_off)&gt;=v_sh^2/a_sh,(ABS(B177-$B$17)+lane_off)/v_sh+v_sh/a_sh,2*SQRT((ABS(B177-$B$17)+lane_off)/a_sh))))</f>
        <v/>
      </c>
      <c r="I177" s="34" t="str">
        <f aca="false">IF(C177="","",2*C177+w_conv*$D$12/v_conv)</f>
        <v/>
      </c>
      <c r="J177" s="34" t="str">
        <f aca="false">IF(D177="","",2*D177+w_conv*$D$13/v_conv)</f>
        <v/>
      </c>
      <c r="K177" s="34" t="str">
        <f aca="false">IF(E177="","",2*E177+w_conv*$D$14/v_conv)</f>
        <v/>
      </c>
      <c r="L177" s="34" t="str">
        <f aca="false">IF(F177="","",2*F177+w_conv*$D$15/v_conv)</f>
        <v/>
      </c>
      <c r="M177" s="34" t="str">
        <f aca="false">IF(G177="","",2*G177+w_conv*$D$16/v_conv)</f>
        <v/>
      </c>
      <c r="N177" s="34" t="str">
        <f aca="false">IF(H177="","",2*H177+w_conv*$D$17/v_conv)</f>
        <v/>
      </c>
      <c r="O177" s="34" t="str">
        <f aca="false">IF(A177&gt;NL_b,"",MIN(I177:N177))</f>
        <v/>
      </c>
      <c r="P177" s="34" t="str">
        <f aca="false">IF(O177="","",INDEX(C177:H177,MATCH(O177,I177:N177,0)))</f>
        <v/>
      </c>
      <c r="Q177" s="34" t="str">
        <f aca="false">IF(O177="","",INDEX($D$12:$D$17,MATCH(O177,I177:N177,0)))</f>
        <v/>
      </c>
    </row>
    <row r="178" customFormat="false" ht="15" hidden="false" customHeight="true" outlineLevel="0" collapsed="false">
      <c r="A178" s="54" t="n">
        <v>158</v>
      </c>
      <c r="B178" s="34" t="n">
        <f aca="false">(A178-0.5)*u_w</f>
        <v>157.5</v>
      </c>
      <c r="C178" s="34" t="str">
        <f aca="false">IF(OR(A178&gt;NL_b,$B$12=""),"",IF((ABS(B178-$B$12)+lane_off)&lt;=0,0,IF((ABS(B178-$B$12)+lane_off)&gt;=v_sh^2/a_sh,(ABS(B178-$B$12)+lane_off)/v_sh+v_sh/a_sh,2*SQRT((ABS(B178-$B$12)+lane_off)/a_sh))))</f>
        <v/>
      </c>
      <c r="D178" s="34" t="str">
        <f aca="false">IF(OR(A178&gt;NL_b,$B$13=""),"",IF((ABS(B178-$B$13)+lane_off)&lt;=0,0,IF((ABS(B178-$B$13)+lane_off)&gt;=v_sh^2/a_sh,(ABS(B178-$B$13)+lane_off)/v_sh+v_sh/a_sh,2*SQRT((ABS(B178-$B$13)+lane_off)/a_sh))))</f>
        <v/>
      </c>
      <c r="E178" s="34" t="str">
        <f aca="false">IF(OR(A178&gt;NL_b,$B$14=""),"",IF((ABS(B178-$B$14)+lane_off)&lt;=0,0,IF((ABS(B178-$B$14)+lane_off)&gt;=v_sh^2/a_sh,(ABS(B178-$B$14)+lane_off)/v_sh+v_sh/a_sh,2*SQRT((ABS(B178-$B$14)+lane_off)/a_sh))))</f>
        <v/>
      </c>
      <c r="F178" s="34" t="str">
        <f aca="false">IF(OR(A178&gt;NL_b,$B$15=""),"",IF((ABS(B178-$B$15)+lane_off)&lt;=0,0,IF((ABS(B178-$B$15)+lane_off)&gt;=v_sh^2/a_sh,(ABS(B178-$B$15)+lane_off)/v_sh+v_sh/a_sh,2*SQRT((ABS(B178-$B$15)+lane_off)/a_sh))))</f>
        <v/>
      </c>
      <c r="G178" s="34" t="str">
        <f aca="false">IF(OR(A178&gt;NL_b,$B$16=""),"",IF((ABS(B178-$B$16)+lane_off)&lt;=0,0,IF((ABS(B178-$B$16)+lane_off)&gt;=v_sh^2/a_sh,(ABS(B178-$B$16)+lane_off)/v_sh+v_sh/a_sh,2*SQRT((ABS(B178-$B$16)+lane_off)/a_sh))))</f>
        <v/>
      </c>
      <c r="H178" s="34" t="str">
        <f aca="false">IF(OR(A178&gt;NL_b,$B$17=""),"",IF((ABS(B178-$B$17)+lane_off)&lt;=0,0,IF((ABS(B178-$B$17)+lane_off)&gt;=v_sh^2/a_sh,(ABS(B178-$B$17)+lane_off)/v_sh+v_sh/a_sh,2*SQRT((ABS(B178-$B$17)+lane_off)/a_sh))))</f>
        <v/>
      </c>
      <c r="I178" s="34" t="str">
        <f aca="false">IF(C178="","",2*C178+w_conv*$D$12/v_conv)</f>
        <v/>
      </c>
      <c r="J178" s="34" t="str">
        <f aca="false">IF(D178="","",2*D178+w_conv*$D$13/v_conv)</f>
        <v/>
      </c>
      <c r="K178" s="34" t="str">
        <f aca="false">IF(E178="","",2*E178+w_conv*$D$14/v_conv)</f>
        <v/>
      </c>
      <c r="L178" s="34" t="str">
        <f aca="false">IF(F178="","",2*F178+w_conv*$D$15/v_conv)</f>
        <v/>
      </c>
      <c r="M178" s="34" t="str">
        <f aca="false">IF(G178="","",2*G178+w_conv*$D$16/v_conv)</f>
        <v/>
      </c>
      <c r="N178" s="34" t="str">
        <f aca="false">IF(H178="","",2*H178+w_conv*$D$17/v_conv)</f>
        <v/>
      </c>
      <c r="O178" s="34" t="str">
        <f aca="false">IF(A178&gt;NL_b,"",MIN(I178:N178))</f>
        <v/>
      </c>
      <c r="P178" s="34" t="str">
        <f aca="false">IF(O178="","",INDEX(C178:H178,MATCH(O178,I178:N178,0)))</f>
        <v/>
      </c>
      <c r="Q178" s="34" t="str">
        <f aca="false">IF(O178="","",INDEX($D$12:$D$17,MATCH(O178,I178:N178,0)))</f>
        <v/>
      </c>
    </row>
    <row r="179" customFormat="false" ht="15" hidden="false" customHeight="true" outlineLevel="0" collapsed="false">
      <c r="A179" s="54" t="n">
        <v>159</v>
      </c>
      <c r="B179" s="34" t="n">
        <f aca="false">(A179-0.5)*u_w</f>
        <v>158.5</v>
      </c>
      <c r="C179" s="34" t="str">
        <f aca="false">IF(OR(A179&gt;NL_b,$B$12=""),"",IF((ABS(B179-$B$12)+lane_off)&lt;=0,0,IF((ABS(B179-$B$12)+lane_off)&gt;=v_sh^2/a_sh,(ABS(B179-$B$12)+lane_off)/v_sh+v_sh/a_sh,2*SQRT((ABS(B179-$B$12)+lane_off)/a_sh))))</f>
        <v/>
      </c>
      <c r="D179" s="34" t="str">
        <f aca="false">IF(OR(A179&gt;NL_b,$B$13=""),"",IF((ABS(B179-$B$13)+lane_off)&lt;=0,0,IF((ABS(B179-$B$13)+lane_off)&gt;=v_sh^2/a_sh,(ABS(B179-$B$13)+lane_off)/v_sh+v_sh/a_sh,2*SQRT((ABS(B179-$B$13)+lane_off)/a_sh))))</f>
        <v/>
      </c>
      <c r="E179" s="34" t="str">
        <f aca="false">IF(OR(A179&gt;NL_b,$B$14=""),"",IF((ABS(B179-$B$14)+lane_off)&lt;=0,0,IF((ABS(B179-$B$14)+lane_off)&gt;=v_sh^2/a_sh,(ABS(B179-$B$14)+lane_off)/v_sh+v_sh/a_sh,2*SQRT((ABS(B179-$B$14)+lane_off)/a_sh))))</f>
        <v/>
      </c>
      <c r="F179" s="34" t="str">
        <f aca="false">IF(OR(A179&gt;NL_b,$B$15=""),"",IF((ABS(B179-$B$15)+lane_off)&lt;=0,0,IF((ABS(B179-$B$15)+lane_off)&gt;=v_sh^2/a_sh,(ABS(B179-$B$15)+lane_off)/v_sh+v_sh/a_sh,2*SQRT((ABS(B179-$B$15)+lane_off)/a_sh))))</f>
        <v/>
      </c>
      <c r="G179" s="34" t="str">
        <f aca="false">IF(OR(A179&gt;NL_b,$B$16=""),"",IF((ABS(B179-$B$16)+lane_off)&lt;=0,0,IF((ABS(B179-$B$16)+lane_off)&gt;=v_sh^2/a_sh,(ABS(B179-$B$16)+lane_off)/v_sh+v_sh/a_sh,2*SQRT((ABS(B179-$B$16)+lane_off)/a_sh))))</f>
        <v/>
      </c>
      <c r="H179" s="34" t="str">
        <f aca="false">IF(OR(A179&gt;NL_b,$B$17=""),"",IF((ABS(B179-$B$17)+lane_off)&lt;=0,0,IF((ABS(B179-$B$17)+lane_off)&gt;=v_sh^2/a_sh,(ABS(B179-$B$17)+lane_off)/v_sh+v_sh/a_sh,2*SQRT((ABS(B179-$B$17)+lane_off)/a_sh))))</f>
        <v/>
      </c>
      <c r="I179" s="34" t="str">
        <f aca="false">IF(C179="","",2*C179+w_conv*$D$12/v_conv)</f>
        <v/>
      </c>
      <c r="J179" s="34" t="str">
        <f aca="false">IF(D179="","",2*D179+w_conv*$D$13/v_conv)</f>
        <v/>
      </c>
      <c r="K179" s="34" t="str">
        <f aca="false">IF(E179="","",2*E179+w_conv*$D$14/v_conv)</f>
        <v/>
      </c>
      <c r="L179" s="34" t="str">
        <f aca="false">IF(F179="","",2*F179+w_conv*$D$15/v_conv)</f>
        <v/>
      </c>
      <c r="M179" s="34" t="str">
        <f aca="false">IF(G179="","",2*G179+w_conv*$D$16/v_conv)</f>
        <v/>
      </c>
      <c r="N179" s="34" t="str">
        <f aca="false">IF(H179="","",2*H179+w_conv*$D$17/v_conv)</f>
        <v/>
      </c>
      <c r="O179" s="34" t="str">
        <f aca="false">IF(A179&gt;NL_b,"",MIN(I179:N179))</f>
        <v/>
      </c>
      <c r="P179" s="34" t="str">
        <f aca="false">IF(O179="","",INDEX(C179:H179,MATCH(O179,I179:N179,0)))</f>
        <v/>
      </c>
      <c r="Q179" s="34" t="str">
        <f aca="false">IF(O179="","",INDEX($D$12:$D$17,MATCH(O179,I179:N179,0)))</f>
        <v/>
      </c>
    </row>
    <row r="180" customFormat="false" ht="15" hidden="false" customHeight="true" outlineLevel="0" collapsed="false">
      <c r="A180" s="54" t="n">
        <v>160</v>
      </c>
      <c r="B180" s="34" t="n">
        <f aca="false">(A180-0.5)*u_w</f>
        <v>159.5</v>
      </c>
      <c r="C180" s="34" t="str">
        <f aca="false">IF(OR(A180&gt;NL_b,$B$12=""),"",IF((ABS(B180-$B$12)+lane_off)&lt;=0,0,IF((ABS(B180-$B$12)+lane_off)&gt;=v_sh^2/a_sh,(ABS(B180-$B$12)+lane_off)/v_sh+v_sh/a_sh,2*SQRT((ABS(B180-$B$12)+lane_off)/a_sh))))</f>
        <v/>
      </c>
      <c r="D180" s="34" t="str">
        <f aca="false">IF(OR(A180&gt;NL_b,$B$13=""),"",IF((ABS(B180-$B$13)+lane_off)&lt;=0,0,IF((ABS(B180-$B$13)+lane_off)&gt;=v_sh^2/a_sh,(ABS(B180-$B$13)+lane_off)/v_sh+v_sh/a_sh,2*SQRT((ABS(B180-$B$13)+lane_off)/a_sh))))</f>
        <v/>
      </c>
      <c r="E180" s="34" t="str">
        <f aca="false">IF(OR(A180&gt;NL_b,$B$14=""),"",IF((ABS(B180-$B$14)+lane_off)&lt;=0,0,IF((ABS(B180-$B$14)+lane_off)&gt;=v_sh^2/a_sh,(ABS(B180-$B$14)+lane_off)/v_sh+v_sh/a_sh,2*SQRT((ABS(B180-$B$14)+lane_off)/a_sh))))</f>
        <v/>
      </c>
      <c r="F180" s="34" t="str">
        <f aca="false">IF(OR(A180&gt;NL_b,$B$15=""),"",IF((ABS(B180-$B$15)+lane_off)&lt;=0,0,IF((ABS(B180-$B$15)+lane_off)&gt;=v_sh^2/a_sh,(ABS(B180-$B$15)+lane_off)/v_sh+v_sh/a_sh,2*SQRT((ABS(B180-$B$15)+lane_off)/a_sh))))</f>
        <v/>
      </c>
      <c r="G180" s="34" t="str">
        <f aca="false">IF(OR(A180&gt;NL_b,$B$16=""),"",IF((ABS(B180-$B$16)+lane_off)&lt;=0,0,IF((ABS(B180-$B$16)+lane_off)&gt;=v_sh^2/a_sh,(ABS(B180-$B$16)+lane_off)/v_sh+v_sh/a_sh,2*SQRT((ABS(B180-$B$16)+lane_off)/a_sh))))</f>
        <v/>
      </c>
      <c r="H180" s="34" t="str">
        <f aca="false">IF(OR(A180&gt;NL_b,$B$17=""),"",IF((ABS(B180-$B$17)+lane_off)&lt;=0,0,IF((ABS(B180-$B$17)+lane_off)&gt;=v_sh^2/a_sh,(ABS(B180-$B$17)+lane_off)/v_sh+v_sh/a_sh,2*SQRT((ABS(B180-$B$17)+lane_off)/a_sh))))</f>
        <v/>
      </c>
      <c r="I180" s="34" t="str">
        <f aca="false">IF(C180="","",2*C180+w_conv*$D$12/v_conv)</f>
        <v/>
      </c>
      <c r="J180" s="34" t="str">
        <f aca="false">IF(D180="","",2*D180+w_conv*$D$13/v_conv)</f>
        <v/>
      </c>
      <c r="K180" s="34" t="str">
        <f aca="false">IF(E180="","",2*E180+w_conv*$D$14/v_conv)</f>
        <v/>
      </c>
      <c r="L180" s="34" t="str">
        <f aca="false">IF(F180="","",2*F180+w_conv*$D$15/v_conv)</f>
        <v/>
      </c>
      <c r="M180" s="34" t="str">
        <f aca="false">IF(G180="","",2*G180+w_conv*$D$16/v_conv)</f>
        <v/>
      </c>
      <c r="N180" s="34" t="str">
        <f aca="false">IF(H180="","",2*H180+w_conv*$D$17/v_conv)</f>
        <v/>
      </c>
      <c r="O180" s="34" t="str">
        <f aca="false">IF(A180&gt;NL_b,"",MIN(I180:N180))</f>
        <v/>
      </c>
      <c r="P180" s="34" t="str">
        <f aca="false">IF(O180="","",INDEX(C180:H180,MATCH(O180,I180:N180,0)))</f>
        <v/>
      </c>
      <c r="Q180" s="34" t="str">
        <f aca="false">IF(O180="","",INDEX($D$12:$D$17,MATCH(O180,I180:N180,0)))</f>
        <v/>
      </c>
    </row>
    <row r="181" customFormat="false" ht="15" hidden="false" customHeight="true" outlineLevel="0" collapsed="false">
      <c r="A181" s="54" t="n">
        <v>161</v>
      </c>
      <c r="B181" s="34" t="n">
        <f aca="false">(A181-0.5)*u_w</f>
        <v>160.5</v>
      </c>
      <c r="C181" s="34" t="str">
        <f aca="false">IF(OR(A181&gt;NL_b,$B$12=""),"",IF((ABS(B181-$B$12)+lane_off)&lt;=0,0,IF((ABS(B181-$B$12)+lane_off)&gt;=v_sh^2/a_sh,(ABS(B181-$B$12)+lane_off)/v_sh+v_sh/a_sh,2*SQRT((ABS(B181-$B$12)+lane_off)/a_sh))))</f>
        <v/>
      </c>
      <c r="D181" s="34" t="str">
        <f aca="false">IF(OR(A181&gt;NL_b,$B$13=""),"",IF((ABS(B181-$B$13)+lane_off)&lt;=0,0,IF((ABS(B181-$B$13)+lane_off)&gt;=v_sh^2/a_sh,(ABS(B181-$B$13)+lane_off)/v_sh+v_sh/a_sh,2*SQRT((ABS(B181-$B$13)+lane_off)/a_sh))))</f>
        <v/>
      </c>
      <c r="E181" s="34" t="str">
        <f aca="false">IF(OR(A181&gt;NL_b,$B$14=""),"",IF((ABS(B181-$B$14)+lane_off)&lt;=0,0,IF((ABS(B181-$B$14)+lane_off)&gt;=v_sh^2/a_sh,(ABS(B181-$B$14)+lane_off)/v_sh+v_sh/a_sh,2*SQRT((ABS(B181-$B$14)+lane_off)/a_sh))))</f>
        <v/>
      </c>
      <c r="F181" s="34" t="str">
        <f aca="false">IF(OR(A181&gt;NL_b,$B$15=""),"",IF((ABS(B181-$B$15)+lane_off)&lt;=0,0,IF((ABS(B181-$B$15)+lane_off)&gt;=v_sh^2/a_sh,(ABS(B181-$B$15)+lane_off)/v_sh+v_sh/a_sh,2*SQRT((ABS(B181-$B$15)+lane_off)/a_sh))))</f>
        <v/>
      </c>
      <c r="G181" s="34" t="str">
        <f aca="false">IF(OR(A181&gt;NL_b,$B$16=""),"",IF((ABS(B181-$B$16)+lane_off)&lt;=0,0,IF((ABS(B181-$B$16)+lane_off)&gt;=v_sh^2/a_sh,(ABS(B181-$B$16)+lane_off)/v_sh+v_sh/a_sh,2*SQRT((ABS(B181-$B$16)+lane_off)/a_sh))))</f>
        <v/>
      </c>
      <c r="H181" s="34" t="str">
        <f aca="false">IF(OR(A181&gt;NL_b,$B$17=""),"",IF((ABS(B181-$B$17)+lane_off)&lt;=0,0,IF((ABS(B181-$B$17)+lane_off)&gt;=v_sh^2/a_sh,(ABS(B181-$B$17)+lane_off)/v_sh+v_sh/a_sh,2*SQRT((ABS(B181-$B$17)+lane_off)/a_sh))))</f>
        <v/>
      </c>
      <c r="I181" s="34" t="str">
        <f aca="false">IF(C181="","",2*C181+w_conv*$D$12/v_conv)</f>
        <v/>
      </c>
      <c r="J181" s="34" t="str">
        <f aca="false">IF(D181="","",2*D181+w_conv*$D$13/v_conv)</f>
        <v/>
      </c>
      <c r="K181" s="34" t="str">
        <f aca="false">IF(E181="","",2*E181+w_conv*$D$14/v_conv)</f>
        <v/>
      </c>
      <c r="L181" s="34" t="str">
        <f aca="false">IF(F181="","",2*F181+w_conv*$D$15/v_conv)</f>
        <v/>
      </c>
      <c r="M181" s="34" t="str">
        <f aca="false">IF(G181="","",2*G181+w_conv*$D$16/v_conv)</f>
        <v/>
      </c>
      <c r="N181" s="34" t="str">
        <f aca="false">IF(H181="","",2*H181+w_conv*$D$17/v_conv)</f>
        <v/>
      </c>
      <c r="O181" s="34" t="str">
        <f aca="false">IF(A181&gt;NL_b,"",MIN(I181:N181))</f>
        <v/>
      </c>
      <c r="P181" s="34" t="str">
        <f aca="false">IF(O181="","",INDEX(C181:H181,MATCH(O181,I181:N181,0)))</f>
        <v/>
      </c>
      <c r="Q181" s="34" t="str">
        <f aca="false">IF(O181="","",INDEX($D$12:$D$17,MATCH(O181,I181:N181,0)))</f>
        <v/>
      </c>
    </row>
    <row r="182" customFormat="false" ht="15" hidden="false" customHeight="true" outlineLevel="0" collapsed="false">
      <c r="A182" s="54" t="n">
        <v>162</v>
      </c>
      <c r="B182" s="34" t="n">
        <f aca="false">(A182-0.5)*u_w</f>
        <v>161.5</v>
      </c>
      <c r="C182" s="34" t="str">
        <f aca="false">IF(OR(A182&gt;NL_b,$B$12=""),"",IF((ABS(B182-$B$12)+lane_off)&lt;=0,0,IF((ABS(B182-$B$12)+lane_off)&gt;=v_sh^2/a_sh,(ABS(B182-$B$12)+lane_off)/v_sh+v_sh/a_sh,2*SQRT((ABS(B182-$B$12)+lane_off)/a_sh))))</f>
        <v/>
      </c>
      <c r="D182" s="34" t="str">
        <f aca="false">IF(OR(A182&gt;NL_b,$B$13=""),"",IF((ABS(B182-$B$13)+lane_off)&lt;=0,0,IF((ABS(B182-$B$13)+lane_off)&gt;=v_sh^2/a_sh,(ABS(B182-$B$13)+lane_off)/v_sh+v_sh/a_sh,2*SQRT((ABS(B182-$B$13)+lane_off)/a_sh))))</f>
        <v/>
      </c>
      <c r="E182" s="34" t="str">
        <f aca="false">IF(OR(A182&gt;NL_b,$B$14=""),"",IF((ABS(B182-$B$14)+lane_off)&lt;=0,0,IF((ABS(B182-$B$14)+lane_off)&gt;=v_sh^2/a_sh,(ABS(B182-$B$14)+lane_off)/v_sh+v_sh/a_sh,2*SQRT((ABS(B182-$B$14)+lane_off)/a_sh))))</f>
        <v/>
      </c>
      <c r="F182" s="34" t="str">
        <f aca="false">IF(OR(A182&gt;NL_b,$B$15=""),"",IF((ABS(B182-$B$15)+lane_off)&lt;=0,0,IF((ABS(B182-$B$15)+lane_off)&gt;=v_sh^2/a_sh,(ABS(B182-$B$15)+lane_off)/v_sh+v_sh/a_sh,2*SQRT((ABS(B182-$B$15)+lane_off)/a_sh))))</f>
        <v/>
      </c>
      <c r="G182" s="34" t="str">
        <f aca="false">IF(OR(A182&gt;NL_b,$B$16=""),"",IF((ABS(B182-$B$16)+lane_off)&lt;=0,0,IF((ABS(B182-$B$16)+lane_off)&gt;=v_sh^2/a_sh,(ABS(B182-$B$16)+lane_off)/v_sh+v_sh/a_sh,2*SQRT((ABS(B182-$B$16)+lane_off)/a_sh))))</f>
        <v/>
      </c>
      <c r="H182" s="34" t="str">
        <f aca="false">IF(OR(A182&gt;NL_b,$B$17=""),"",IF((ABS(B182-$B$17)+lane_off)&lt;=0,0,IF((ABS(B182-$B$17)+lane_off)&gt;=v_sh^2/a_sh,(ABS(B182-$B$17)+lane_off)/v_sh+v_sh/a_sh,2*SQRT((ABS(B182-$B$17)+lane_off)/a_sh))))</f>
        <v/>
      </c>
      <c r="I182" s="34" t="str">
        <f aca="false">IF(C182="","",2*C182+w_conv*$D$12/v_conv)</f>
        <v/>
      </c>
      <c r="J182" s="34" t="str">
        <f aca="false">IF(D182="","",2*D182+w_conv*$D$13/v_conv)</f>
        <v/>
      </c>
      <c r="K182" s="34" t="str">
        <f aca="false">IF(E182="","",2*E182+w_conv*$D$14/v_conv)</f>
        <v/>
      </c>
      <c r="L182" s="34" t="str">
        <f aca="false">IF(F182="","",2*F182+w_conv*$D$15/v_conv)</f>
        <v/>
      </c>
      <c r="M182" s="34" t="str">
        <f aca="false">IF(G182="","",2*G182+w_conv*$D$16/v_conv)</f>
        <v/>
      </c>
      <c r="N182" s="34" t="str">
        <f aca="false">IF(H182="","",2*H182+w_conv*$D$17/v_conv)</f>
        <v/>
      </c>
      <c r="O182" s="34" t="str">
        <f aca="false">IF(A182&gt;NL_b,"",MIN(I182:N182))</f>
        <v/>
      </c>
      <c r="P182" s="34" t="str">
        <f aca="false">IF(O182="","",INDEX(C182:H182,MATCH(O182,I182:N182,0)))</f>
        <v/>
      </c>
      <c r="Q182" s="34" t="str">
        <f aca="false">IF(O182="","",INDEX($D$12:$D$17,MATCH(O182,I182:N182,0)))</f>
        <v/>
      </c>
    </row>
    <row r="183" customFormat="false" ht="15" hidden="false" customHeight="true" outlineLevel="0" collapsed="false">
      <c r="A183" s="54" t="n">
        <v>163</v>
      </c>
      <c r="B183" s="34" t="n">
        <f aca="false">(A183-0.5)*u_w</f>
        <v>162.5</v>
      </c>
      <c r="C183" s="34" t="str">
        <f aca="false">IF(OR(A183&gt;NL_b,$B$12=""),"",IF((ABS(B183-$B$12)+lane_off)&lt;=0,0,IF((ABS(B183-$B$12)+lane_off)&gt;=v_sh^2/a_sh,(ABS(B183-$B$12)+lane_off)/v_sh+v_sh/a_sh,2*SQRT((ABS(B183-$B$12)+lane_off)/a_sh))))</f>
        <v/>
      </c>
      <c r="D183" s="34" t="str">
        <f aca="false">IF(OR(A183&gt;NL_b,$B$13=""),"",IF((ABS(B183-$B$13)+lane_off)&lt;=0,0,IF((ABS(B183-$B$13)+lane_off)&gt;=v_sh^2/a_sh,(ABS(B183-$B$13)+lane_off)/v_sh+v_sh/a_sh,2*SQRT((ABS(B183-$B$13)+lane_off)/a_sh))))</f>
        <v/>
      </c>
      <c r="E183" s="34" t="str">
        <f aca="false">IF(OR(A183&gt;NL_b,$B$14=""),"",IF((ABS(B183-$B$14)+lane_off)&lt;=0,0,IF((ABS(B183-$B$14)+lane_off)&gt;=v_sh^2/a_sh,(ABS(B183-$B$14)+lane_off)/v_sh+v_sh/a_sh,2*SQRT((ABS(B183-$B$14)+lane_off)/a_sh))))</f>
        <v/>
      </c>
      <c r="F183" s="34" t="str">
        <f aca="false">IF(OR(A183&gt;NL_b,$B$15=""),"",IF((ABS(B183-$B$15)+lane_off)&lt;=0,0,IF((ABS(B183-$B$15)+lane_off)&gt;=v_sh^2/a_sh,(ABS(B183-$B$15)+lane_off)/v_sh+v_sh/a_sh,2*SQRT((ABS(B183-$B$15)+lane_off)/a_sh))))</f>
        <v/>
      </c>
      <c r="G183" s="34" t="str">
        <f aca="false">IF(OR(A183&gt;NL_b,$B$16=""),"",IF((ABS(B183-$B$16)+lane_off)&lt;=0,0,IF((ABS(B183-$B$16)+lane_off)&gt;=v_sh^2/a_sh,(ABS(B183-$B$16)+lane_off)/v_sh+v_sh/a_sh,2*SQRT((ABS(B183-$B$16)+lane_off)/a_sh))))</f>
        <v/>
      </c>
      <c r="H183" s="34" t="str">
        <f aca="false">IF(OR(A183&gt;NL_b,$B$17=""),"",IF((ABS(B183-$B$17)+lane_off)&lt;=0,0,IF((ABS(B183-$B$17)+lane_off)&gt;=v_sh^2/a_sh,(ABS(B183-$B$17)+lane_off)/v_sh+v_sh/a_sh,2*SQRT((ABS(B183-$B$17)+lane_off)/a_sh))))</f>
        <v/>
      </c>
      <c r="I183" s="34" t="str">
        <f aca="false">IF(C183="","",2*C183+w_conv*$D$12/v_conv)</f>
        <v/>
      </c>
      <c r="J183" s="34" t="str">
        <f aca="false">IF(D183="","",2*D183+w_conv*$D$13/v_conv)</f>
        <v/>
      </c>
      <c r="K183" s="34" t="str">
        <f aca="false">IF(E183="","",2*E183+w_conv*$D$14/v_conv)</f>
        <v/>
      </c>
      <c r="L183" s="34" t="str">
        <f aca="false">IF(F183="","",2*F183+w_conv*$D$15/v_conv)</f>
        <v/>
      </c>
      <c r="M183" s="34" t="str">
        <f aca="false">IF(G183="","",2*G183+w_conv*$D$16/v_conv)</f>
        <v/>
      </c>
      <c r="N183" s="34" t="str">
        <f aca="false">IF(H183="","",2*H183+w_conv*$D$17/v_conv)</f>
        <v/>
      </c>
      <c r="O183" s="34" t="str">
        <f aca="false">IF(A183&gt;NL_b,"",MIN(I183:N183))</f>
        <v/>
      </c>
      <c r="P183" s="34" t="str">
        <f aca="false">IF(O183="","",INDEX(C183:H183,MATCH(O183,I183:N183,0)))</f>
        <v/>
      </c>
      <c r="Q183" s="34" t="str">
        <f aca="false">IF(O183="","",INDEX($D$12:$D$17,MATCH(O183,I183:N183,0)))</f>
        <v/>
      </c>
    </row>
    <row r="184" customFormat="false" ht="15" hidden="false" customHeight="true" outlineLevel="0" collapsed="false">
      <c r="A184" s="54" t="n">
        <v>164</v>
      </c>
      <c r="B184" s="34" t="n">
        <f aca="false">(A184-0.5)*u_w</f>
        <v>163.5</v>
      </c>
      <c r="C184" s="34" t="str">
        <f aca="false">IF(OR(A184&gt;NL_b,$B$12=""),"",IF((ABS(B184-$B$12)+lane_off)&lt;=0,0,IF((ABS(B184-$B$12)+lane_off)&gt;=v_sh^2/a_sh,(ABS(B184-$B$12)+lane_off)/v_sh+v_sh/a_sh,2*SQRT((ABS(B184-$B$12)+lane_off)/a_sh))))</f>
        <v/>
      </c>
      <c r="D184" s="34" t="str">
        <f aca="false">IF(OR(A184&gt;NL_b,$B$13=""),"",IF((ABS(B184-$B$13)+lane_off)&lt;=0,0,IF((ABS(B184-$B$13)+lane_off)&gt;=v_sh^2/a_sh,(ABS(B184-$B$13)+lane_off)/v_sh+v_sh/a_sh,2*SQRT((ABS(B184-$B$13)+lane_off)/a_sh))))</f>
        <v/>
      </c>
      <c r="E184" s="34" t="str">
        <f aca="false">IF(OR(A184&gt;NL_b,$B$14=""),"",IF((ABS(B184-$B$14)+lane_off)&lt;=0,0,IF((ABS(B184-$B$14)+lane_off)&gt;=v_sh^2/a_sh,(ABS(B184-$B$14)+lane_off)/v_sh+v_sh/a_sh,2*SQRT((ABS(B184-$B$14)+lane_off)/a_sh))))</f>
        <v/>
      </c>
      <c r="F184" s="34" t="str">
        <f aca="false">IF(OR(A184&gt;NL_b,$B$15=""),"",IF((ABS(B184-$B$15)+lane_off)&lt;=0,0,IF((ABS(B184-$B$15)+lane_off)&gt;=v_sh^2/a_sh,(ABS(B184-$B$15)+lane_off)/v_sh+v_sh/a_sh,2*SQRT((ABS(B184-$B$15)+lane_off)/a_sh))))</f>
        <v/>
      </c>
      <c r="G184" s="34" t="str">
        <f aca="false">IF(OR(A184&gt;NL_b,$B$16=""),"",IF((ABS(B184-$B$16)+lane_off)&lt;=0,0,IF((ABS(B184-$B$16)+lane_off)&gt;=v_sh^2/a_sh,(ABS(B184-$B$16)+lane_off)/v_sh+v_sh/a_sh,2*SQRT((ABS(B184-$B$16)+lane_off)/a_sh))))</f>
        <v/>
      </c>
      <c r="H184" s="34" t="str">
        <f aca="false">IF(OR(A184&gt;NL_b,$B$17=""),"",IF((ABS(B184-$B$17)+lane_off)&lt;=0,0,IF((ABS(B184-$B$17)+lane_off)&gt;=v_sh^2/a_sh,(ABS(B184-$B$17)+lane_off)/v_sh+v_sh/a_sh,2*SQRT((ABS(B184-$B$17)+lane_off)/a_sh))))</f>
        <v/>
      </c>
      <c r="I184" s="34" t="str">
        <f aca="false">IF(C184="","",2*C184+w_conv*$D$12/v_conv)</f>
        <v/>
      </c>
      <c r="J184" s="34" t="str">
        <f aca="false">IF(D184="","",2*D184+w_conv*$D$13/v_conv)</f>
        <v/>
      </c>
      <c r="K184" s="34" t="str">
        <f aca="false">IF(E184="","",2*E184+w_conv*$D$14/v_conv)</f>
        <v/>
      </c>
      <c r="L184" s="34" t="str">
        <f aca="false">IF(F184="","",2*F184+w_conv*$D$15/v_conv)</f>
        <v/>
      </c>
      <c r="M184" s="34" t="str">
        <f aca="false">IF(G184="","",2*G184+w_conv*$D$16/v_conv)</f>
        <v/>
      </c>
      <c r="N184" s="34" t="str">
        <f aca="false">IF(H184="","",2*H184+w_conv*$D$17/v_conv)</f>
        <v/>
      </c>
      <c r="O184" s="34" t="str">
        <f aca="false">IF(A184&gt;NL_b,"",MIN(I184:N184))</f>
        <v/>
      </c>
      <c r="P184" s="34" t="str">
        <f aca="false">IF(O184="","",INDEX(C184:H184,MATCH(O184,I184:N184,0)))</f>
        <v/>
      </c>
      <c r="Q184" s="34" t="str">
        <f aca="false">IF(O184="","",INDEX($D$12:$D$17,MATCH(O184,I184:N184,0)))</f>
        <v/>
      </c>
    </row>
    <row r="185" customFormat="false" ht="15" hidden="false" customHeight="true" outlineLevel="0" collapsed="false">
      <c r="A185" s="54" t="n">
        <v>165</v>
      </c>
      <c r="B185" s="34" t="n">
        <f aca="false">(A185-0.5)*u_w</f>
        <v>164.5</v>
      </c>
      <c r="C185" s="34" t="str">
        <f aca="false">IF(OR(A185&gt;NL_b,$B$12=""),"",IF((ABS(B185-$B$12)+lane_off)&lt;=0,0,IF((ABS(B185-$B$12)+lane_off)&gt;=v_sh^2/a_sh,(ABS(B185-$B$12)+lane_off)/v_sh+v_sh/a_sh,2*SQRT((ABS(B185-$B$12)+lane_off)/a_sh))))</f>
        <v/>
      </c>
      <c r="D185" s="34" t="str">
        <f aca="false">IF(OR(A185&gt;NL_b,$B$13=""),"",IF((ABS(B185-$B$13)+lane_off)&lt;=0,0,IF((ABS(B185-$B$13)+lane_off)&gt;=v_sh^2/a_sh,(ABS(B185-$B$13)+lane_off)/v_sh+v_sh/a_sh,2*SQRT((ABS(B185-$B$13)+lane_off)/a_sh))))</f>
        <v/>
      </c>
      <c r="E185" s="34" t="str">
        <f aca="false">IF(OR(A185&gt;NL_b,$B$14=""),"",IF((ABS(B185-$B$14)+lane_off)&lt;=0,0,IF((ABS(B185-$B$14)+lane_off)&gt;=v_sh^2/a_sh,(ABS(B185-$B$14)+lane_off)/v_sh+v_sh/a_sh,2*SQRT((ABS(B185-$B$14)+lane_off)/a_sh))))</f>
        <v/>
      </c>
      <c r="F185" s="34" t="str">
        <f aca="false">IF(OR(A185&gt;NL_b,$B$15=""),"",IF((ABS(B185-$B$15)+lane_off)&lt;=0,0,IF((ABS(B185-$B$15)+lane_off)&gt;=v_sh^2/a_sh,(ABS(B185-$B$15)+lane_off)/v_sh+v_sh/a_sh,2*SQRT((ABS(B185-$B$15)+lane_off)/a_sh))))</f>
        <v/>
      </c>
      <c r="G185" s="34" t="str">
        <f aca="false">IF(OR(A185&gt;NL_b,$B$16=""),"",IF((ABS(B185-$B$16)+lane_off)&lt;=0,0,IF((ABS(B185-$B$16)+lane_off)&gt;=v_sh^2/a_sh,(ABS(B185-$B$16)+lane_off)/v_sh+v_sh/a_sh,2*SQRT((ABS(B185-$B$16)+lane_off)/a_sh))))</f>
        <v/>
      </c>
      <c r="H185" s="34" t="str">
        <f aca="false">IF(OR(A185&gt;NL_b,$B$17=""),"",IF((ABS(B185-$B$17)+lane_off)&lt;=0,0,IF((ABS(B185-$B$17)+lane_off)&gt;=v_sh^2/a_sh,(ABS(B185-$B$17)+lane_off)/v_sh+v_sh/a_sh,2*SQRT((ABS(B185-$B$17)+lane_off)/a_sh))))</f>
        <v/>
      </c>
      <c r="I185" s="34" t="str">
        <f aca="false">IF(C185="","",2*C185+w_conv*$D$12/v_conv)</f>
        <v/>
      </c>
      <c r="J185" s="34" t="str">
        <f aca="false">IF(D185="","",2*D185+w_conv*$D$13/v_conv)</f>
        <v/>
      </c>
      <c r="K185" s="34" t="str">
        <f aca="false">IF(E185="","",2*E185+w_conv*$D$14/v_conv)</f>
        <v/>
      </c>
      <c r="L185" s="34" t="str">
        <f aca="false">IF(F185="","",2*F185+w_conv*$D$15/v_conv)</f>
        <v/>
      </c>
      <c r="M185" s="34" t="str">
        <f aca="false">IF(G185="","",2*G185+w_conv*$D$16/v_conv)</f>
        <v/>
      </c>
      <c r="N185" s="34" t="str">
        <f aca="false">IF(H185="","",2*H185+w_conv*$D$17/v_conv)</f>
        <v/>
      </c>
      <c r="O185" s="34" t="str">
        <f aca="false">IF(A185&gt;NL_b,"",MIN(I185:N185))</f>
        <v/>
      </c>
      <c r="P185" s="34" t="str">
        <f aca="false">IF(O185="","",INDEX(C185:H185,MATCH(O185,I185:N185,0)))</f>
        <v/>
      </c>
      <c r="Q185" s="34" t="str">
        <f aca="false">IF(O185="","",INDEX($D$12:$D$17,MATCH(O185,I185:N185,0)))</f>
        <v/>
      </c>
    </row>
    <row r="186" customFormat="false" ht="15" hidden="false" customHeight="true" outlineLevel="0" collapsed="false">
      <c r="A186" s="54" t="n">
        <v>166</v>
      </c>
      <c r="B186" s="34" t="n">
        <f aca="false">(A186-0.5)*u_w</f>
        <v>165.5</v>
      </c>
      <c r="C186" s="34" t="str">
        <f aca="false">IF(OR(A186&gt;NL_b,$B$12=""),"",IF((ABS(B186-$B$12)+lane_off)&lt;=0,0,IF((ABS(B186-$B$12)+lane_off)&gt;=v_sh^2/a_sh,(ABS(B186-$B$12)+lane_off)/v_sh+v_sh/a_sh,2*SQRT((ABS(B186-$B$12)+lane_off)/a_sh))))</f>
        <v/>
      </c>
      <c r="D186" s="34" t="str">
        <f aca="false">IF(OR(A186&gt;NL_b,$B$13=""),"",IF((ABS(B186-$B$13)+lane_off)&lt;=0,0,IF((ABS(B186-$B$13)+lane_off)&gt;=v_sh^2/a_sh,(ABS(B186-$B$13)+lane_off)/v_sh+v_sh/a_sh,2*SQRT((ABS(B186-$B$13)+lane_off)/a_sh))))</f>
        <v/>
      </c>
      <c r="E186" s="34" t="str">
        <f aca="false">IF(OR(A186&gt;NL_b,$B$14=""),"",IF((ABS(B186-$B$14)+lane_off)&lt;=0,0,IF((ABS(B186-$B$14)+lane_off)&gt;=v_sh^2/a_sh,(ABS(B186-$B$14)+lane_off)/v_sh+v_sh/a_sh,2*SQRT((ABS(B186-$B$14)+lane_off)/a_sh))))</f>
        <v/>
      </c>
      <c r="F186" s="34" t="str">
        <f aca="false">IF(OR(A186&gt;NL_b,$B$15=""),"",IF((ABS(B186-$B$15)+lane_off)&lt;=0,0,IF((ABS(B186-$B$15)+lane_off)&gt;=v_sh^2/a_sh,(ABS(B186-$B$15)+lane_off)/v_sh+v_sh/a_sh,2*SQRT((ABS(B186-$B$15)+lane_off)/a_sh))))</f>
        <v/>
      </c>
      <c r="G186" s="34" t="str">
        <f aca="false">IF(OR(A186&gt;NL_b,$B$16=""),"",IF((ABS(B186-$B$16)+lane_off)&lt;=0,0,IF((ABS(B186-$B$16)+lane_off)&gt;=v_sh^2/a_sh,(ABS(B186-$B$16)+lane_off)/v_sh+v_sh/a_sh,2*SQRT((ABS(B186-$B$16)+lane_off)/a_sh))))</f>
        <v/>
      </c>
      <c r="H186" s="34" t="str">
        <f aca="false">IF(OR(A186&gt;NL_b,$B$17=""),"",IF((ABS(B186-$B$17)+lane_off)&lt;=0,0,IF((ABS(B186-$B$17)+lane_off)&gt;=v_sh^2/a_sh,(ABS(B186-$B$17)+lane_off)/v_sh+v_sh/a_sh,2*SQRT((ABS(B186-$B$17)+lane_off)/a_sh))))</f>
        <v/>
      </c>
      <c r="I186" s="34" t="str">
        <f aca="false">IF(C186="","",2*C186+w_conv*$D$12/v_conv)</f>
        <v/>
      </c>
      <c r="J186" s="34" t="str">
        <f aca="false">IF(D186="","",2*D186+w_conv*$D$13/v_conv)</f>
        <v/>
      </c>
      <c r="K186" s="34" t="str">
        <f aca="false">IF(E186="","",2*E186+w_conv*$D$14/v_conv)</f>
        <v/>
      </c>
      <c r="L186" s="34" t="str">
        <f aca="false">IF(F186="","",2*F186+w_conv*$D$15/v_conv)</f>
        <v/>
      </c>
      <c r="M186" s="34" t="str">
        <f aca="false">IF(G186="","",2*G186+w_conv*$D$16/v_conv)</f>
        <v/>
      </c>
      <c r="N186" s="34" t="str">
        <f aca="false">IF(H186="","",2*H186+w_conv*$D$17/v_conv)</f>
        <v/>
      </c>
      <c r="O186" s="34" t="str">
        <f aca="false">IF(A186&gt;NL_b,"",MIN(I186:N186))</f>
        <v/>
      </c>
      <c r="P186" s="34" t="str">
        <f aca="false">IF(O186="","",INDEX(C186:H186,MATCH(O186,I186:N186,0)))</f>
        <v/>
      </c>
      <c r="Q186" s="34" t="str">
        <f aca="false">IF(O186="","",INDEX($D$12:$D$17,MATCH(O186,I186:N186,0)))</f>
        <v/>
      </c>
    </row>
    <row r="187" customFormat="false" ht="15" hidden="false" customHeight="true" outlineLevel="0" collapsed="false">
      <c r="A187" s="54" t="n">
        <v>167</v>
      </c>
      <c r="B187" s="34" t="n">
        <f aca="false">(A187-0.5)*u_w</f>
        <v>166.5</v>
      </c>
      <c r="C187" s="34" t="str">
        <f aca="false">IF(OR(A187&gt;NL_b,$B$12=""),"",IF((ABS(B187-$B$12)+lane_off)&lt;=0,0,IF((ABS(B187-$B$12)+lane_off)&gt;=v_sh^2/a_sh,(ABS(B187-$B$12)+lane_off)/v_sh+v_sh/a_sh,2*SQRT((ABS(B187-$B$12)+lane_off)/a_sh))))</f>
        <v/>
      </c>
      <c r="D187" s="34" t="str">
        <f aca="false">IF(OR(A187&gt;NL_b,$B$13=""),"",IF((ABS(B187-$B$13)+lane_off)&lt;=0,0,IF((ABS(B187-$B$13)+lane_off)&gt;=v_sh^2/a_sh,(ABS(B187-$B$13)+lane_off)/v_sh+v_sh/a_sh,2*SQRT((ABS(B187-$B$13)+lane_off)/a_sh))))</f>
        <v/>
      </c>
      <c r="E187" s="34" t="str">
        <f aca="false">IF(OR(A187&gt;NL_b,$B$14=""),"",IF((ABS(B187-$B$14)+lane_off)&lt;=0,0,IF((ABS(B187-$B$14)+lane_off)&gt;=v_sh^2/a_sh,(ABS(B187-$B$14)+lane_off)/v_sh+v_sh/a_sh,2*SQRT((ABS(B187-$B$14)+lane_off)/a_sh))))</f>
        <v/>
      </c>
      <c r="F187" s="34" t="str">
        <f aca="false">IF(OR(A187&gt;NL_b,$B$15=""),"",IF((ABS(B187-$B$15)+lane_off)&lt;=0,0,IF((ABS(B187-$B$15)+lane_off)&gt;=v_sh^2/a_sh,(ABS(B187-$B$15)+lane_off)/v_sh+v_sh/a_sh,2*SQRT((ABS(B187-$B$15)+lane_off)/a_sh))))</f>
        <v/>
      </c>
      <c r="G187" s="34" t="str">
        <f aca="false">IF(OR(A187&gt;NL_b,$B$16=""),"",IF((ABS(B187-$B$16)+lane_off)&lt;=0,0,IF((ABS(B187-$B$16)+lane_off)&gt;=v_sh^2/a_sh,(ABS(B187-$B$16)+lane_off)/v_sh+v_sh/a_sh,2*SQRT((ABS(B187-$B$16)+lane_off)/a_sh))))</f>
        <v/>
      </c>
      <c r="H187" s="34" t="str">
        <f aca="false">IF(OR(A187&gt;NL_b,$B$17=""),"",IF((ABS(B187-$B$17)+lane_off)&lt;=0,0,IF((ABS(B187-$B$17)+lane_off)&gt;=v_sh^2/a_sh,(ABS(B187-$B$17)+lane_off)/v_sh+v_sh/a_sh,2*SQRT((ABS(B187-$B$17)+lane_off)/a_sh))))</f>
        <v/>
      </c>
      <c r="I187" s="34" t="str">
        <f aca="false">IF(C187="","",2*C187+w_conv*$D$12/v_conv)</f>
        <v/>
      </c>
      <c r="J187" s="34" t="str">
        <f aca="false">IF(D187="","",2*D187+w_conv*$D$13/v_conv)</f>
        <v/>
      </c>
      <c r="K187" s="34" t="str">
        <f aca="false">IF(E187="","",2*E187+w_conv*$D$14/v_conv)</f>
        <v/>
      </c>
      <c r="L187" s="34" t="str">
        <f aca="false">IF(F187="","",2*F187+w_conv*$D$15/v_conv)</f>
        <v/>
      </c>
      <c r="M187" s="34" t="str">
        <f aca="false">IF(G187="","",2*G187+w_conv*$D$16/v_conv)</f>
        <v/>
      </c>
      <c r="N187" s="34" t="str">
        <f aca="false">IF(H187="","",2*H187+w_conv*$D$17/v_conv)</f>
        <v/>
      </c>
      <c r="O187" s="34" t="str">
        <f aca="false">IF(A187&gt;NL_b,"",MIN(I187:N187))</f>
        <v/>
      </c>
      <c r="P187" s="34" t="str">
        <f aca="false">IF(O187="","",INDEX(C187:H187,MATCH(O187,I187:N187,0)))</f>
        <v/>
      </c>
      <c r="Q187" s="34" t="str">
        <f aca="false">IF(O187="","",INDEX($D$12:$D$17,MATCH(O187,I187:N187,0)))</f>
        <v/>
      </c>
    </row>
    <row r="188" customFormat="false" ht="15" hidden="false" customHeight="true" outlineLevel="0" collapsed="false">
      <c r="A188" s="54" t="n">
        <v>168</v>
      </c>
      <c r="B188" s="34" t="n">
        <f aca="false">(A188-0.5)*u_w</f>
        <v>167.5</v>
      </c>
      <c r="C188" s="34" t="str">
        <f aca="false">IF(OR(A188&gt;NL_b,$B$12=""),"",IF((ABS(B188-$B$12)+lane_off)&lt;=0,0,IF((ABS(B188-$B$12)+lane_off)&gt;=v_sh^2/a_sh,(ABS(B188-$B$12)+lane_off)/v_sh+v_sh/a_sh,2*SQRT((ABS(B188-$B$12)+lane_off)/a_sh))))</f>
        <v/>
      </c>
      <c r="D188" s="34" t="str">
        <f aca="false">IF(OR(A188&gt;NL_b,$B$13=""),"",IF((ABS(B188-$B$13)+lane_off)&lt;=0,0,IF((ABS(B188-$B$13)+lane_off)&gt;=v_sh^2/a_sh,(ABS(B188-$B$13)+lane_off)/v_sh+v_sh/a_sh,2*SQRT((ABS(B188-$B$13)+lane_off)/a_sh))))</f>
        <v/>
      </c>
      <c r="E188" s="34" t="str">
        <f aca="false">IF(OR(A188&gt;NL_b,$B$14=""),"",IF((ABS(B188-$B$14)+lane_off)&lt;=0,0,IF((ABS(B188-$B$14)+lane_off)&gt;=v_sh^2/a_sh,(ABS(B188-$B$14)+lane_off)/v_sh+v_sh/a_sh,2*SQRT((ABS(B188-$B$14)+lane_off)/a_sh))))</f>
        <v/>
      </c>
      <c r="F188" s="34" t="str">
        <f aca="false">IF(OR(A188&gt;NL_b,$B$15=""),"",IF((ABS(B188-$B$15)+lane_off)&lt;=0,0,IF((ABS(B188-$B$15)+lane_off)&gt;=v_sh^2/a_sh,(ABS(B188-$B$15)+lane_off)/v_sh+v_sh/a_sh,2*SQRT((ABS(B188-$B$15)+lane_off)/a_sh))))</f>
        <v/>
      </c>
      <c r="G188" s="34" t="str">
        <f aca="false">IF(OR(A188&gt;NL_b,$B$16=""),"",IF((ABS(B188-$B$16)+lane_off)&lt;=0,0,IF((ABS(B188-$B$16)+lane_off)&gt;=v_sh^2/a_sh,(ABS(B188-$B$16)+lane_off)/v_sh+v_sh/a_sh,2*SQRT((ABS(B188-$B$16)+lane_off)/a_sh))))</f>
        <v/>
      </c>
      <c r="H188" s="34" t="str">
        <f aca="false">IF(OR(A188&gt;NL_b,$B$17=""),"",IF((ABS(B188-$B$17)+lane_off)&lt;=0,0,IF((ABS(B188-$B$17)+lane_off)&gt;=v_sh^2/a_sh,(ABS(B188-$B$17)+lane_off)/v_sh+v_sh/a_sh,2*SQRT((ABS(B188-$B$17)+lane_off)/a_sh))))</f>
        <v/>
      </c>
      <c r="I188" s="34" t="str">
        <f aca="false">IF(C188="","",2*C188+w_conv*$D$12/v_conv)</f>
        <v/>
      </c>
      <c r="J188" s="34" t="str">
        <f aca="false">IF(D188="","",2*D188+w_conv*$D$13/v_conv)</f>
        <v/>
      </c>
      <c r="K188" s="34" t="str">
        <f aca="false">IF(E188="","",2*E188+w_conv*$D$14/v_conv)</f>
        <v/>
      </c>
      <c r="L188" s="34" t="str">
        <f aca="false">IF(F188="","",2*F188+w_conv*$D$15/v_conv)</f>
        <v/>
      </c>
      <c r="M188" s="34" t="str">
        <f aca="false">IF(G188="","",2*G188+w_conv*$D$16/v_conv)</f>
        <v/>
      </c>
      <c r="N188" s="34" t="str">
        <f aca="false">IF(H188="","",2*H188+w_conv*$D$17/v_conv)</f>
        <v/>
      </c>
      <c r="O188" s="34" t="str">
        <f aca="false">IF(A188&gt;NL_b,"",MIN(I188:N188))</f>
        <v/>
      </c>
      <c r="P188" s="34" t="str">
        <f aca="false">IF(O188="","",INDEX(C188:H188,MATCH(O188,I188:N188,0)))</f>
        <v/>
      </c>
      <c r="Q188" s="34" t="str">
        <f aca="false">IF(O188="","",INDEX($D$12:$D$17,MATCH(O188,I188:N188,0)))</f>
        <v/>
      </c>
    </row>
    <row r="189" customFormat="false" ht="15" hidden="false" customHeight="true" outlineLevel="0" collapsed="false">
      <c r="A189" s="54" t="n">
        <v>169</v>
      </c>
      <c r="B189" s="34" t="n">
        <f aca="false">(A189-0.5)*u_w</f>
        <v>168.5</v>
      </c>
      <c r="C189" s="34" t="str">
        <f aca="false">IF(OR(A189&gt;NL_b,$B$12=""),"",IF((ABS(B189-$B$12)+lane_off)&lt;=0,0,IF((ABS(B189-$B$12)+lane_off)&gt;=v_sh^2/a_sh,(ABS(B189-$B$12)+lane_off)/v_sh+v_sh/a_sh,2*SQRT((ABS(B189-$B$12)+lane_off)/a_sh))))</f>
        <v/>
      </c>
      <c r="D189" s="34" t="str">
        <f aca="false">IF(OR(A189&gt;NL_b,$B$13=""),"",IF((ABS(B189-$B$13)+lane_off)&lt;=0,0,IF((ABS(B189-$B$13)+lane_off)&gt;=v_sh^2/a_sh,(ABS(B189-$B$13)+lane_off)/v_sh+v_sh/a_sh,2*SQRT((ABS(B189-$B$13)+lane_off)/a_sh))))</f>
        <v/>
      </c>
      <c r="E189" s="34" t="str">
        <f aca="false">IF(OR(A189&gt;NL_b,$B$14=""),"",IF((ABS(B189-$B$14)+lane_off)&lt;=0,0,IF((ABS(B189-$B$14)+lane_off)&gt;=v_sh^2/a_sh,(ABS(B189-$B$14)+lane_off)/v_sh+v_sh/a_sh,2*SQRT((ABS(B189-$B$14)+lane_off)/a_sh))))</f>
        <v/>
      </c>
      <c r="F189" s="34" t="str">
        <f aca="false">IF(OR(A189&gt;NL_b,$B$15=""),"",IF((ABS(B189-$B$15)+lane_off)&lt;=0,0,IF((ABS(B189-$B$15)+lane_off)&gt;=v_sh^2/a_sh,(ABS(B189-$B$15)+lane_off)/v_sh+v_sh/a_sh,2*SQRT((ABS(B189-$B$15)+lane_off)/a_sh))))</f>
        <v/>
      </c>
      <c r="G189" s="34" t="str">
        <f aca="false">IF(OR(A189&gt;NL_b,$B$16=""),"",IF((ABS(B189-$B$16)+lane_off)&lt;=0,0,IF((ABS(B189-$B$16)+lane_off)&gt;=v_sh^2/a_sh,(ABS(B189-$B$16)+lane_off)/v_sh+v_sh/a_sh,2*SQRT((ABS(B189-$B$16)+lane_off)/a_sh))))</f>
        <v/>
      </c>
      <c r="H189" s="34" t="str">
        <f aca="false">IF(OR(A189&gt;NL_b,$B$17=""),"",IF((ABS(B189-$B$17)+lane_off)&lt;=0,0,IF((ABS(B189-$B$17)+lane_off)&gt;=v_sh^2/a_sh,(ABS(B189-$B$17)+lane_off)/v_sh+v_sh/a_sh,2*SQRT((ABS(B189-$B$17)+lane_off)/a_sh))))</f>
        <v/>
      </c>
      <c r="I189" s="34" t="str">
        <f aca="false">IF(C189="","",2*C189+w_conv*$D$12/v_conv)</f>
        <v/>
      </c>
      <c r="J189" s="34" t="str">
        <f aca="false">IF(D189="","",2*D189+w_conv*$D$13/v_conv)</f>
        <v/>
      </c>
      <c r="K189" s="34" t="str">
        <f aca="false">IF(E189="","",2*E189+w_conv*$D$14/v_conv)</f>
        <v/>
      </c>
      <c r="L189" s="34" t="str">
        <f aca="false">IF(F189="","",2*F189+w_conv*$D$15/v_conv)</f>
        <v/>
      </c>
      <c r="M189" s="34" t="str">
        <f aca="false">IF(G189="","",2*G189+w_conv*$D$16/v_conv)</f>
        <v/>
      </c>
      <c r="N189" s="34" t="str">
        <f aca="false">IF(H189="","",2*H189+w_conv*$D$17/v_conv)</f>
        <v/>
      </c>
      <c r="O189" s="34" t="str">
        <f aca="false">IF(A189&gt;NL_b,"",MIN(I189:N189))</f>
        <v/>
      </c>
      <c r="P189" s="34" t="str">
        <f aca="false">IF(O189="","",INDEX(C189:H189,MATCH(O189,I189:N189,0)))</f>
        <v/>
      </c>
      <c r="Q189" s="34" t="str">
        <f aca="false">IF(O189="","",INDEX($D$12:$D$17,MATCH(O189,I189:N189,0)))</f>
        <v/>
      </c>
    </row>
    <row r="190" customFormat="false" ht="15" hidden="false" customHeight="true" outlineLevel="0" collapsed="false">
      <c r="A190" s="54" t="n">
        <v>170</v>
      </c>
      <c r="B190" s="34" t="n">
        <f aca="false">(A190-0.5)*u_w</f>
        <v>169.5</v>
      </c>
      <c r="C190" s="34" t="str">
        <f aca="false">IF(OR(A190&gt;NL_b,$B$12=""),"",IF((ABS(B190-$B$12)+lane_off)&lt;=0,0,IF((ABS(B190-$B$12)+lane_off)&gt;=v_sh^2/a_sh,(ABS(B190-$B$12)+lane_off)/v_sh+v_sh/a_sh,2*SQRT((ABS(B190-$B$12)+lane_off)/a_sh))))</f>
        <v/>
      </c>
      <c r="D190" s="34" t="str">
        <f aca="false">IF(OR(A190&gt;NL_b,$B$13=""),"",IF((ABS(B190-$B$13)+lane_off)&lt;=0,0,IF((ABS(B190-$B$13)+lane_off)&gt;=v_sh^2/a_sh,(ABS(B190-$B$13)+lane_off)/v_sh+v_sh/a_sh,2*SQRT((ABS(B190-$B$13)+lane_off)/a_sh))))</f>
        <v/>
      </c>
      <c r="E190" s="34" t="str">
        <f aca="false">IF(OR(A190&gt;NL_b,$B$14=""),"",IF((ABS(B190-$B$14)+lane_off)&lt;=0,0,IF((ABS(B190-$B$14)+lane_off)&gt;=v_sh^2/a_sh,(ABS(B190-$B$14)+lane_off)/v_sh+v_sh/a_sh,2*SQRT((ABS(B190-$B$14)+lane_off)/a_sh))))</f>
        <v/>
      </c>
      <c r="F190" s="34" t="str">
        <f aca="false">IF(OR(A190&gt;NL_b,$B$15=""),"",IF((ABS(B190-$B$15)+lane_off)&lt;=0,0,IF((ABS(B190-$B$15)+lane_off)&gt;=v_sh^2/a_sh,(ABS(B190-$B$15)+lane_off)/v_sh+v_sh/a_sh,2*SQRT((ABS(B190-$B$15)+lane_off)/a_sh))))</f>
        <v/>
      </c>
      <c r="G190" s="34" t="str">
        <f aca="false">IF(OR(A190&gt;NL_b,$B$16=""),"",IF((ABS(B190-$B$16)+lane_off)&lt;=0,0,IF((ABS(B190-$B$16)+lane_off)&gt;=v_sh^2/a_sh,(ABS(B190-$B$16)+lane_off)/v_sh+v_sh/a_sh,2*SQRT((ABS(B190-$B$16)+lane_off)/a_sh))))</f>
        <v/>
      </c>
      <c r="H190" s="34" t="str">
        <f aca="false">IF(OR(A190&gt;NL_b,$B$17=""),"",IF((ABS(B190-$B$17)+lane_off)&lt;=0,0,IF((ABS(B190-$B$17)+lane_off)&gt;=v_sh^2/a_sh,(ABS(B190-$B$17)+lane_off)/v_sh+v_sh/a_sh,2*SQRT((ABS(B190-$B$17)+lane_off)/a_sh))))</f>
        <v/>
      </c>
      <c r="I190" s="34" t="str">
        <f aca="false">IF(C190="","",2*C190+w_conv*$D$12/v_conv)</f>
        <v/>
      </c>
      <c r="J190" s="34" t="str">
        <f aca="false">IF(D190="","",2*D190+w_conv*$D$13/v_conv)</f>
        <v/>
      </c>
      <c r="K190" s="34" t="str">
        <f aca="false">IF(E190="","",2*E190+w_conv*$D$14/v_conv)</f>
        <v/>
      </c>
      <c r="L190" s="34" t="str">
        <f aca="false">IF(F190="","",2*F190+w_conv*$D$15/v_conv)</f>
        <v/>
      </c>
      <c r="M190" s="34" t="str">
        <f aca="false">IF(G190="","",2*G190+w_conv*$D$16/v_conv)</f>
        <v/>
      </c>
      <c r="N190" s="34" t="str">
        <f aca="false">IF(H190="","",2*H190+w_conv*$D$17/v_conv)</f>
        <v/>
      </c>
      <c r="O190" s="34" t="str">
        <f aca="false">IF(A190&gt;NL_b,"",MIN(I190:N190))</f>
        <v/>
      </c>
      <c r="P190" s="34" t="str">
        <f aca="false">IF(O190="","",INDEX(C190:H190,MATCH(O190,I190:N190,0)))</f>
        <v/>
      </c>
      <c r="Q190" s="34" t="str">
        <f aca="false">IF(O190="","",INDEX($D$12:$D$17,MATCH(O190,I190:N190,0)))</f>
        <v/>
      </c>
    </row>
    <row r="191" customFormat="false" ht="15" hidden="false" customHeight="true" outlineLevel="0" collapsed="false">
      <c r="A191" s="54" t="n">
        <v>171</v>
      </c>
      <c r="B191" s="34" t="n">
        <f aca="false">(A191-0.5)*u_w</f>
        <v>170.5</v>
      </c>
      <c r="C191" s="34" t="str">
        <f aca="false">IF(OR(A191&gt;NL_b,$B$12=""),"",IF((ABS(B191-$B$12)+lane_off)&lt;=0,0,IF((ABS(B191-$B$12)+lane_off)&gt;=v_sh^2/a_sh,(ABS(B191-$B$12)+lane_off)/v_sh+v_sh/a_sh,2*SQRT((ABS(B191-$B$12)+lane_off)/a_sh))))</f>
        <v/>
      </c>
      <c r="D191" s="34" t="str">
        <f aca="false">IF(OR(A191&gt;NL_b,$B$13=""),"",IF((ABS(B191-$B$13)+lane_off)&lt;=0,0,IF((ABS(B191-$B$13)+lane_off)&gt;=v_sh^2/a_sh,(ABS(B191-$B$13)+lane_off)/v_sh+v_sh/a_sh,2*SQRT((ABS(B191-$B$13)+lane_off)/a_sh))))</f>
        <v/>
      </c>
      <c r="E191" s="34" t="str">
        <f aca="false">IF(OR(A191&gt;NL_b,$B$14=""),"",IF((ABS(B191-$B$14)+lane_off)&lt;=0,0,IF((ABS(B191-$B$14)+lane_off)&gt;=v_sh^2/a_sh,(ABS(B191-$B$14)+lane_off)/v_sh+v_sh/a_sh,2*SQRT((ABS(B191-$B$14)+lane_off)/a_sh))))</f>
        <v/>
      </c>
      <c r="F191" s="34" t="str">
        <f aca="false">IF(OR(A191&gt;NL_b,$B$15=""),"",IF((ABS(B191-$B$15)+lane_off)&lt;=0,0,IF((ABS(B191-$B$15)+lane_off)&gt;=v_sh^2/a_sh,(ABS(B191-$B$15)+lane_off)/v_sh+v_sh/a_sh,2*SQRT((ABS(B191-$B$15)+lane_off)/a_sh))))</f>
        <v/>
      </c>
      <c r="G191" s="34" t="str">
        <f aca="false">IF(OR(A191&gt;NL_b,$B$16=""),"",IF((ABS(B191-$B$16)+lane_off)&lt;=0,0,IF((ABS(B191-$B$16)+lane_off)&gt;=v_sh^2/a_sh,(ABS(B191-$B$16)+lane_off)/v_sh+v_sh/a_sh,2*SQRT((ABS(B191-$B$16)+lane_off)/a_sh))))</f>
        <v/>
      </c>
      <c r="H191" s="34" t="str">
        <f aca="false">IF(OR(A191&gt;NL_b,$B$17=""),"",IF((ABS(B191-$B$17)+lane_off)&lt;=0,0,IF((ABS(B191-$B$17)+lane_off)&gt;=v_sh^2/a_sh,(ABS(B191-$B$17)+lane_off)/v_sh+v_sh/a_sh,2*SQRT((ABS(B191-$B$17)+lane_off)/a_sh))))</f>
        <v/>
      </c>
      <c r="I191" s="34" t="str">
        <f aca="false">IF(C191="","",2*C191+w_conv*$D$12/v_conv)</f>
        <v/>
      </c>
      <c r="J191" s="34" t="str">
        <f aca="false">IF(D191="","",2*D191+w_conv*$D$13/v_conv)</f>
        <v/>
      </c>
      <c r="K191" s="34" t="str">
        <f aca="false">IF(E191="","",2*E191+w_conv*$D$14/v_conv)</f>
        <v/>
      </c>
      <c r="L191" s="34" t="str">
        <f aca="false">IF(F191="","",2*F191+w_conv*$D$15/v_conv)</f>
        <v/>
      </c>
      <c r="M191" s="34" t="str">
        <f aca="false">IF(G191="","",2*G191+w_conv*$D$16/v_conv)</f>
        <v/>
      </c>
      <c r="N191" s="34" t="str">
        <f aca="false">IF(H191="","",2*H191+w_conv*$D$17/v_conv)</f>
        <v/>
      </c>
      <c r="O191" s="34" t="str">
        <f aca="false">IF(A191&gt;NL_b,"",MIN(I191:N191))</f>
        <v/>
      </c>
      <c r="P191" s="34" t="str">
        <f aca="false">IF(O191="","",INDEX(C191:H191,MATCH(O191,I191:N191,0)))</f>
        <v/>
      </c>
      <c r="Q191" s="34" t="str">
        <f aca="false">IF(O191="","",INDEX($D$12:$D$17,MATCH(O191,I191:N191,0)))</f>
        <v/>
      </c>
    </row>
    <row r="192" customFormat="false" ht="15" hidden="false" customHeight="true" outlineLevel="0" collapsed="false">
      <c r="A192" s="54" t="n">
        <v>172</v>
      </c>
      <c r="B192" s="34" t="n">
        <f aca="false">(A192-0.5)*u_w</f>
        <v>171.5</v>
      </c>
      <c r="C192" s="34" t="str">
        <f aca="false">IF(OR(A192&gt;NL_b,$B$12=""),"",IF((ABS(B192-$B$12)+lane_off)&lt;=0,0,IF((ABS(B192-$B$12)+lane_off)&gt;=v_sh^2/a_sh,(ABS(B192-$B$12)+lane_off)/v_sh+v_sh/a_sh,2*SQRT((ABS(B192-$B$12)+lane_off)/a_sh))))</f>
        <v/>
      </c>
      <c r="D192" s="34" t="str">
        <f aca="false">IF(OR(A192&gt;NL_b,$B$13=""),"",IF((ABS(B192-$B$13)+lane_off)&lt;=0,0,IF((ABS(B192-$B$13)+lane_off)&gt;=v_sh^2/a_sh,(ABS(B192-$B$13)+lane_off)/v_sh+v_sh/a_sh,2*SQRT((ABS(B192-$B$13)+lane_off)/a_sh))))</f>
        <v/>
      </c>
      <c r="E192" s="34" t="str">
        <f aca="false">IF(OR(A192&gt;NL_b,$B$14=""),"",IF((ABS(B192-$B$14)+lane_off)&lt;=0,0,IF((ABS(B192-$B$14)+lane_off)&gt;=v_sh^2/a_sh,(ABS(B192-$B$14)+lane_off)/v_sh+v_sh/a_sh,2*SQRT((ABS(B192-$B$14)+lane_off)/a_sh))))</f>
        <v/>
      </c>
      <c r="F192" s="34" t="str">
        <f aca="false">IF(OR(A192&gt;NL_b,$B$15=""),"",IF((ABS(B192-$B$15)+lane_off)&lt;=0,0,IF((ABS(B192-$B$15)+lane_off)&gt;=v_sh^2/a_sh,(ABS(B192-$B$15)+lane_off)/v_sh+v_sh/a_sh,2*SQRT((ABS(B192-$B$15)+lane_off)/a_sh))))</f>
        <v/>
      </c>
      <c r="G192" s="34" t="str">
        <f aca="false">IF(OR(A192&gt;NL_b,$B$16=""),"",IF((ABS(B192-$B$16)+lane_off)&lt;=0,0,IF((ABS(B192-$B$16)+lane_off)&gt;=v_sh^2/a_sh,(ABS(B192-$B$16)+lane_off)/v_sh+v_sh/a_sh,2*SQRT((ABS(B192-$B$16)+lane_off)/a_sh))))</f>
        <v/>
      </c>
      <c r="H192" s="34" t="str">
        <f aca="false">IF(OR(A192&gt;NL_b,$B$17=""),"",IF((ABS(B192-$B$17)+lane_off)&lt;=0,0,IF((ABS(B192-$B$17)+lane_off)&gt;=v_sh^2/a_sh,(ABS(B192-$B$17)+lane_off)/v_sh+v_sh/a_sh,2*SQRT((ABS(B192-$B$17)+lane_off)/a_sh))))</f>
        <v/>
      </c>
      <c r="I192" s="34" t="str">
        <f aca="false">IF(C192="","",2*C192+w_conv*$D$12/v_conv)</f>
        <v/>
      </c>
      <c r="J192" s="34" t="str">
        <f aca="false">IF(D192="","",2*D192+w_conv*$D$13/v_conv)</f>
        <v/>
      </c>
      <c r="K192" s="34" t="str">
        <f aca="false">IF(E192="","",2*E192+w_conv*$D$14/v_conv)</f>
        <v/>
      </c>
      <c r="L192" s="34" t="str">
        <f aca="false">IF(F192="","",2*F192+w_conv*$D$15/v_conv)</f>
        <v/>
      </c>
      <c r="M192" s="34" t="str">
        <f aca="false">IF(G192="","",2*G192+w_conv*$D$16/v_conv)</f>
        <v/>
      </c>
      <c r="N192" s="34" t="str">
        <f aca="false">IF(H192="","",2*H192+w_conv*$D$17/v_conv)</f>
        <v/>
      </c>
      <c r="O192" s="34" t="str">
        <f aca="false">IF(A192&gt;NL_b,"",MIN(I192:N192))</f>
        <v/>
      </c>
      <c r="P192" s="34" t="str">
        <f aca="false">IF(O192="","",INDEX(C192:H192,MATCH(O192,I192:N192,0)))</f>
        <v/>
      </c>
      <c r="Q192" s="34" t="str">
        <f aca="false">IF(O192="","",INDEX($D$12:$D$17,MATCH(O192,I192:N192,0)))</f>
        <v/>
      </c>
    </row>
    <row r="193" customFormat="false" ht="15" hidden="false" customHeight="true" outlineLevel="0" collapsed="false">
      <c r="A193" s="54" t="n">
        <v>173</v>
      </c>
      <c r="B193" s="34" t="n">
        <f aca="false">(A193-0.5)*u_w</f>
        <v>172.5</v>
      </c>
      <c r="C193" s="34" t="str">
        <f aca="false">IF(OR(A193&gt;NL_b,$B$12=""),"",IF((ABS(B193-$B$12)+lane_off)&lt;=0,0,IF((ABS(B193-$B$12)+lane_off)&gt;=v_sh^2/a_sh,(ABS(B193-$B$12)+lane_off)/v_sh+v_sh/a_sh,2*SQRT((ABS(B193-$B$12)+lane_off)/a_sh))))</f>
        <v/>
      </c>
      <c r="D193" s="34" t="str">
        <f aca="false">IF(OR(A193&gt;NL_b,$B$13=""),"",IF((ABS(B193-$B$13)+lane_off)&lt;=0,0,IF((ABS(B193-$B$13)+lane_off)&gt;=v_sh^2/a_sh,(ABS(B193-$B$13)+lane_off)/v_sh+v_sh/a_sh,2*SQRT((ABS(B193-$B$13)+lane_off)/a_sh))))</f>
        <v/>
      </c>
      <c r="E193" s="34" t="str">
        <f aca="false">IF(OR(A193&gt;NL_b,$B$14=""),"",IF((ABS(B193-$B$14)+lane_off)&lt;=0,0,IF((ABS(B193-$B$14)+lane_off)&gt;=v_sh^2/a_sh,(ABS(B193-$B$14)+lane_off)/v_sh+v_sh/a_sh,2*SQRT((ABS(B193-$B$14)+lane_off)/a_sh))))</f>
        <v/>
      </c>
      <c r="F193" s="34" t="str">
        <f aca="false">IF(OR(A193&gt;NL_b,$B$15=""),"",IF((ABS(B193-$B$15)+lane_off)&lt;=0,0,IF((ABS(B193-$B$15)+lane_off)&gt;=v_sh^2/a_sh,(ABS(B193-$B$15)+lane_off)/v_sh+v_sh/a_sh,2*SQRT((ABS(B193-$B$15)+lane_off)/a_sh))))</f>
        <v/>
      </c>
      <c r="G193" s="34" t="str">
        <f aca="false">IF(OR(A193&gt;NL_b,$B$16=""),"",IF((ABS(B193-$B$16)+lane_off)&lt;=0,0,IF((ABS(B193-$B$16)+lane_off)&gt;=v_sh^2/a_sh,(ABS(B193-$B$16)+lane_off)/v_sh+v_sh/a_sh,2*SQRT((ABS(B193-$B$16)+lane_off)/a_sh))))</f>
        <v/>
      </c>
      <c r="H193" s="34" t="str">
        <f aca="false">IF(OR(A193&gt;NL_b,$B$17=""),"",IF((ABS(B193-$B$17)+lane_off)&lt;=0,0,IF((ABS(B193-$B$17)+lane_off)&gt;=v_sh^2/a_sh,(ABS(B193-$B$17)+lane_off)/v_sh+v_sh/a_sh,2*SQRT((ABS(B193-$B$17)+lane_off)/a_sh))))</f>
        <v/>
      </c>
      <c r="I193" s="34" t="str">
        <f aca="false">IF(C193="","",2*C193+w_conv*$D$12/v_conv)</f>
        <v/>
      </c>
      <c r="J193" s="34" t="str">
        <f aca="false">IF(D193="","",2*D193+w_conv*$D$13/v_conv)</f>
        <v/>
      </c>
      <c r="K193" s="34" t="str">
        <f aca="false">IF(E193="","",2*E193+w_conv*$D$14/v_conv)</f>
        <v/>
      </c>
      <c r="L193" s="34" t="str">
        <f aca="false">IF(F193="","",2*F193+w_conv*$D$15/v_conv)</f>
        <v/>
      </c>
      <c r="M193" s="34" t="str">
        <f aca="false">IF(G193="","",2*G193+w_conv*$D$16/v_conv)</f>
        <v/>
      </c>
      <c r="N193" s="34" t="str">
        <f aca="false">IF(H193="","",2*H193+w_conv*$D$17/v_conv)</f>
        <v/>
      </c>
      <c r="O193" s="34" t="str">
        <f aca="false">IF(A193&gt;NL_b,"",MIN(I193:N193))</f>
        <v/>
      </c>
      <c r="P193" s="34" t="str">
        <f aca="false">IF(O193="","",INDEX(C193:H193,MATCH(O193,I193:N193,0)))</f>
        <v/>
      </c>
      <c r="Q193" s="34" t="str">
        <f aca="false">IF(O193="","",INDEX($D$12:$D$17,MATCH(O193,I193:N193,0)))</f>
        <v/>
      </c>
    </row>
    <row r="194" customFormat="false" ht="15" hidden="false" customHeight="true" outlineLevel="0" collapsed="false">
      <c r="A194" s="54" t="n">
        <v>174</v>
      </c>
      <c r="B194" s="34" t="n">
        <f aca="false">(A194-0.5)*u_w</f>
        <v>173.5</v>
      </c>
      <c r="C194" s="34" t="str">
        <f aca="false">IF(OR(A194&gt;NL_b,$B$12=""),"",IF((ABS(B194-$B$12)+lane_off)&lt;=0,0,IF((ABS(B194-$B$12)+lane_off)&gt;=v_sh^2/a_sh,(ABS(B194-$B$12)+lane_off)/v_sh+v_sh/a_sh,2*SQRT((ABS(B194-$B$12)+lane_off)/a_sh))))</f>
        <v/>
      </c>
      <c r="D194" s="34" t="str">
        <f aca="false">IF(OR(A194&gt;NL_b,$B$13=""),"",IF((ABS(B194-$B$13)+lane_off)&lt;=0,0,IF((ABS(B194-$B$13)+lane_off)&gt;=v_sh^2/a_sh,(ABS(B194-$B$13)+lane_off)/v_sh+v_sh/a_sh,2*SQRT((ABS(B194-$B$13)+lane_off)/a_sh))))</f>
        <v/>
      </c>
      <c r="E194" s="34" t="str">
        <f aca="false">IF(OR(A194&gt;NL_b,$B$14=""),"",IF((ABS(B194-$B$14)+lane_off)&lt;=0,0,IF((ABS(B194-$B$14)+lane_off)&gt;=v_sh^2/a_sh,(ABS(B194-$B$14)+lane_off)/v_sh+v_sh/a_sh,2*SQRT((ABS(B194-$B$14)+lane_off)/a_sh))))</f>
        <v/>
      </c>
      <c r="F194" s="34" t="str">
        <f aca="false">IF(OR(A194&gt;NL_b,$B$15=""),"",IF((ABS(B194-$B$15)+lane_off)&lt;=0,0,IF((ABS(B194-$B$15)+lane_off)&gt;=v_sh^2/a_sh,(ABS(B194-$B$15)+lane_off)/v_sh+v_sh/a_sh,2*SQRT((ABS(B194-$B$15)+lane_off)/a_sh))))</f>
        <v/>
      </c>
      <c r="G194" s="34" t="str">
        <f aca="false">IF(OR(A194&gt;NL_b,$B$16=""),"",IF((ABS(B194-$B$16)+lane_off)&lt;=0,0,IF((ABS(B194-$B$16)+lane_off)&gt;=v_sh^2/a_sh,(ABS(B194-$B$16)+lane_off)/v_sh+v_sh/a_sh,2*SQRT((ABS(B194-$B$16)+lane_off)/a_sh))))</f>
        <v/>
      </c>
      <c r="H194" s="34" t="str">
        <f aca="false">IF(OR(A194&gt;NL_b,$B$17=""),"",IF((ABS(B194-$B$17)+lane_off)&lt;=0,0,IF((ABS(B194-$B$17)+lane_off)&gt;=v_sh^2/a_sh,(ABS(B194-$B$17)+lane_off)/v_sh+v_sh/a_sh,2*SQRT((ABS(B194-$B$17)+lane_off)/a_sh))))</f>
        <v/>
      </c>
      <c r="I194" s="34" t="str">
        <f aca="false">IF(C194="","",2*C194+w_conv*$D$12/v_conv)</f>
        <v/>
      </c>
      <c r="J194" s="34" t="str">
        <f aca="false">IF(D194="","",2*D194+w_conv*$D$13/v_conv)</f>
        <v/>
      </c>
      <c r="K194" s="34" t="str">
        <f aca="false">IF(E194="","",2*E194+w_conv*$D$14/v_conv)</f>
        <v/>
      </c>
      <c r="L194" s="34" t="str">
        <f aca="false">IF(F194="","",2*F194+w_conv*$D$15/v_conv)</f>
        <v/>
      </c>
      <c r="M194" s="34" t="str">
        <f aca="false">IF(G194="","",2*G194+w_conv*$D$16/v_conv)</f>
        <v/>
      </c>
      <c r="N194" s="34" t="str">
        <f aca="false">IF(H194="","",2*H194+w_conv*$D$17/v_conv)</f>
        <v/>
      </c>
      <c r="O194" s="34" t="str">
        <f aca="false">IF(A194&gt;NL_b,"",MIN(I194:N194))</f>
        <v/>
      </c>
      <c r="P194" s="34" t="str">
        <f aca="false">IF(O194="","",INDEX(C194:H194,MATCH(O194,I194:N194,0)))</f>
        <v/>
      </c>
      <c r="Q194" s="34" t="str">
        <f aca="false">IF(O194="","",INDEX($D$12:$D$17,MATCH(O194,I194:N194,0)))</f>
        <v/>
      </c>
    </row>
    <row r="195" customFormat="false" ht="15" hidden="false" customHeight="true" outlineLevel="0" collapsed="false">
      <c r="A195" s="54" t="n">
        <v>175</v>
      </c>
      <c r="B195" s="34" t="n">
        <f aca="false">(A195-0.5)*u_w</f>
        <v>174.5</v>
      </c>
      <c r="C195" s="34" t="str">
        <f aca="false">IF(OR(A195&gt;NL_b,$B$12=""),"",IF((ABS(B195-$B$12)+lane_off)&lt;=0,0,IF((ABS(B195-$B$12)+lane_off)&gt;=v_sh^2/a_sh,(ABS(B195-$B$12)+lane_off)/v_sh+v_sh/a_sh,2*SQRT((ABS(B195-$B$12)+lane_off)/a_sh))))</f>
        <v/>
      </c>
      <c r="D195" s="34" t="str">
        <f aca="false">IF(OR(A195&gt;NL_b,$B$13=""),"",IF((ABS(B195-$B$13)+lane_off)&lt;=0,0,IF((ABS(B195-$B$13)+lane_off)&gt;=v_sh^2/a_sh,(ABS(B195-$B$13)+lane_off)/v_sh+v_sh/a_sh,2*SQRT((ABS(B195-$B$13)+lane_off)/a_sh))))</f>
        <v/>
      </c>
      <c r="E195" s="34" t="str">
        <f aca="false">IF(OR(A195&gt;NL_b,$B$14=""),"",IF((ABS(B195-$B$14)+lane_off)&lt;=0,0,IF((ABS(B195-$B$14)+lane_off)&gt;=v_sh^2/a_sh,(ABS(B195-$B$14)+lane_off)/v_sh+v_sh/a_sh,2*SQRT((ABS(B195-$B$14)+lane_off)/a_sh))))</f>
        <v/>
      </c>
      <c r="F195" s="34" t="str">
        <f aca="false">IF(OR(A195&gt;NL_b,$B$15=""),"",IF((ABS(B195-$B$15)+lane_off)&lt;=0,0,IF((ABS(B195-$B$15)+lane_off)&gt;=v_sh^2/a_sh,(ABS(B195-$B$15)+lane_off)/v_sh+v_sh/a_sh,2*SQRT((ABS(B195-$B$15)+lane_off)/a_sh))))</f>
        <v/>
      </c>
      <c r="G195" s="34" t="str">
        <f aca="false">IF(OR(A195&gt;NL_b,$B$16=""),"",IF((ABS(B195-$B$16)+lane_off)&lt;=0,0,IF((ABS(B195-$B$16)+lane_off)&gt;=v_sh^2/a_sh,(ABS(B195-$B$16)+lane_off)/v_sh+v_sh/a_sh,2*SQRT((ABS(B195-$B$16)+lane_off)/a_sh))))</f>
        <v/>
      </c>
      <c r="H195" s="34" t="str">
        <f aca="false">IF(OR(A195&gt;NL_b,$B$17=""),"",IF((ABS(B195-$B$17)+lane_off)&lt;=0,0,IF((ABS(B195-$B$17)+lane_off)&gt;=v_sh^2/a_sh,(ABS(B195-$B$17)+lane_off)/v_sh+v_sh/a_sh,2*SQRT((ABS(B195-$B$17)+lane_off)/a_sh))))</f>
        <v/>
      </c>
      <c r="I195" s="34" t="str">
        <f aca="false">IF(C195="","",2*C195+w_conv*$D$12/v_conv)</f>
        <v/>
      </c>
      <c r="J195" s="34" t="str">
        <f aca="false">IF(D195="","",2*D195+w_conv*$D$13/v_conv)</f>
        <v/>
      </c>
      <c r="K195" s="34" t="str">
        <f aca="false">IF(E195="","",2*E195+w_conv*$D$14/v_conv)</f>
        <v/>
      </c>
      <c r="L195" s="34" t="str">
        <f aca="false">IF(F195="","",2*F195+w_conv*$D$15/v_conv)</f>
        <v/>
      </c>
      <c r="M195" s="34" t="str">
        <f aca="false">IF(G195="","",2*G195+w_conv*$D$16/v_conv)</f>
        <v/>
      </c>
      <c r="N195" s="34" t="str">
        <f aca="false">IF(H195="","",2*H195+w_conv*$D$17/v_conv)</f>
        <v/>
      </c>
      <c r="O195" s="34" t="str">
        <f aca="false">IF(A195&gt;NL_b,"",MIN(I195:N195))</f>
        <v/>
      </c>
      <c r="P195" s="34" t="str">
        <f aca="false">IF(O195="","",INDEX(C195:H195,MATCH(O195,I195:N195,0)))</f>
        <v/>
      </c>
      <c r="Q195" s="34" t="str">
        <f aca="false">IF(O195="","",INDEX($D$12:$D$17,MATCH(O195,I195:N195,0)))</f>
        <v/>
      </c>
    </row>
    <row r="196" customFormat="false" ht="15" hidden="false" customHeight="true" outlineLevel="0" collapsed="false">
      <c r="A196" s="54" t="n">
        <v>176</v>
      </c>
      <c r="B196" s="34" t="n">
        <f aca="false">(A196-0.5)*u_w</f>
        <v>175.5</v>
      </c>
      <c r="C196" s="34" t="str">
        <f aca="false">IF(OR(A196&gt;NL_b,$B$12=""),"",IF((ABS(B196-$B$12)+lane_off)&lt;=0,0,IF((ABS(B196-$B$12)+lane_off)&gt;=v_sh^2/a_sh,(ABS(B196-$B$12)+lane_off)/v_sh+v_sh/a_sh,2*SQRT((ABS(B196-$B$12)+lane_off)/a_sh))))</f>
        <v/>
      </c>
      <c r="D196" s="34" t="str">
        <f aca="false">IF(OR(A196&gt;NL_b,$B$13=""),"",IF((ABS(B196-$B$13)+lane_off)&lt;=0,0,IF((ABS(B196-$B$13)+lane_off)&gt;=v_sh^2/a_sh,(ABS(B196-$B$13)+lane_off)/v_sh+v_sh/a_sh,2*SQRT((ABS(B196-$B$13)+lane_off)/a_sh))))</f>
        <v/>
      </c>
      <c r="E196" s="34" t="str">
        <f aca="false">IF(OR(A196&gt;NL_b,$B$14=""),"",IF((ABS(B196-$B$14)+lane_off)&lt;=0,0,IF((ABS(B196-$B$14)+lane_off)&gt;=v_sh^2/a_sh,(ABS(B196-$B$14)+lane_off)/v_sh+v_sh/a_sh,2*SQRT((ABS(B196-$B$14)+lane_off)/a_sh))))</f>
        <v/>
      </c>
      <c r="F196" s="34" t="str">
        <f aca="false">IF(OR(A196&gt;NL_b,$B$15=""),"",IF((ABS(B196-$B$15)+lane_off)&lt;=0,0,IF((ABS(B196-$B$15)+lane_off)&gt;=v_sh^2/a_sh,(ABS(B196-$B$15)+lane_off)/v_sh+v_sh/a_sh,2*SQRT((ABS(B196-$B$15)+lane_off)/a_sh))))</f>
        <v/>
      </c>
      <c r="G196" s="34" t="str">
        <f aca="false">IF(OR(A196&gt;NL_b,$B$16=""),"",IF((ABS(B196-$B$16)+lane_off)&lt;=0,0,IF((ABS(B196-$B$16)+lane_off)&gt;=v_sh^2/a_sh,(ABS(B196-$B$16)+lane_off)/v_sh+v_sh/a_sh,2*SQRT((ABS(B196-$B$16)+lane_off)/a_sh))))</f>
        <v/>
      </c>
      <c r="H196" s="34" t="str">
        <f aca="false">IF(OR(A196&gt;NL_b,$B$17=""),"",IF((ABS(B196-$B$17)+lane_off)&lt;=0,0,IF((ABS(B196-$B$17)+lane_off)&gt;=v_sh^2/a_sh,(ABS(B196-$B$17)+lane_off)/v_sh+v_sh/a_sh,2*SQRT((ABS(B196-$B$17)+lane_off)/a_sh))))</f>
        <v/>
      </c>
      <c r="I196" s="34" t="str">
        <f aca="false">IF(C196="","",2*C196+w_conv*$D$12/v_conv)</f>
        <v/>
      </c>
      <c r="J196" s="34" t="str">
        <f aca="false">IF(D196="","",2*D196+w_conv*$D$13/v_conv)</f>
        <v/>
      </c>
      <c r="K196" s="34" t="str">
        <f aca="false">IF(E196="","",2*E196+w_conv*$D$14/v_conv)</f>
        <v/>
      </c>
      <c r="L196" s="34" t="str">
        <f aca="false">IF(F196="","",2*F196+w_conv*$D$15/v_conv)</f>
        <v/>
      </c>
      <c r="M196" s="34" t="str">
        <f aca="false">IF(G196="","",2*G196+w_conv*$D$16/v_conv)</f>
        <v/>
      </c>
      <c r="N196" s="34" t="str">
        <f aca="false">IF(H196="","",2*H196+w_conv*$D$17/v_conv)</f>
        <v/>
      </c>
      <c r="O196" s="34" t="str">
        <f aca="false">IF(A196&gt;NL_b,"",MIN(I196:N196))</f>
        <v/>
      </c>
      <c r="P196" s="34" t="str">
        <f aca="false">IF(O196="","",INDEX(C196:H196,MATCH(O196,I196:N196,0)))</f>
        <v/>
      </c>
      <c r="Q196" s="34" t="str">
        <f aca="false">IF(O196="","",INDEX($D$12:$D$17,MATCH(O196,I196:N196,0)))</f>
        <v/>
      </c>
    </row>
    <row r="197" customFormat="false" ht="15" hidden="false" customHeight="true" outlineLevel="0" collapsed="false">
      <c r="A197" s="54" t="n">
        <v>177</v>
      </c>
      <c r="B197" s="34" t="n">
        <f aca="false">(A197-0.5)*u_w</f>
        <v>176.5</v>
      </c>
      <c r="C197" s="34" t="str">
        <f aca="false">IF(OR(A197&gt;NL_b,$B$12=""),"",IF((ABS(B197-$B$12)+lane_off)&lt;=0,0,IF((ABS(B197-$B$12)+lane_off)&gt;=v_sh^2/a_sh,(ABS(B197-$B$12)+lane_off)/v_sh+v_sh/a_sh,2*SQRT((ABS(B197-$B$12)+lane_off)/a_sh))))</f>
        <v/>
      </c>
      <c r="D197" s="34" t="str">
        <f aca="false">IF(OR(A197&gt;NL_b,$B$13=""),"",IF((ABS(B197-$B$13)+lane_off)&lt;=0,0,IF((ABS(B197-$B$13)+lane_off)&gt;=v_sh^2/a_sh,(ABS(B197-$B$13)+lane_off)/v_sh+v_sh/a_sh,2*SQRT((ABS(B197-$B$13)+lane_off)/a_sh))))</f>
        <v/>
      </c>
      <c r="E197" s="34" t="str">
        <f aca="false">IF(OR(A197&gt;NL_b,$B$14=""),"",IF((ABS(B197-$B$14)+lane_off)&lt;=0,0,IF((ABS(B197-$B$14)+lane_off)&gt;=v_sh^2/a_sh,(ABS(B197-$B$14)+lane_off)/v_sh+v_sh/a_sh,2*SQRT((ABS(B197-$B$14)+lane_off)/a_sh))))</f>
        <v/>
      </c>
      <c r="F197" s="34" t="str">
        <f aca="false">IF(OR(A197&gt;NL_b,$B$15=""),"",IF((ABS(B197-$B$15)+lane_off)&lt;=0,0,IF((ABS(B197-$B$15)+lane_off)&gt;=v_sh^2/a_sh,(ABS(B197-$B$15)+lane_off)/v_sh+v_sh/a_sh,2*SQRT((ABS(B197-$B$15)+lane_off)/a_sh))))</f>
        <v/>
      </c>
      <c r="G197" s="34" t="str">
        <f aca="false">IF(OR(A197&gt;NL_b,$B$16=""),"",IF((ABS(B197-$B$16)+lane_off)&lt;=0,0,IF((ABS(B197-$B$16)+lane_off)&gt;=v_sh^2/a_sh,(ABS(B197-$B$16)+lane_off)/v_sh+v_sh/a_sh,2*SQRT((ABS(B197-$B$16)+lane_off)/a_sh))))</f>
        <v/>
      </c>
      <c r="H197" s="34" t="str">
        <f aca="false">IF(OR(A197&gt;NL_b,$B$17=""),"",IF((ABS(B197-$B$17)+lane_off)&lt;=0,0,IF((ABS(B197-$B$17)+lane_off)&gt;=v_sh^2/a_sh,(ABS(B197-$B$17)+lane_off)/v_sh+v_sh/a_sh,2*SQRT((ABS(B197-$B$17)+lane_off)/a_sh))))</f>
        <v/>
      </c>
      <c r="I197" s="34" t="str">
        <f aca="false">IF(C197="","",2*C197+w_conv*$D$12/v_conv)</f>
        <v/>
      </c>
      <c r="J197" s="34" t="str">
        <f aca="false">IF(D197="","",2*D197+w_conv*$D$13/v_conv)</f>
        <v/>
      </c>
      <c r="K197" s="34" t="str">
        <f aca="false">IF(E197="","",2*E197+w_conv*$D$14/v_conv)</f>
        <v/>
      </c>
      <c r="L197" s="34" t="str">
        <f aca="false">IF(F197="","",2*F197+w_conv*$D$15/v_conv)</f>
        <v/>
      </c>
      <c r="M197" s="34" t="str">
        <f aca="false">IF(G197="","",2*G197+w_conv*$D$16/v_conv)</f>
        <v/>
      </c>
      <c r="N197" s="34" t="str">
        <f aca="false">IF(H197="","",2*H197+w_conv*$D$17/v_conv)</f>
        <v/>
      </c>
      <c r="O197" s="34" t="str">
        <f aca="false">IF(A197&gt;NL_b,"",MIN(I197:N197))</f>
        <v/>
      </c>
      <c r="P197" s="34" t="str">
        <f aca="false">IF(O197="","",INDEX(C197:H197,MATCH(O197,I197:N197,0)))</f>
        <v/>
      </c>
      <c r="Q197" s="34" t="str">
        <f aca="false">IF(O197="","",INDEX($D$12:$D$17,MATCH(O197,I197:N197,0)))</f>
        <v/>
      </c>
    </row>
    <row r="198" customFormat="false" ht="15" hidden="false" customHeight="true" outlineLevel="0" collapsed="false">
      <c r="A198" s="54" t="n">
        <v>178</v>
      </c>
      <c r="B198" s="34" t="n">
        <f aca="false">(A198-0.5)*u_w</f>
        <v>177.5</v>
      </c>
      <c r="C198" s="34" t="str">
        <f aca="false">IF(OR(A198&gt;NL_b,$B$12=""),"",IF((ABS(B198-$B$12)+lane_off)&lt;=0,0,IF((ABS(B198-$B$12)+lane_off)&gt;=v_sh^2/a_sh,(ABS(B198-$B$12)+lane_off)/v_sh+v_sh/a_sh,2*SQRT((ABS(B198-$B$12)+lane_off)/a_sh))))</f>
        <v/>
      </c>
      <c r="D198" s="34" t="str">
        <f aca="false">IF(OR(A198&gt;NL_b,$B$13=""),"",IF((ABS(B198-$B$13)+lane_off)&lt;=0,0,IF((ABS(B198-$B$13)+lane_off)&gt;=v_sh^2/a_sh,(ABS(B198-$B$13)+lane_off)/v_sh+v_sh/a_sh,2*SQRT((ABS(B198-$B$13)+lane_off)/a_sh))))</f>
        <v/>
      </c>
      <c r="E198" s="34" t="str">
        <f aca="false">IF(OR(A198&gt;NL_b,$B$14=""),"",IF((ABS(B198-$B$14)+lane_off)&lt;=0,0,IF((ABS(B198-$B$14)+lane_off)&gt;=v_sh^2/a_sh,(ABS(B198-$B$14)+lane_off)/v_sh+v_sh/a_sh,2*SQRT((ABS(B198-$B$14)+lane_off)/a_sh))))</f>
        <v/>
      </c>
      <c r="F198" s="34" t="str">
        <f aca="false">IF(OR(A198&gt;NL_b,$B$15=""),"",IF((ABS(B198-$B$15)+lane_off)&lt;=0,0,IF((ABS(B198-$B$15)+lane_off)&gt;=v_sh^2/a_sh,(ABS(B198-$B$15)+lane_off)/v_sh+v_sh/a_sh,2*SQRT((ABS(B198-$B$15)+lane_off)/a_sh))))</f>
        <v/>
      </c>
      <c r="G198" s="34" t="str">
        <f aca="false">IF(OR(A198&gt;NL_b,$B$16=""),"",IF((ABS(B198-$B$16)+lane_off)&lt;=0,0,IF((ABS(B198-$B$16)+lane_off)&gt;=v_sh^2/a_sh,(ABS(B198-$B$16)+lane_off)/v_sh+v_sh/a_sh,2*SQRT((ABS(B198-$B$16)+lane_off)/a_sh))))</f>
        <v/>
      </c>
      <c r="H198" s="34" t="str">
        <f aca="false">IF(OR(A198&gt;NL_b,$B$17=""),"",IF((ABS(B198-$B$17)+lane_off)&lt;=0,0,IF((ABS(B198-$B$17)+lane_off)&gt;=v_sh^2/a_sh,(ABS(B198-$B$17)+lane_off)/v_sh+v_sh/a_sh,2*SQRT((ABS(B198-$B$17)+lane_off)/a_sh))))</f>
        <v/>
      </c>
      <c r="I198" s="34" t="str">
        <f aca="false">IF(C198="","",2*C198+w_conv*$D$12/v_conv)</f>
        <v/>
      </c>
      <c r="J198" s="34" t="str">
        <f aca="false">IF(D198="","",2*D198+w_conv*$D$13/v_conv)</f>
        <v/>
      </c>
      <c r="K198" s="34" t="str">
        <f aca="false">IF(E198="","",2*E198+w_conv*$D$14/v_conv)</f>
        <v/>
      </c>
      <c r="L198" s="34" t="str">
        <f aca="false">IF(F198="","",2*F198+w_conv*$D$15/v_conv)</f>
        <v/>
      </c>
      <c r="M198" s="34" t="str">
        <f aca="false">IF(G198="","",2*G198+w_conv*$D$16/v_conv)</f>
        <v/>
      </c>
      <c r="N198" s="34" t="str">
        <f aca="false">IF(H198="","",2*H198+w_conv*$D$17/v_conv)</f>
        <v/>
      </c>
      <c r="O198" s="34" t="str">
        <f aca="false">IF(A198&gt;NL_b,"",MIN(I198:N198))</f>
        <v/>
      </c>
      <c r="P198" s="34" t="str">
        <f aca="false">IF(O198="","",INDEX(C198:H198,MATCH(O198,I198:N198,0)))</f>
        <v/>
      </c>
      <c r="Q198" s="34" t="str">
        <f aca="false">IF(O198="","",INDEX($D$12:$D$17,MATCH(O198,I198:N198,0)))</f>
        <v/>
      </c>
    </row>
    <row r="199" customFormat="false" ht="15" hidden="false" customHeight="true" outlineLevel="0" collapsed="false">
      <c r="A199" s="54" t="n">
        <v>179</v>
      </c>
      <c r="B199" s="34" t="n">
        <f aca="false">(A199-0.5)*u_w</f>
        <v>178.5</v>
      </c>
      <c r="C199" s="34" t="str">
        <f aca="false">IF(OR(A199&gt;NL_b,$B$12=""),"",IF((ABS(B199-$B$12)+lane_off)&lt;=0,0,IF((ABS(B199-$B$12)+lane_off)&gt;=v_sh^2/a_sh,(ABS(B199-$B$12)+lane_off)/v_sh+v_sh/a_sh,2*SQRT((ABS(B199-$B$12)+lane_off)/a_sh))))</f>
        <v/>
      </c>
      <c r="D199" s="34" t="str">
        <f aca="false">IF(OR(A199&gt;NL_b,$B$13=""),"",IF((ABS(B199-$B$13)+lane_off)&lt;=0,0,IF((ABS(B199-$B$13)+lane_off)&gt;=v_sh^2/a_sh,(ABS(B199-$B$13)+lane_off)/v_sh+v_sh/a_sh,2*SQRT((ABS(B199-$B$13)+lane_off)/a_sh))))</f>
        <v/>
      </c>
      <c r="E199" s="34" t="str">
        <f aca="false">IF(OR(A199&gt;NL_b,$B$14=""),"",IF((ABS(B199-$B$14)+lane_off)&lt;=0,0,IF((ABS(B199-$B$14)+lane_off)&gt;=v_sh^2/a_sh,(ABS(B199-$B$14)+lane_off)/v_sh+v_sh/a_sh,2*SQRT((ABS(B199-$B$14)+lane_off)/a_sh))))</f>
        <v/>
      </c>
      <c r="F199" s="34" t="str">
        <f aca="false">IF(OR(A199&gt;NL_b,$B$15=""),"",IF((ABS(B199-$B$15)+lane_off)&lt;=0,0,IF((ABS(B199-$B$15)+lane_off)&gt;=v_sh^2/a_sh,(ABS(B199-$B$15)+lane_off)/v_sh+v_sh/a_sh,2*SQRT((ABS(B199-$B$15)+lane_off)/a_sh))))</f>
        <v/>
      </c>
      <c r="G199" s="34" t="str">
        <f aca="false">IF(OR(A199&gt;NL_b,$B$16=""),"",IF((ABS(B199-$B$16)+lane_off)&lt;=0,0,IF((ABS(B199-$B$16)+lane_off)&gt;=v_sh^2/a_sh,(ABS(B199-$B$16)+lane_off)/v_sh+v_sh/a_sh,2*SQRT((ABS(B199-$B$16)+lane_off)/a_sh))))</f>
        <v/>
      </c>
      <c r="H199" s="34" t="str">
        <f aca="false">IF(OR(A199&gt;NL_b,$B$17=""),"",IF((ABS(B199-$B$17)+lane_off)&lt;=0,0,IF((ABS(B199-$B$17)+lane_off)&gt;=v_sh^2/a_sh,(ABS(B199-$B$17)+lane_off)/v_sh+v_sh/a_sh,2*SQRT((ABS(B199-$B$17)+lane_off)/a_sh))))</f>
        <v/>
      </c>
      <c r="I199" s="34" t="str">
        <f aca="false">IF(C199="","",2*C199+w_conv*$D$12/v_conv)</f>
        <v/>
      </c>
      <c r="J199" s="34" t="str">
        <f aca="false">IF(D199="","",2*D199+w_conv*$D$13/v_conv)</f>
        <v/>
      </c>
      <c r="K199" s="34" t="str">
        <f aca="false">IF(E199="","",2*E199+w_conv*$D$14/v_conv)</f>
        <v/>
      </c>
      <c r="L199" s="34" t="str">
        <f aca="false">IF(F199="","",2*F199+w_conv*$D$15/v_conv)</f>
        <v/>
      </c>
      <c r="M199" s="34" t="str">
        <f aca="false">IF(G199="","",2*G199+w_conv*$D$16/v_conv)</f>
        <v/>
      </c>
      <c r="N199" s="34" t="str">
        <f aca="false">IF(H199="","",2*H199+w_conv*$D$17/v_conv)</f>
        <v/>
      </c>
      <c r="O199" s="34" t="str">
        <f aca="false">IF(A199&gt;NL_b,"",MIN(I199:N199))</f>
        <v/>
      </c>
      <c r="P199" s="34" t="str">
        <f aca="false">IF(O199="","",INDEX(C199:H199,MATCH(O199,I199:N199,0)))</f>
        <v/>
      </c>
      <c r="Q199" s="34" t="str">
        <f aca="false">IF(O199="","",INDEX($D$12:$D$17,MATCH(O199,I199:N199,0)))</f>
        <v/>
      </c>
    </row>
    <row r="200" customFormat="false" ht="15" hidden="false" customHeight="true" outlineLevel="0" collapsed="false">
      <c r="A200" s="54" t="n">
        <v>180</v>
      </c>
      <c r="B200" s="34" t="n">
        <f aca="false">(A200-0.5)*u_w</f>
        <v>179.5</v>
      </c>
      <c r="C200" s="34" t="str">
        <f aca="false">IF(OR(A200&gt;NL_b,$B$12=""),"",IF((ABS(B200-$B$12)+lane_off)&lt;=0,0,IF((ABS(B200-$B$12)+lane_off)&gt;=v_sh^2/a_sh,(ABS(B200-$B$12)+lane_off)/v_sh+v_sh/a_sh,2*SQRT((ABS(B200-$B$12)+lane_off)/a_sh))))</f>
        <v/>
      </c>
      <c r="D200" s="34" t="str">
        <f aca="false">IF(OR(A200&gt;NL_b,$B$13=""),"",IF((ABS(B200-$B$13)+lane_off)&lt;=0,0,IF((ABS(B200-$B$13)+lane_off)&gt;=v_sh^2/a_sh,(ABS(B200-$B$13)+lane_off)/v_sh+v_sh/a_sh,2*SQRT((ABS(B200-$B$13)+lane_off)/a_sh))))</f>
        <v/>
      </c>
      <c r="E200" s="34" t="str">
        <f aca="false">IF(OR(A200&gt;NL_b,$B$14=""),"",IF((ABS(B200-$B$14)+lane_off)&lt;=0,0,IF((ABS(B200-$B$14)+lane_off)&gt;=v_sh^2/a_sh,(ABS(B200-$B$14)+lane_off)/v_sh+v_sh/a_sh,2*SQRT((ABS(B200-$B$14)+lane_off)/a_sh))))</f>
        <v/>
      </c>
      <c r="F200" s="34" t="str">
        <f aca="false">IF(OR(A200&gt;NL_b,$B$15=""),"",IF((ABS(B200-$B$15)+lane_off)&lt;=0,0,IF((ABS(B200-$B$15)+lane_off)&gt;=v_sh^2/a_sh,(ABS(B200-$B$15)+lane_off)/v_sh+v_sh/a_sh,2*SQRT((ABS(B200-$B$15)+lane_off)/a_sh))))</f>
        <v/>
      </c>
      <c r="G200" s="34" t="str">
        <f aca="false">IF(OR(A200&gt;NL_b,$B$16=""),"",IF((ABS(B200-$B$16)+lane_off)&lt;=0,0,IF((ABS(B200-$B$16)+lane_off)&gt;=v_sh^2/a_sh,(ABS(B200-$B$16)+lane_off)/v_sh+v_sh/a_sh,2*SQRT((ABS(B200-$B$16)+lane_off)/a_sh))))</f>
        <v/>
      </c>
      <c r="H200" s="34" t="str">
        <f aca="false">IF(OR(A200&gt;NL_b,$B$17=""),"",IF((ABS(B200-$B$17)+lane_off)&lt;=0,0,IF((ABS(B200-$B$17)+lane_off)&gt;=v_sh^2/a_sh,(ABS(B200-$B$17)+lane_off)/v_sh+v_sh/a_sh,2*SQRT((ABS(B200-$B$17)+lane_off)/a_sh))))</f>
        <v/>
      </c>
      <c r="I200" s="34" t="str">
        <f aca="false">IF(C200="","",2*C200+w_conv*$D$12/v_conv)</f>
        <v/>
      </c>
      <c r="J200" s="34" t="str">
        <f aca="false">IF(D200="","",2*D200+w_conv*$D$13/v_conv)</f>
        <v/>
      </c>
      <c r="K200" s="34" t="str">
        <f aca="false">IF(E200="","",2*E200+w_conv*$D$14/v_conv)</f>
        <v/>
      </c>
      <c r="L200" s="34" t="str">
        <f aca="false">IF(F200="","",2*F200+w_conv*$D$15/v_conv)</f>
        <v/>
      </c>
      <c r="M200" s="34" t="str">
        <f aca="false">IF(G200="","",2*G200+w_conv*$D$16/v_conv)</f>
        <v/>
      </c>
      <c r="N200" s="34" t="str">
        <f aca="false">IF(H200="","",2*H200+w_conv*$D$17/v_conv)</f>
        <v/>
      </c>
      <c r="O200" s="34" t="str">
        <f aca="false">IF(A200&gt;NL_b,"",MIN(I200:N200))</f>
        <v/>
      </c>
      <c r="P200" s="34" t="str">
        <f aca="false">IF(O200="","",INDEX(C200:H200,MATCH(O200,I200:N200,0)))</f>
        <v/>
      </c>
      <c r="Q200" s="34" t="str">
        <f aca="false">IF(O200="","",INDEX($D$12:$D$17,MATCH(O200,I200:N200,0)))</f>
        <v/>
      </c>
    </row>
    <row r="201" customFormat="false" ht="15" hidden="false" customHeight="true" outlineLevel="0" collapsed="false">
      <c r="A201" s="54" t="n">
        <v>181</v>
      </c>
      <c r="B201" s="34" t="n">
        <f aca="false">(A201-0.5)*u_w</f>
        <v>180.5</v>
      </c>
      <c r="C201" s="34" t="str">
        <f aca="false">IF(OR(A201&gt;NL_b,$B$12=""),"",IF((ABS(B201-$B$12)+lane_off)&lt;=0,0,IF((ABS(B201-$B$12)+lane_off)&gt;=v_sh^2/a_sh,(ABS(B201-$B$12)+lane_off)/v_sh+v_sh/a_sh,2*SQRT((ABS(B201-$B$12)+lane_off)/a_sh))))</f>
        <v/>
      </c>
      <c r="D201" s="34" t="str">
        <f aca="false">IF(OR(A201&gt;NL_b,$B$13=""),"",IF((ABS(B201-$B$13)+lane_off)&lt;=0,0,IF((ABS(B201-$B$13)+lane_off)&gt;=v_sh^2/a_sh,(ABS(B201-$B$13)+lane_off)/v_sh+v_sh/a_sh,2*SQRT((ABS(B201-$B$13)+lane_off)/a_sh))))</f>
        <v/>
      </c>
      <c r="E201" s="34" t="str">
        <f aca="false">IF(OR(A201&gt;NL_b,$B$14=""),"",IF((ABS(B201-$B$14)+lane_off)&lt;=0,0,IF((ABS(B201-$B$14)+lane_off)&gt;=v_sh^2/a_sh,(ABS(B201-$B$14)+lane_off)/v_sh+v_sh/a_sh,2*SQRT((ABS(B201-$B$14)+lane_off)/a_sh))))</f>
        <v/>
      </c>
      <c r="F201" s="34" t="str">
        <f aca="false">IF(OR(A201&gt;NL_b,$B$15=""),"",IF((ABS(B201-$B$15)+lane_off)&lt;=0,0,IF((ABS(B201-$B$15)+lane_off)&gt;=v_sh^2/a_sh,(ABS(B201-$B$15)+lane_off)/v_sh+v_sh/a_sh,2*SQRT((ABS(B201-$B$15)+lane_off)/a_sh))))</f>
        <v/>
      </c>
      <c r="G201" s="34" t="str">
        <f aca="false">IF(OR(A201&gt;NL_b,$B$16=""),"",IF((ABS(B201-$B$16)+lane_off)&lt;=0,0,IF((ABS(B201-$B$16)+lane_off)&gt;=v_sh^2/a_sh,(ABS(B201-$B$16)+lane_off)/v_sh+v_sh/a_sh,2*SQRT((ABS(B201-$B$16)+lane_off)/a_sh))))</f>
        <v/>
      </c>
      <c r="H201" s="34" t="str">
        <f aca="false">IF(OR(A201&gt;NL_b,$B$17=""),"",IF((ABS(B201-$B$17)+lane_off)&lt;=0,0,IF((ABS(B201-$B$17)+lane_off)&gt;=v_sh^2/a_sh,(ABS(B201-$B$17)+lane_off)/v_sh+v_sh/a_sh,2*SQRT((ABS(B201-$B$17)+lane_off)/a_sh))))</f>
        <v/>
      </c>
      <c r="I201" s="34" t="str">
        <f aca="false">IF(C201="","",2*C201+w_conv*$D$12/v_conv)</f>
        <v/>
      </c>
      <c r="J201" s="34" t="str">
        <f aca="false">IF(D201="","",2*D201+w_conv*$D$13/v_conv)</f>
        <v/>
      </c>
      <c r="K201" s="34" t="str">
        <f aca="false">IF(E201="","",2*E201+w_conv*$D$14/v_conv)</f>
        <v/>
      </c>
      <c r="L201" s="34" t="str">
        <f aca="false">IF(F201="","",2*F201+w_conv*$D$15/v_conv)</f>
        <v/>
      </c>
      <c r="M201" s="34" t="str">
        <f aca="false">IF(G201="","",2*G201+w_conv*$D$16/v_conv)</f>
        <v/>
      </c>
      <c r="N201" s="34" t="str">
        <f aca="false">IF(H201="","",2*H201+w_conv*$D$17/v_conv)</f>
        <v/>
      </c>
      <c r="O201" s="34" t="str">
        <f aca="false">IF(A201&gt;NL_b,"",MIN(I201:N201))</f>
        <v/>
      </c>
      <c r="P201" s="34" t="str">
        <f aca="false">IF(O201="","",INDEX(C201:H201,MATCH(O201,I201:N201,0)))</f>
        <v/>
      </c>
      <c r="Q201" s="34" t="str">
        <f aca="false">IF(O201="","",INDEX($D$12:$D$17,MATCH(O201,I201:N201,0)))</f>
        <v/>
      </c>
    </row>
    <row r="202" customFormat="false" ht="15" hidden="false" customHeight="true" outlineLevel="0" collapsed="false">
      <c r="A202" s="54" t="n">
        <v>182</v>
      </c>
      <c r="B202" s="34" t="n">
        <f aca="false">(A202-0.5)*u_w</f>
        <v>181.5</v>
      </c>
      <c r="C202" s="34" t="str">
        <f aca="false">IF(OR(A202&gt;NL_b,$B$12=""),"",IF((ABS(B202-$B$12)+lane_off)&lt;=0,0,IF((ABS(B202-$B$12)+lane_off)&gt;=v_sh^2/a_sh,(ABS(B202-$B$12)+lane_off)/v_sh+v_sh/a_sh,2*SQRT((ABS(B202-$B$12)+lane_off)/a_sh))))</f>
        <v/>
      </c>
      <c r="D202" s="34" t="str">
        <f aca="false">IF(OR(A202&gt;NL_b,$B$13=""),"",IF((ABS(B202-$B$13)+lane_off)&lt;=0,0,IF((ABS(B202-$B$13)+lane_off)&gt;=v_sh^2/a_sh,(ABS(B202-$B$13)+lane_off)/v_sh+v_sh/a_sh,2*SQRT((ABS(B202-$B$13)+lane_off)/a_sh))))</f>
        <v/>
      </c>
      <c r="E202" s="34" t="str">
        <f aca="false">IF(OR(A202&gt;NL_b,$B$14=""),"",IF((ABS(B202-$B$14)+lane_off)&lt;=0,0,IF((ABS(B202-$B$14)+lane_off)&gt;=v_sh^2/a_sh,(ABS(B202-$B$14)+lane_off)/v_sh+v_sh/a_sh,2*SQRT((ABS(B202-$B$14)+lane_off)/a_sh))))</f>
        <v/>
      </c>
      <c r="F202" s="34" t="str">
        <f aca="false">IF(OR(A202&gt;NL_b,$B$15=""),"",IF((ABS(B202-$B$15)+lane_off)&lt;=0,0,IF((ABS(B202-$B$15)+lane_off)&gt;=v_sh^2/a_sh,(ABS(B202-$B$15)+lane_off)/v_sh+v_sh/a_sh,2*SQRT((ABS(B202-$B$15)+lane_off)/a_sh))))</f>
        <v/>
      </c>
      <c r="G202" s="34" t="str">
        <f aca="false">IF(OR(A202&gt;NL_b,$B$16=""),"",IF((ABS(B202-$B$16)+lane_off)&lt;=0,0,IF((ABS(B202-$B$16)+lane_off)&gt;=v_sh^2/a_sh,(ABS(B202-$B$16)+lane_off)/v_sh+v_sh/a_sh,2*SQRT((ABS(B202-$B$16)+lane_off)/a_sh))))</f>
        <v/>
      </c>
      <c r="H202" s="34" t="str">
        <f aca="false">IF(OR(A202&gt;NL_b,$B$17=""),"",IF((ABS(B202-$B$17)+lane_off)&lt;=0,0,IF((ABS(B202-$B$17)+lane_off)&gt;=v_sh^2/a_sh,(ABS(B202-$B$17)+lane_off)/v_sh+v_sh/a_sh,2*SQRT((ABS(B202-$B$17)+lane_off)/a_sh))))</f>
        <v/>
      </c>
      <c r="I202" s="34" t="str">
        <f aca="false">IF(C202="","",2*C202+w_conv*$D$12/v_conv)</f>
        <v/>
      </c>
      <c r="J202" s="34" t="str">
        <f aca="false">IF(D202="","",2*D202+w_conv*$D$13/v_conv)</f>
        <v/>
      </c>
      <c r="K202" s="34" t="str">
        <f aca="false">IF(E202="","",2*E202+w_conv*$D$14/v_conv)</f>
        <v/>
      </c>
      <c r="L202" s="34" t="str">
        <f aca="false">IF(F202="","",2*F202+w_conv*$D$15/v_conv)</f>
        <v/>
      </c>
      <c r="M202" s="34" t="str">
        <f aca="false">IF(G202="","",2*G202+w_conv*$D$16/v_conv)</f>
        <v/>
      </c>
      <c r="N202" s="34" t="str">
        <f aca="false">IF(H202="","",2*H202+w_conv*$D$17/v_conv)</f>
        <v/>
      </c>
      <c r="O202" s="34" t="str">
        <f aca="false">IF(A202&gt;NL_b,"",MIN(I202:N202))</f>
        <v/>
      </c>
      <c r="P202" s="34" t="str">
        <f aca="false">IF(O202="","",INDEX(C202:H202,MATCH(O202,I202:N202,0)))</f>
        <v/>
      </c>
      <c r="Q202" s="34" t="str">
        <f aca="false">IF(O202="","",INDEX($D$12:$D$17,MATCH(O202,I202:N202,0)))</f>
        <v/>
      </c>
    </row>
    <row r="203" customFormat="false" ht="15" hidden="false" customHeight="true" outlineLevel="0" collapsed="false">
      <c r="A203" s="54" t="n">
        <v>183</v>
      </c>
      <c r="B203" s="34" t="n">
        <f aca="false">(A203-0.5)*u_w</f>
        <v>182.5</v>
      </c>
      <c r="C203" s="34" t="str">
        <f aca="false">IF(OR(A203&gt;NL_b,$B$12=""),"",IF((ABS(B203-$B$12)+lane_off)&lt;=0,0,IF((ABS(B203-$B$12)+lane_off)&gt;=v_sh^2/a_sh,(ABS(B203-$B$12)+lane_off)/v_sh+v_sh/a_sh,2*SQRT((ABS(B203-$B$12)+lane_off)/a_sh))))</f>
        <v/>
      </c>
      <c r="D203" s="34" t="str">
        <f aca="false">IF(OR(A203&gt;NL_b,$B$13=""),"",IF((ABS(B203-$B$13)+lane_off)&lt;=0,0,IF((ABS(B203-$B$13)+lane_off)&gt;=v_sh^2/a_sh,(ABS(B203-$B$13)+lane_off)/v_sh+v_sh/a_sh,2*SQRT((ABS(B203-$B$13)+lane_off)/a_sh))))</f>
        <v/>
      </c>
      <c r="E203" s="34" t="str">
        <f aca="false">IF(OR(A203&gt;NL_b,$B$14=""),"",IF((ABS(B203-$B$14)+lane_off)&lt;=0,0,IF((ABS(B203-$B$14)+lane_off)&gt;=v_sh^2/a_sh,(ABS(B203-$B$14)+lane_off)/v_sh+v_sh/a_sh,2*SQRT((ABS(B203-$B$14)+lane_off)/a_sh))))</f>
        <v/>
      </c>
      <c r="F203" s="34" t="str">
        <f aca="false">IF(OR(A203&gt;NL_b,$B$15=""),"",IF((ABS(B203-$B$15)+lane_off)&lt;=0,0,IF((ABS(B203-$B$15)+lane_off)&gt;=v_sh^2/a_sh,(ABS(B203-$B$15)+lane_off)/v_sh+v_sh/a_sh,2*SQRT((ABS(B203-$B$15)+lane_off)/a_sh))))</f>
        <v/>
      </c>
      <c r="G203" s="34" t="str">
        <f aca="false">IF(OR(A203&gt;NL_b,$B$16=""),"",IF((ABS(B203-$B$16)+lane_off)&lt;=0,0,IF((ABS(B203-$B$16)+lane_off)&gt;=v_sh^2/a_sh,(ABS(B203-$B$16)+lane_off)/v_sh+v_sh/a_sh,2*SQRT((ABS(B203-$B$16)+lane_off)/a_sh))))</f>
        <v/>
      </c>
      <c r="H203" s="34" t="str">
        <f aca="false">IF(OR(A203&gt;NL_b,$B$17=""),"",IF((ABS(B203-$B$17)+lane_off)&lt;=0,0,IF((ABS(B203-$B$17)+lane_off)&gt;=v_sh^2/a_sh,(ABS(B203-$B$17)+lane_off)/v_sh+v_sh/a_sh,2*SQRT((ABS(B203-$B$17)+lane_off)/a_sh))))</f>
        <v/>
      </c>
      <c r="I203" s="34" t="str">
        <f aca="false">IF(C203="","",2*C203+w_conv*$D$12/v_conv)</f>
        <v/>
      </c>
      <c r="J203" s="34" t="str">
        <f aca="false">IF(D203="","",2*D203+w_conv*$D$13/v_conv)</f>
        <v/>
      </c>
      <c r="K203" s="34" t="str">
        <f aca="false">IF(E203="","",2*E203+w_conv*$D$14/v_conv)</f>
        <v/>
      </c>
      <c r="L203" s="34" t="str">
        <f aca="false">IF(F203="","",2*F203+w_conv*$D$15/v_conv)</f>
        <v/>
      </c>
      <c r="M203" s="34" t="str">
        <f aca="false">IF(G203="","",2*G203+w_conv*$D$16/v_conv)</f>
        <v/>
      </c>
      <c r="N203" s="34" t="str">
        <f aca="false">IF(H203="","",2*H203+w_conv*$D$17/v_conv)</f>
        <v/>
      </c>
      <c r="O203" s="34" t="str">
        <f aca="false">IF(A203&gt;NL_b,"",MIN(I203:N203))</f>
        <v/>
      </c>
      <c r="P203" s="34" t="str">
        <f aca="false">IF(O203="","",INDEX(C203:H203,MATCH(O203,I203:N203,0)))</f>
        <v/>
      </c>
      <c r="Q203" s="34" t="str">
        <f aca="false">IF(O203="","",INDEX($D$12:$D$17,MATCH(O203,I203:N203,0)))</f>
        <v/>
      </c>
    </row>
    <row r="204" customFormat="false" ht="15" hidden="false" customHeight="true" outlineLevel="0" collapsed="false">
      <c r="A204" s="54" t="n">
        <v>184</v>
      </c>
      <c r="B204" s="34" t="n">
        <f aca="false">(A204-0.5)*u_w</f>
        <v>183.5</v>
      </c>
      <c r="C204" s="34" t="str">
        <f aca="false">IF(OR(A204&gt;NL_b,$B$12=""),"",IF((ABS(B204-$B$12)+lane_off)&lt;=0,0,IF((ABS(B204-$B$12)+lane_off)&gt;=v_sh^2/a_sh,(ABS(B204-$B$12)+lane_off)/v_sh+v_sh/a_sh,2*SQRT((ABS(B204-$B$12)+lane_off)/a_sh))))</f>
        <v/>
      </c>
      <c r="D204" s="34" t="str">
        <f aca="false">IF(OR(A204&gt;NL_b,$B$13=""),"",IF((ABS(B204-$B$13)+lane_off)&lt;=0,0,IF((ABS(B204-$B$13)+lane_off)&gt;=v_sh^2/a_sh,(ABS(B204-$B$13)+lane_off)/v_sh+v_sh/a_sh,2*SQRT((ABS(B204-$B$13)+lane_off)/a_sh))))</f>
        <v/>
      </c>
      <c r="E204" s="34" t="str">
        <f aca="false">IF(OR(A204&gt;NL_b,$B$14=""),"",IF((ABS(B204-$B$14)+lane_off)&lt;=0,0,IF((ABS(B204-$B$14)+lane_off)&gt;=v_sh^2/a_sh,(ABS(B204-$B$14)+lane_off)/v_sh+v_sh/a_sh,2*SQRT((ABS(B204-$B$14)+lane_off)/a_sh))))</f>
        <v/>
      </c>
      <c r="F204" s="34" t="str">
        <f aca="false">IF(OR(A204&gt;NL_b,$B$15=""),"",IF((ABS(B204-$B$15)+lane_off)&lt;=0,0,IF((ABS(B204-$B$15)+lane_off)&gt;=v_sh^2/a_sh,(ABS(B204-$B$15)+lane_off)/v_sh+v_sh/a_sh,2*SQRT((ABS(B204-$B$15)+lane_off)/a_sh))))</f>
        <v/>
      </c>
      <c r="G204" s="34" t="str">
        <f aca="false">IF(OR(A204&gt;NL_b,$B$16=""),"",IF((ABS(B204-$B$16)+lane_off)&lt;=0,0,IF((ABS(B204-$B$16)+lane_off)&gt;=v_sh^2/a_sh,(ABS(B204-$B$16)+lane_off)/v_sh+v_sh/a_sh,2*SQRT((ABS(B204-$B$16)+lane_off)/a_sh))))</f>
        <v/>
      </c>
      <c r="H204" s="34" t="str">
        <f aca="false">IF(OR(A204&gt;NL_b,$B$17=""),"",IF((ABS(B204-$B$17)+lane_off)&lt;=0,0,IF((ABS(B204-$B$17)+lane_off)&gt;=v_sh^2/a_sh,(ABS(B204-$B$17)+lane_off)/v_sh+v_sh/a_sh,2*SQRT((ABS(B204-$B$17)+lane_off)/a_sh))))</f>
        <v/>
      </c>
      <c r="I204" s="34" t="str">
        <f aca="false">IF(C204="","",2*C204+w_conv*$D$12/v_conv)</f>
        <v/>
      </c>
      <c r="J204" s="34" t="str">
        <f aca="false">IF(D204="","",2*D204+w_conv*$D$13/v_conv)</f>
        <v/>
      </c>
      <c r="K204" s="34" t="str">
        <f aca="false">IF(E204="","",2*E204+w_conv*$D$14/v_conv)</f>
        <v/>
      </c>
      <c r="L204" s="34" t="str">
        <f aca="false">IF(F204="","",2*F204+w_conv*$D$15/v_conv)</f>
        <v/>
      </c>
      <c r="M204" s="34" t="str">
        <f aca="false">IF(G204="","",2*G204+w_conv*$D$16/v_conv)</f>
        <v/>
      </c>
      <c r="N204" s="34" t="str">
        <f aca="false">IF(H204="","",2*H204+w_conv*$D$17/v_conv)</f>
        <v/>
      </c>
      <c r="O204" s="34" t="str">
        <f aca="false">IF(A204&gt;NL_b,"",MIN(I204:N204))</f>
        <v/>
      </c>
      <c r="P204" s="34" t="str">
        <f aca="false">IF(O204="","",INDEX(C204:H204,MATCH(O204,I204:N204,0)))</f>
        <v/>
      </c>
      <c r="Q204" s="34" t="str">
        <f aca="false">IF(O204="","",INDEX($D$12:$D$17,MATCH(O204,I204:N204,0)))</f>
        <v/>
      </c>
    </row>
    <row r="205" customFormat="false" ht="15" hidden="false" customHeight="true" outlineLevel="0" collapsed="false">
      <c r="A205" s="54" t="n">
        <v>185</v>
      </c>
      <c r="B205" s="34" t="n">
        <f aca="false">(A205-0.5)*u_w</f>
        <v>184.5</v>
      </c>
      <c r="C205" s="34" t="str">
        <f aca="false">IF(OR(A205&gt;NL_b,$B$12=""),"",IF((ABS(B205-$B$12)+lane_off)&lt;=0,0,IF((ABS(B205-$B$12)+lane_off)&gt;=v_sh^2/a_sh,(ABS(B205-$B$12)+lane_off)/v_sh+v_sh/a_sh,2*SQRT((ABS(B205-$B$12)+lane_off)/a_sh))))</f>
        <v/>
      </c>
      <c r="D205" s="34" t="str">
        <f aca="false">IF(OR(A205&gt;NL_b,$B$13=""),"",IF((ABS(B205-$B$13)+lane_off)&lt;=0,0,IF((ABS(B205-$B$13)+lane_off)&gt;=v_sh^2/a_sh,(ABS(B205-$B$13)+lane_off)/v_sh+v_sh/a_sh,2*SQRT((ABS(B205-$B$13)+lane_off)/a_sh))))</f>
        <v/>
      </c>
      <c r="E205" s="34" t="str">
        <f aca="false">IF(OR(A205&gt;NL_b,$B$14=""),"",IF((ABS(B205-$B$14)+lane_off)&lt;=0,0,IF((ABS(B205-$B$14)+lane_off)&gt;=v_sh^2/a_sh,(ABS(B205-$B$14)+lane_off)/v_sh+v_sh/a_sh,2*SQRT((ABS(B205-$B$14)+lane_off)/a_sh))))</f>
        <v/>
      </c>
      <c r="F205" s="34" t="str">
        <f aca="false">IF(OR(A205&gt;NL_b,$B$15=""),"",IF((ABS(B205-$B$15)+lane_off)&lt;=0,0,IF((ABS(B205-$B$15)+lane_off)&gt;=v_sh^2/a_sh,(ABS(B205-$B$15)+lane_off)/v_sh+v_sh/a_sh,2*SQRT((ABS(B205-$B$15)+lane_off)/a_sh))))</f>
        <v/>
      </c>
      <c r="G205" s="34" t="str">
        <f aca="false">IF(OR(A205&gt;NL_b,$B$16=""),"",IF((ABS(B205-$B$16)+lane_off)&lt;=0,0,IF((ABS(B205-$B$16)+lane_off)&gt;=v_sh^2/a_sh,(ABS(B205-$B$16)+lane_off)/v_sh+v_sh/a_sh,2*SQRT((ABS(B205-$B$16)+lane_off)/a_sh))))</f>
        <v/>
      </c>
      <c r="H205" s="34" t="str">
        <f aca="false">IF(OR(A205&gt;NL_b,$B$17=""),"",IF((ABS(B205-$B$17)+lane_off)&lt;=0,0,IF((ABS(B205-$B$17)+lane_off)&gt;=v_sh^2/a_sh,(ABS(B205-$B$17)+lane_off)/v_sh+v_sh/a_sh,2*SQRT((ABS(B205-$B$17)+lane_off)/a_sh))))</f>
        <v/>
      </c>
      <c r="I205" s="34" t="str">
        <f aca="false">IF(C205="","",2*C205+w_conv*$D$12/v_conv)</f>
        <v/>
      </c>
      <c r="J205" s="34" t="str">
        <f aca="false">IF(D205="","",2*D205+w_conv*$D$13/v_conv)</f>
        <v/>
      </c>
      <c r="K205" s="34" t="str">
        <f aca="false">IF(E205="","",2*E205+w_conv*$D$14/v_conv)</f>
        <v/>
      </c>
      <c r="L205" s="34" t="str">
        <f aca="false">IF(F205="","",2*F205+w_conv*$D$15/v_conv)</f>
        <v/>
      </c>
      <c r="M205" s="34" t="str">
        <f aca="false">IF(G205="","",2*G205+w_conv*$D$16/v_conv)</f>
        <v/>
      </c>
      <c r="N205" s="34" t="str">
        <f aca="false">IF(H205="","",2*H205+w_conv*$D$17/v_conv)</f>
        <v/>
      </c>
      <c r="O205" s="34" t="str">
        <f aca="false">IF(A205&gt;NL_b,"",MIN(I205:N205))</f>
        <v/>
      </c>
      <c r="P205" s="34" t="str">
        <f aca="false">IF(O205="","",INDEX(C205:H205,MATCH(O205,I205:N205,0)))</f>
        <v/>
      </c>
      <c r="Q205" s="34" t="str">
        <f aca="false">IF(O205="","",INDEX($D$12:$D$17,MATCH(O205,I205:N205,0)))</f>
        <v/>
      </c>
    </row>
    <row r="206" customFormat="false" ht="15" hidden="false" customHeight="true" outlineLevel="0" collapsed="false">
      <c r="A206" s="54" t="n">
        <v>186</v>
      </c>
      <c r="B206" s="34" t="n">
        <f aca="false">(A206-0.5)*u_w</f>
        <v>185.5</v>
      </c>
      <c r="C206" s="34" t="str">
        <f aca="false">IF(OR(A206&gt;NL_b,$B$12=""),"",IF((ABS(B206-$B$12)+lane_off)&lt;=0,0,IF((ABS(B206-$B$12)+lane_off)&gt;=v_sh^2/a_sh,(ABS(B206-$B$12)+lane_off)/v_sh+v_sh/a_sh,2*SQRT((ABS(B206-$B$12)+lane_off)/a_sh))))</f>
        <v/>
      </c>
      <c r="D206" s="34" t="str">
        <f aca="false">IF(OR(A206&gt;NL_b,$B$13=""),"",IF((ABS(B206-$B$13)+lane_off)&lt;=0,0,IF((ABS(B206-$B$13)+lane_off)&gt;=v_sh^2/a_sh,(ABS(B206-$B$13)+lane_off)/v_sh+v_sh/a_sh,2*SQRT((ABS(B206-$B$13)+lane_off)/a_sh))))</f>
        <v/>
      </c>
      <c r="E206" s="34" t="str">
        <f aca="false">IF(OR(A206&gt;NL_b,$B$14=""),"",IF((ABS(B206-$B$14)+lane_off)&lt;=0,0,IF((ABS(B206-$B$14)+lane_off)&gt;=v_sh^2/a_sh,(ABS(B206-$B$14)+lane_off)/v_sh+v_sh/a_sh,2*SQRT((ABS(B206-$B$14)+lane_off)/a_sh))))</f>
        <v/>
      </c>
      <c r="F206" s="34" t="str">
        <f aca="false">IF(OR(A206&gt;NL_b,$B$15=""),"",IF((ABS(B206-$B$15)+lane_off)&lt;=0,0,IF((ABS(B206-$B$15)+lane_off)&gt;=v_sh^2/a_sh,(ABS(B206-$B$15)+lane_off)/v_sh+v_sh/a_sh,2*SQRT((ABS(B206-$B$15)+lane_off)/a_sh))))</f>
        <v/>
      </c>
      <c r="G206" s="34" t="str">
        <f aca="false">IF(OR(A206&gt;NL_b,$B$16=""),"",IF((ABS(B206-$B$16)+lane_off)&lt;=0,0,IF((ABS(B206-$B$16)+lane_off)&gt;=v_sh^2/a_sh,(ABS(B206-$B$16)+lane_off)/v_sh+v_sh/a_sh,2*SQRT((ABS(B206-$B$16)+lane_off)/a_sh))))</f>
        <v/>
      </c>
      <c r="H206" s="34" t="str">
        <f aca="false">IF(OR(A206&gt;NL_b,$B$17=""),"",IF((ABS(B206-$B$17)+lane_off)&lt;=0,0,IF((ABS(B206-$B$17)+lane_off)&gt;=v_sh^2/a_sh,(ABS(B206-$B$17)+lane_off)/v_sh+v_sh/a_sh,2*SQRT((ABS(B206-$B$17)+lane_off)/a_sh))))</f>
        <v/>
      </c>
      <c r="I206" s="34" t="str">
        <f aca="false">IF(C206="","",2*C206+w_conv*$D$12/v_conv)</f>
        <v/>
      </c>
      <c r="J206" s="34" t="str">
        <f aca="false">IF(D206="","",2*D206+w_conv*$D$13/v_conv)</f>
        <v/>
      </c>
      <c r="K206" s="34" t="str">
        <f aca="false">IF(E206="","",2*E206+w_conv*$D$14/v_conv)</f>
        <v/>
      </c>
      <c r="L206" s="34" t="str">
        <f aca="false">IF(F206="","",2*F206+w_conv*$D$15/v_conv)</f>
        <v/>
      </c>
      <c r="M206" s="34" t="str">
        <f aca="false">IF(G206="","",2*G206+w_conv*$D$16/v_conv)</f>
        <v/>
      </c>
      <c r="N206" s="34" t="str">
        <f aca="false">IF(H206="","",2*H206+w_conv*$D$17/v_conv)</f>
        <v/>
      </c>
      <c r="O206" s="34" t="str">
        <f aca="false">IF(A206&gt;NL_b,"",MIN(I206:N206))</f>
        <v/>
      </c>
      <c r="P206" s="34" t="str">
        <f aca="false">IF(O206="","",INDEX(C206:H206,MATCH(O206,I206:N206,0)))</f>
        <v/>
      </c>
      <c r="Q206" s="34" t="str">
        <f aca="false">IF(O206="","",INDEX($D$12:$D$17,MATCH(O206,I206:N206,0)))</f>
        <v/>
      </c>
    </row>
    <row r="207" customFormat="false" ht="15" hidden="false" customHeight="true" outlineLevel="0" collapsed="false">
      <c r="A207" s="54" t="n">
        <v>187</v>
      </c>
      <c r="B207" s="34" t="n">
        <f aca="false">(A207-0.5)*u_w</f>
        <v>186.5</v>
      </c>
      <c r="C207" s="34" t="str">
        <f aca="false">IF(OR(A207&gt;NL_b,$B$12=""),"",IF((ABS(B207-$B$12)+lane_off)&lt;=0,0,IF((ABS(B207-$B$12)+lane_off)&gt;=v_sh^2/a_sh,(ABS(B207-$B$12)+lane_off)/v_sh+v_sh/a_sh,2*SQRT((ABS(B207-$B$12)+lane_off)/a_sh))))</f>
        <v/>
      </c>
      <c r="D207" s="34" t="str">
        <f aca="false">IF(OR(A207&gt;NL_b,$B$13=""),"",IF((ABS(B207-$B$13)+lane_off)&lt;=0,0,IF((ABS(B207-$B$13)+lane_off)&gt;=v_sh^2/a_sh,(ABS(B207-$B$13)+lane_off)/v_sh+v_sh/a_sh,2*SQRT((ABS(B207-$B$13)+lane_off)/a_sh))))</f>
        <v/>
      </c>
      <c r="E207" s="34" t="str">
        <f aca="false">IF(OR(A207&gt;NL_b,$B$14=""),"",IF((ABS(B207-$B$14)+lane_off)&lt;=0,0,IF((ABS(B207-$B$14)+lane_off)&gt;=v_sh^2/a_sh,(ABS(B207-$B$14)+lane_off)/v_sh+v_sh/a_sh,2*SQRT((ABS(B207-$B$14)+lane_off)/a_sh))))</f>
        <v/>
      </c>
      <c r="F207" s="34" t="str">
        <f aca="false">IF(OR(A207&gt;NL_b,$B$15=""),"",IF((ABS(B207-$B$15)+lane_off)&lt;=0,0,IF((ABS(B207-$B$15)+lane_off)&gt;=v_sh^2/a_sh,(ABS(B207-$B$15)+lane_off)/v_sh+v_sh/a_sh,2*SQRT((ABS(B207-$B$15)+lane_off)/a_sh))))</f>
        <v/>
      </c>
      <c r="G207" s="34" t="str">
        <f aca="false">IF(OR(A207&gt;NL_b,$B$16=""),"",IF((ABS(B207-$B$16)+lane_off)&lt;=0,0,IF((ABS(B207-$B$16)+lane_off)&gt;=v_sh^2/a_sh,(ABS(B207-$B$16)+lane_off)/v_sh+v_sh/a_sh,2*SQRT((ABS(B207-$B$16)+lane_off)/a_sh))))</f>
        <v/>
      </c>
      <c r="H207" s="34" t="str">
        <f aca="false">IF(OR(A207&gt;NL_b,$B$17=""),"",IF((ABS(B207-$B$17)+lane_off)&lt;=0,0,IF((ABS(B207-$B$17)+lane_off)&gt;=v_sh^2/a_sh,(ABS(B207-$B$17)+lane_off)/v_sh+v_sh/a_sh,2*SQRT((ABS(B207-$B$17)+lane_off)/a_sh))))</f>
        <v/>
      </c>
      <c r="I207" s="34" t="str">
        <f aca="false">IF(C207="","",2*C207+w_conv*$D$12/v_conv)</f>
        <v/>
      </c>
      <c r="J207" s="34" t="str">
        <f aca="false">IF(D207="","",2*D207+w_conv*$D$13/v_conv)</f>
        <v/>
      </c>
      <c r="K207" s="34" t="str">
        <f aca="false">IF(E207="","",2*E207+w_conv*$D$14/v_conv)</f>
        <v/>
      </c>
      <c r="L207" s="34" t="str">
        <f aca="false">IF(F207="","",2*F207+w_conv*$D$15/v_conv)</f>
        <v/>
      </c>
      <c r="M207" s="34" t="str">
        <f aca="false">IF(G207="","",2*G207+w_conv*$D$16/v_conv)</f>
        <v/>
      </c>
      <c r="N207" s="34" t="str">
        <f aca="false">IF(H207="","",2*H207+w_conv*$D$17/v_conv)</f>
        <v/>
      </c>
      <c r="O207" s="34" t="str">
        <f aca="false">IF(A207&gt;NL_b,"",MIN(I207:N207))</f>
        <v/>
      </c>
      <c r="P207" s="34" t="str">
        <f aca="false">IF(O207="","",INDEX(C207:H207,MATCH(O207,I207:N207,0)))</f>
        <v/>
      </c>
      <c r="Q207" s="34" t="str">
        <f aca="false">IF(O207="","",INDEX($D$12:$D$17,MATCH(O207,I207:N207,0)))</f>
        <v/>
      </c>
    </row>
    <row r="208" customFormat="false" ht="15" hidden="false" customHeight="true" outlineLevel="0" collapsed="false">
      <c r="A208" s="54" t="n">
        <v>188</v>
      </c>
      <c r="B208" s="34" t="n">
        <f aca="false">(A208-0.5)*u_w</f>
        <v>187.5</v>
      </c>
      <c r="C208" s="34" t="str">
        <f aca="false">IF(OR(A208&gt;NL_b,$B$12=""),"",IF((ABS(B208-$B$12)+lane_off)&lt;=0,0,IF((ABS(B208-$B$12)+lane_off)&gt;=v_sh^2/a_sh,(ABS(B208-$B$12)+lane_off)/v_sh+v_sh/a_sh,2*SQRT((ABS(B208-$B$12)+lane_off)/a_sh))))</f>
        <v/>
      </c>
      <c r="D208" s="34" t="str">
        <f aca="false">IF(OR(A208&gt;NL_b,$B$13=""),"",IF((ABS(B208-$B$13)+lane_off)&lt;=0,0,IF((ABS(B208-$B$13)+lane_off)&gt;=v_sh^2/a_sh,(ABS(B208-$B$13)+lane_off)/v_sh+v_sh/a_sh,2*SQRT((ABS(B208-$B$13)+lane_off)/a_sh))))</f>
        <v/>
      </c>
      <c r="E208" s="34" t="str">
        <f aca="false">IF(OR(A208&gt;NL_b,$B$14=""),"",IF((ABS(B208-$B$14)+lane_off)&lt;=0,0,IF((ABS(B208-$B$14)+lane_off)&gt;=v_sh^2/a_sh,(ABS(B208-$B$14)+lane_off)/v_sh+v_sh/a_sh,2*SQRT((ABS(B208-$B$14)+lane_off)/a_sh))))</f>
        <v/>
      </c>
      <c r="F208" s="34" t="str">
        <f aca="false">IF(OR(A208&gt;NL_b,$B$15=""),"",IF((ABS(B208-$B$15)+lane_off)&lt;=0,0,IF((ABS(B208-$B$15)+lane_off)&gt;=v_sh^2/a_sh,(ABS(B208-$B$15)+lane_off)/v_sh+v_sh/a_sh,2*SQRT((ABS(B208-$B$15)+lane_off)/a_sh))))</f>
        <v/>
      </c>
      <c r="G208" s="34" t="str">
        <f aca="false">IF(OR(A208&gt;NL_b,$B$16=""),"",IF((ABS(B208-$B$16)+lane_off)&lt;=0,0,IF((ABS(B208-$B$16)+lane_off)&gt;=v_sh^2/a_sh,(ABS(B208-$B$16)+lane_off)/v_sh+v_sh/a_sh,2*SQRT((ABS(B208-$B$16)+lane_off)/a_sh))))</f>
        <v/>
      </c>
      <c r="H208" s="34" t="str">
        <f aca="false">IF(OR(A208&gt;NL_b,$B$17=""),"",IF((ABS(B208-$B$17)+lane_off)&lt;=0,0,IF((ABS(B208-$B$17)+lane_off)&gt;=v_sh^2/a_sh,(ABS(B208-$B$17)+lane_off)/v_sh+v_sh/a_sh,2*SQRT((ABS(B208-$B$17)+lane_off)/a_sh))))</f>
        <v/>
      </c>
      <c r="I208" s="34" t="str">
        <f aca="false">IF(C208="","",2*C208+w_conv*$D$12/v_conv)</f>
        <v/>
      </c>
      <c r="J208" s="34" t="str">
        <f aca="false">IF(D208="","",2*D208+w_conv*$D$13/v_conv)</f>
        <v/>
      </c>
      <c r="K208" s="34" t="str">
        <f aca="false">IF(E208="","",2*E208+w_conv*$D$14/v_conv)</f>
        <v/>
      </c>
      <c r="L208" s="34" t="str">
        <f aca="false">IF(F208="","",2*F208+w_conv*$D$15/v_conv)</f>
        <v/>
      </c>
      <c r="M208" s="34" t="str">
        <f aca="false">IF(G208="","",2*G208+w_conv*$D$16/v_conv)</f>
        <v/>
      </c>
      <c r="N208" s="34" t="str">
        <f aca="false">IF(H208="","",2*H208+w_conv*$D$17/v_conv)</f>
        <v/>
      </c>
      <c r="O208" s="34" t="str">
        <f aca="false">IF(A208&gt;NL_b,"",MIN(I208:N208))</f>
        <v/>
      </c>
      <c r="P208" s="34" t="str">
        <f aca="false">IF(O208="","",INDEX(C208:H208,MATCH(O208,I208:N208,0)))</f>
        <v/>
      </c>
      <c r="Q208" s="34" t="str">
        <f aca="false">IF(O208="","",INDEX($D$12:$D$17,MATCH(O208,I208:N208,0)))</f>
        <v/>
      </c>
    </row>
    <row r="209" customFormat="false" ht="15" hidden="false" customHeight="true" outlineLevel="0" collapsed="false">
      <c r="A209" s="54" t="n">
        <v>189</v>
      </c>
      <c r="B209" s="34" t="n">
        <f aca="false">(A209-0.5)*u_w</f>
        <v>188.5</v>
      </c>
      <c r="C209" s="34" t="str">
        <f aca="false">IF(OR(A209&gt;NL_b,$B$12=""),"",IF((ABS(B209-$B$12)+lane_off)&lt;=0,0,IF((ABS(B209-$B$12)+lane_off)&gt;=v_sh^2/a_sh,(ABS(B209-$B$12)+lane_off)/v_sh+v_sh/a_sh,2*SQRT((ABS(B209-$B$12)+lane_off)/a_sh))))</f>
        <v/>
      </c>
      <c r="D209" s="34" t="str">
        <f aca="false">IF(OR(A209&gt;NL_b,$B$13=""),"",IF((ABS(B209-$B$13)+lane_off)&lt;=0,0,IF((ABS(B209-$B$13)+lane_off)&gt;=v_sh^2/a_sh,(ABS(B209-$B$13)+lane_off)/v_sh+v_sh/a_sh,2*SQRT((ABS(B209-$B$13)+lane_off)/a_sh))))</f>
        <v/>
      </c>
      <c r="E209" s="34" t="str">
        <f aca="false">IF(OR(A209&gt;NL_b,$B$14=""),"",IF((ABS(B209-$B$14)+lane_off)&lt;=0,0,IF((ABS(B209-$B$14)+lane_off)&gt;=v_sh^2/a_sh,(ABS(B209-$B$14)+lane_off)/v_sh+v_sh/a_sh,2*SQRT((ABS(B209-$B$14)+lane_off)/a_sh))))</f>
        <v/>
      </c>
      <c r="F209" s="34" t="str">
        <f aca="false">IF(OR(A209&gt;NL_b,$B$15=""),"",IF((ABS(B209-$B$15)+lane_off)&lt;=0,0,IF((ABS(B209-$B$15)+lane_off)&gt;=v_sh^2/a_sh,(ABS(B209-$B$15)+lane_off)/v_sh+v_sh/a_sh,2*SQRT((ABS(B209-$B$15)+lane_off)/a_sh))))</f>
        <v/>
      </c>
      <c r="G209" s="34" t="str">
        <f aca="false">IF(OR(A209&gt;NL_b,$B$16=""),"",IF((ABS(B209-$B$16)+lane_off)&lt;=0,0,IF((ABS(B209-$B$16)+lane_off)&gt;=v_sh^2/a_sh,(ABS(B209-$B$16)+lane_off)/v_sh+v_sh/a_sh,2*SQRT((ABS(B209-$B$16)+lane_off)/a_sh))))</f>
        <v/>
      </c>
      <c r="H209" s="34" t="str">
        <f aca="false">IF(OR(A209&gt;NL_b,$B$17=""),"",IF((ABS(B209-$B$17)+lane_off)&lt;=0,0,IF((ABS(B209-$B$17)+lane_off)&gt;=v_sh^2/a_sh,(ABS(B209-$B$17)+lane_off)/v_sh+v_sh/a_sh,2*SQRT((ABS(B209-$B$17)+lane_off)/a_sh))))</f>
        <v/>
      </c>
      <c r="I209" s="34" t="str">
        <f aca="false">IF(C209="","",2*C209+w_conv*$D$12/v_conv)</f>
        <v/>
      </c>
      <c r="J209" s="34" t="str">
        <f aca="false">IF(D209="","",2*D209+w_conv*$D$13/v_conv)</f>
        <v/>
      </c>
      <c r="K209" s="34" t="str">
        <f aca="false">IF(E209="","",2*E209+w_conv*$D$14/v_conv)</f>
        <v/>
      </c>
      <c r="L209" s="34" t="str">
        <f aca="false">IF(F209="","",2*F209+w_conv*$D$15/v_conv)</f>
        <v/>
      </c>
      <c r="M209" s="34" t="str">
        <f aca="false">IF(G209="","",2*G209+w_conv*$D$16/v_conv)</f>
        <v/>
      </c>
      <c r="N209" s="34" t="str">
        <f aca="false">IF(H209="","",2*H209+w_conv*$D$17/v_conv)</f>
        <v/>
      </c>
      <c r="O209" s="34" t="str">
        <f aca="false">IF(A209&gt;NL_b,"",MIN(I209:N209))</f>
        <v/>
      </c>
      <c r="P209" s="34" t="str">
        <f aca="false">IF(O209="","",INDEX(C209:H209,MATCH(O209,I209:N209,0)))</f>
        <v/>
      </c>
      <c r="Q209" s="34" t="str">
        <f aca="false">IF(O209="","",INDEX($D$12:$D$17,MATCH(O209,I209:N209,0)))</f>
        <v/>
      </c>
    </row>
    <row r="210" customFormat="false" ht="15" hidden="false" customHeight="true" outlineLevel="0" collapsed="false">
      <c r="A210" s="54" t="n">
        <v>190</v>
      </c>
      <c r="B210" s="34" t="n">
        <f aca="false">(A210-0.5)*u_w</f>
        <v>189.5</v>
      </c>
      <c r="C210" s="34" t="str">
        <f aca="false">IF(OR(A210&gt;NL_b,$B$12=""),"",IF((ABS(B210-$B$12)+lane_off)&lt;=0,0,IF((ABS(B210-$B$12)+lane_off)&gt;=v_sh^2/a_sh,(ABS(B210-$B$12)+lane_off)/v_sh+v_sh/a_sh,2*SQRT((ABS(B210-$B$12)+lane_off)/a_sh))))</f>
        <v/>
      </c>
      <c r="D210" s="34" t="str">
        <f aca="false">IF(OR(A210&gt;NL_b,$B$13=""),"",IF((ABS(B210-$B$13)+lane_off)&lt;=0,0,IF((ABS(B210-$B$13)+lane_off)&gt;=v_sh^2/a_sh,(ABS(B210-$B$13)+lane_off)/v_sh+v_sh/a_sh,2*SQRT((ABS(B210-$B$13)+lane_off)/a_sh))))</f>
        <v/>
      </c>
      <c r="E210" s="34" t="str">
        <f aca="false">IF(OR(A210&gt;NL_b,$B$14=""),"",IF((ABS(B210-$B$14)+lane_off)&lt;=0,0,IF((ABS(B210-$B$14)+lane_off)&gt;=v_sh^2/a_sh,(ABS(B210-$B$14)+lane_off)/v_sh+v_sh/a_sh,2*SQRT((ABS(B210-$B$14)+lane_off)/a_sh))))</f>
        <v/>
      </c>
      <c r="F210" s="34" t="str">
        <f aca="false">IF(OR(A210&gt;NL_b,$B$15=""),"",IF((ABS(B210-$B$15)+lane_off)&lt;=0,0,IF((ABS(B210-$B$15)+lane_off)&gt;=v_sh^2/a_sh,(ABS(B210-$B$15)+lane_off)/v_sh+v_sh/a_sh,2*SQRT((ABS(B210-$B$15)+lane_off)/a_sh))))</f>
        <v/>
      </c>
      <c r="G210" s="34" t="str">
        <f aca="false">IF(OR(A210&gt;NL_b,$B$16=""),"",IF((ABS(B210-$B$16)+lane_off)&lt;=0,0,IF((ABS(B210-$B$16)+lane_off)&gt;=v_sh^2/a_sh,(ABS(B210-$B$16)+lane_off)/v_sh+v_sh/a_sh,2*SQRT((ABS(B210-$B$16)+lane_off)/a_sh))))</f>
        <v/>
      </c>
      <c r="H210" s="34" t="str">
        <f aca="false">IF(OR(A210&gt;NL_b,$B$17=""),"",IF((ABS(B210-$B$17)+lane_off)&lt;=0,0,IF((ABS(B210-$B$17)+lane_off)&gt;=v_sh^2/a_sh,(ABS(B210-$B$17)+lane_off)/v_sh+v_sh/a_sh,2*SQRT((ABS(B210-$B$17)+lane_off)/a_sh))))</f>
        <v/>
      </c>
      <c r="I210" s="34" t="str">
        <f aca="false">IF(C210="","",2*C210+w_conv*$D$12/v_conv)</f>
        <v/>
      </c>
      <c r="J210" s="34" t="str">
        <f aca="false">IF(D210="","",2*D210+w_conv*$D$13/v_conv)</f>
        <v/>
      </c>
      <c r="K210" s="34" t="str">
        <f aca="false">IF(E210="","",2*E210+w_conv*$D$14/v_conv)</f>
        <v/>
      </c>
      <c r="L210" s="34" t="str">
        <f aca="false">IF(F210="","",2*F210+w_conv*$D$15/v_conv)</f>
        <v/>
      </c>
      <c r="M210" s="34" t="str">
        <f aca="false">IF(G210="","",2*G210+w_conv*$D$16/v_conv)</f>
        <v/>
      </c>
      <c r="N210" s="34" t="str">
        <f aca="false">IF(H210="","",2*H210+w_conv*$D$17/v_conv)</f>
        <v/>
      </c>
      <c r="O210" s="34" t="str">
        <f aca="false">IF(A210&gt;NL_b,"",MIN(I210:N210))</f>
        <v/>
      </c>
      <c r="P210" s="34" t="str">
        <f aca="false">IF(O210="","",INDEX(C210:H210,MATCH(O210,I210:N210,0)))</f>
        <v/>
      </c>
      <c r="Q210" s="34" t="str">
        <f aca="false">IF(O210="","",INDEX($D$12:$D$17,MATCH(O210,I210:N210,0)))</f>
        <v/>
      </c>
    </row>
    <row r="211" customFormat="false" ht="15" hidden="false" customHeight="true" outlineLevel="0" collapsed="false">
      <c r="A211" s="54" t="n">
        <v>191</v>
      </c>
      <c r="B211" s="34" t="n">
        <f aca="false">(A211-0.5)*u_w</f>
        <v>190.5</v>
      </c>
      <c r="C211" s="34" t="str">
        <f aca="false">IF(OR(A211&gt;NL_b,$B$12=""),"",IF((ABS(B211-$B$12)+lane_off)&lt;=0,0,IF((ABS(B211-$B$12)+lane_off)&gt;=v_sh^2/a_sh,(ABS(B211-$B$12)+lane_off)/v_sh+v_sh/a_sh,2*SQRT((ABS(B211-$B$12)+lane_off)/a_sh))))</f>
        <v/>
      </c>
      <c r="D211" s="34" t="str">
        <f aca="false">IF(OR(A211&gt;NL_b,$B$13=""),"",IF((ABS(B211-$B$13)+lane_off)&lt;=0,0,IF((ABS(B211-$B$13)+lane_off)&gt;=v_sh^2/a_sh,(ABS(B211-$B$13)+lane_off)/v_sh+v_sh/a_sh,2*SQRT((ABS(B211-$B$13)+lane_off)/a_sh))))</f>
        <v/>
      </c>
      <c r="E211" s="34" t="str">
        <f aca="false">IF(OR(A211&gt;NL_b,$B$14=""),"",IF((ABS(B211-$B$14)+lane_off)&lt;=0,0,IF((ABS(B211-$B$14)+lane_off)&gt;=v_sh^2/a_sh,(ABS(B211-$B$14)+lane_off)/v_sh+v_sh/a_sh,2*SQRT((ABS(B211-$B$14)+lane_off)/a_sh))))</f>
        <v/>
      </c>
      <c r="F211" s="34" t="str">
        <f aca="false">IF(OR(A211&gt;NL_b,$B$15=""),"",IF((ABS(B211-$B$15)+lane_off)&lt;=0,0,IF((ABS(B211-$B$15)+lane_off)&gt;=v_sh^2/a_sh,(ABS(B211-$B$15)+lane_off)/v_sh+v_sh/a_sh,2*SQRT((ABS(B211-$B$15)+lane_off)/a_sh))))</f>
        <v/>
      </c>
      <c r="G211" s="34" t="str">
        <f aca="false">IF(OR(A211&gt;NL_b,$B$16=""),"",IF((ABS(B211-$B$16)+lane_off)&lt;=0,0,IF((ABS(B211-$B$16)+lane_off)&gt;=v_sh^2/a_sh,(ABS(B211-$B$16)+lane_off)/v_sh+v_sh/a_sh,2*SQRT((ABS(B211-$B$16)+lane_off)/a_sh))))</f>
        <v/>
      </c>
      <c r="H211" s="34" t="str">
        <f aca="false">IF(OR(A211&gt;NL_b,$B$17=""),"",IF((ABS(B211-$B$17)+lane_off)&lt;=0,0,IF((ABS(B211-$B$17)+lane_off)&gt;=v_sh^2/a_sh,(ABS(B211-$B$17)+lane_off)/v_sh+v_sh/a_sh,2*SQRT((ABS(B211-$B$17)+lane_off)/a_sh))))</f>
        <v/>
      </c>
      <c r="I211" s="34" t="str">
        <f aca="false">IF(C211="","",2*C211+w_conv*$D$12/v_conv)</f>
        <v/>
      </c>
      <c r="J211" s="34" t="str">
        <f aca="false">IF(D211="","",2*D211+w_conv*$D$13/v_conv)</f>
        <v/>
      </c>
      <c r="K211" s="34" t="str">
        <f aca="false">IF(E211="","",2*E211+w_conv*$D$14/v_conv)</f>
        <v/>
      </c>
      <c r="L211" s="34" t="str">
        <f aca="false">IF(F211="","",2*F211+w_conv*$D$15/v_conv)</f>
        <v/>
      </c>
      <c r="M211" s="34" t="str">
        <f aca="false">IF(G211="","",2*G211+w_conv*$D$16/v_conv)</f>
        <v/>
      </c>
      <c r="N211" s="34" t="str">
        <f aca="false">IF(H211="","",2*H211+w_conv*$D$17/v_conv)</f>
        <v/>
      </c>
      <c r="O211" s="34" t="str">
        <f aca="false">IF(A211&gt;NL_b,"",MIN(I211:N211))</f>
        <v/>
      </c>
      <c r="P211" s="34" t="str">
        <f aca="false">IF(O211="","",INDEX(C211:H211,MATCH(O211,I211:N211,0)))</f>
        <v/>
      </c>
      <c r="Q211" s="34" t="str">
        <f aca="false">IF(O211="","",INDEX($D$12:$D$17,MATCH(O211,I211:N211,0)))</f>
        <v/>
      </c>
    </row>
    <row r="212" customFormat="false" ht="15" hidden="false" customHeight="true" outlineLevel="0" collapsed="false">
      <c r="A212" s="54" t="n">
        <v>192</v>
      </c>
      <c r="B212" s="34" t="n">
        <f aca="false">(A212-0.5)*u_w</f>
        <v>191.5</v>
      </c>
      <c r="C212" s="34" t="str">
        <f aca="false">IF(OR(A212&gt;NL_b,$B$12=""),"",IF((ABS(B212-$B$12)+lane_off)&lt;=0,0,IF((ABS(B212-$B$12)+lane_off)&gt;=v_sh^2/a_sh,(ABS(B212-$B$12)+lane_off)/v_sh+v_sh/a_sh,2*SQRT((ABS(B212-$B$12)+lane_off)/a_sh))))</f>
        <v/>
      </c>
      <c r="D212" s="34" t="str">
        <f aca="false">IF(OR(A212&gt;NL_b,$B$13=""),"",IF((ABS(B212-$B$13)+lane_off)&lt;=0,0,IF((ABS(B212-$B$13)+lane_off)&gt;=v_sh^2/a_sh,(ABS(B212-$B$13)+lane_off)/v_sh+v_sh/a_sh,2*SQRT((ABS(B212-$B$13)+lane_off)/a_sh))))</f>
        <v/>
      </c>
      <c r="E212" s="34" t="str">
        <f aca="false">IF(OR(A212&gt;NL_b,$B$14=""),"",IF((ABS(B212-$B$14)+lane_off)&lt;=0,0,IF((ABS(B212-$B$14)+lane_off)&gt;=v_sh^2/a_sh,(ABS(B212-$B$14)+lane_off)/v_sh+v_sh/a_sh,2*SQRT((ABS(B212-$B$14)+lane_off)/a_sh))))</f>
        <v/>
      </c>
      <c r="F212" s="34" t="str">
        <f aca="false">IF(OR(A212&gt;NL_b,$B$15=""),"",IF((ABS(B212-$B$15)+lane_off)&lt;=0,0,IF((ABS(B212-$B$15)+lane_off)&gt;=v_sh^2/a_sh,(ABS(B212-$B$15)+lane_off)/v_sh+v_sh/a_sh,2*SQRT((ABS(B212-$B$15)+lane_off)/a_sh))))</f>
        <v/>
      </c>
      <c r="G212" s="34" t="str">
        <f aca="false">IF(OR(A212&gt;NL_b,$B$16=""),"",IF((ABS(B212-$B$16)+lane_off)&lt;=0,0,IF((ABS(B212-$B$16)+lane_off)&gt;=v_sh^2/a_sh,(ABS(B212-$B$16)+lane_off)/v_sh+v_sh/a_sh,2*SQRT((ABS(B212-$B$16)+lane_off)/a_sh))))</f>
        <v/>
      </c>
      <c r="H212" s="34" t="str">
        <f aca="false">IF(OR(A212&gt;NL_b,$B$17=""),"",IF((ABS(B212-$B$17)+lane_off)&lt;=0,0,IF((ABS(B212-$B$17)+lane_off)&gt;=v_sh^2/a_sh,(ABS(B212-$B$17)+lane_off)/v_sh+v_sh/a_sh,2*SQRT((ABS(B212-$B$17)+lane_off)/a_sh))))</f>
        <v/>
      </c>
      <c r="I212" s="34" t="str">
        <f aca="false">IF(C212="","",2*C212+w_conv*$D$12/v_conv)</f>
        <v/>
      </c>
      <c r="J212" s="34" t="str">
        <f aca="false">IF(D212="","",2*D212+w_conv*$D$13/v_conv)</f>
        <v/>
      </c>
      <c r="K212" s="34" t="str">
        <f aca="false">IF(E212="","",2*E212+w_conv*$D$14/v_conv)</f>
        <v/>
      </c>
      <c r="L212" s="34" t="str">
        <f aca="false">IF(F212="","",2*F212+w_conv*$D$15/v_conv)</f>
        <v/>
      </c>
      <c r="M212" s="34" t="str">
        <f aca="false">IF(G212="","",2*G212+w_conv*$D$16/v_conv)</f>
        <v/>
      </c>
      <c r="N212" s="34" t="str">
        <f aca="false">IF(H212="","",2*H212+w_conv*$D$17/v_conv)</f>
        <v/>
      </c>
      <c r="O212" s="34" t="str">
        <f aca="false">IF(A212&gt;NL_b,"",MIN(I212:N212))</f>
        <v/>
      </c>
      <c r="P212" s="34" t="str">
        <f aca="false">IF(O212="","",INDEX(C212:H212,MATCH(O212,I212:N212,0)))</f>
        <v/>
      </c>
      <c r="Q212" s="34" t="str">
        <f aca="false">IF(O212="","",INDEX($D$12:$D$17,MATCH(O212,I212:N212,0)))</f>
        <v/>
      </c>
    </row>
    <row r="213" customFormat="false" ht="15" hidden="false" customHeight="true" outlineLevel="0" collapsed="false">
      <c r="A213" s="54" t="n">
        <v>193</v>
      </c>
      <c r="B213" s="34" t="n">
        <f aca="false">(A213-0.5)*u_w</f>
        <v>192.5</v>
      </c>
      <c r="C213" s="34" t="str">
        <f aca="false">IF(OR(A213&gt;NL_b,$B$12=""),"",IF((ABS(B213-$B$12)+lane_off)&lt;=0,0,IF((ABS(B213-$B$12)+lane_off)&gt;=v_sh^2/a_sh,(ABS(B213-$B$12)+lane_off)/v_sh+v_sh/a_sh,2*SQRT((ABS(B213-$B$12)+lane_off)/a_sh))))</f>
        <v/>
      </c>
      <c r="D213" s="34" t="str">
        <f aca="false">IF(OR(A213&gt;NL_b,$B$13=""),"",IF((ABS(B213-$B$13)+lane_off)&lt;=0,0,IF((ABS(B213-$B$13)+lane_off)&gt;=v_sh^2/a_sh,(ABS(B213-$B$13)+lane_off)/v_sh+v_sh/a_sh,2*SQRT((ABS(B213-$B$13)+lane_off)/a_sh))))</f>
        <v/>
      </c>
      <c r="E213" s="34" t="str">
        <f aca="false">IF(OR(A213&gt;NL_b,$B$14=""),"",IF((ABS(B213-$B$14)+lane_off)&lt;=0,0,IF((ABS(B213-$B$14)+lane_off)&gt;=v_sh^2/a_sh,(ABS(B213-$B$14)+lane_off)/v_sh+v_sh/a_sh,2*SQRT((ABS(B213-$B$14)+lane_off)/a_sh))))</f>
        <v/>
      </c>
      <c r="F213" s="34" t="str">
        <f aca="false">IF(OR(A213&gt;NL_b,$B$15=""),"",IF((ABS(B213-$B$15)+lane_off)&lt;=0,0,IF((ABS(B213-$B$15)+lane_off)&gt;=v_sh^2/a_sh,(ABS(B213-$B$15)+lane_off)/v_sh+v_sh/a_sh,2*SQRT((ABS(B213-$B$15)+lane_off)/a_sh))))</f>
        <v/>
      </c>
      <c r="G213" s="34" t="str">
        <f aca="false">IF(OR(A213&gt;NL_b,$B$16=""),"",IF((ABS(B213-$B$16)+lane_off)&lt;=0,0,IF((ABS(B213-$B$16)+lane_off)&gt;=v_sh^2/a_sh,(ABS(B213-$B$16)+lane_off)/v_sh+v_sh/a_sh,2*SQRT((ABS(B213-$B$16)+lane_off)/a_sh))))</f>
        <v/>
      </c>
      <c r="H213" s="34" t="str">
        <f aca="false">IF(OR(A213&gt;NL_b,$B$17=""),"",IF((ABS(B213-$B$17)+lane_off)&lt;=0,0,IF((ABS(B213-$B$17)+lane_off)&gt;=v_sh^2/a_sh,(ABS(B213-$B$17)+lane_off)/v_sh+v_sh/a_sh,2*SQRT((ABS(B213-$B$17)+lane_off)/a_sh))))</f>
        <v/>
      </c>
      <c r="I213" s="34" t="str">
        <f aca="false">IF(C213="","",2*C213+w_conv*$D$12/v_conv)</f>
        <v/>
      </c>
      <c r="J213" s="34" t="str">
        <f aca="false">IF(D213="","",2*D213+w_conv*$D$13/v_conv)</f>
        <v/>
      </c>
      <c r="K213" s="34" t="str">
        <f aca="false">IF(E213="","",2*E213+w_conv*$D$14/v_conv)</f>
        <v/>
      </c>
      <c r="L213" s="34" t="str">
        <f aca="false">IF(F213="","",2*F213+w_conv*$D$15/v_conv)</f>
        <v/>
      </c>
      <c r="M213" s="34" t="str">
        <f aca="false">IF(G213="","",2*G213+w_conv*$D$16/v_conv)</f>
        <v/>
      </c>
      <c r="N213" s="34" t="str">
        <f aca="false">IF(H213="","",2*H213+w_conv*$D$17/v_conv)</f>
        <v/>
      </c>
      <c r="O213" s="34" t="str">
        <f aca="false">IF(A213&gt;NL_b,"",MIN(I213:N213))</f>
        <v/>
      </c>
      <c r="P213" s="34" t="str">
        <f aca="false">IF(O213="","",INDEX(C213:H213,MATCH(O213,I213:N213,0)))</f>
        <v/>
      </c>
      <c r="Q213" s="34" t="str">
        <f aca="false">IF(O213="","",INDEX($D$12:$D$17,MATCH(O213,I213:N213,0)))</f>
        <v/>
      </c>
    </row>
    <row r="214" customFormat="false" ht="15" hidden="false" customHeight="true" outlineLevel="0" collapsed="false">
      <c r="A214" s="54" t="n">
        <v>194</v>
      </c>
      <c r="B214" s="34" t="n">
        <f aca="false">(A214-0.5)*u_w</f>
        <v>193.5</v>
      </c>
      <c r="C214" s="34" t="str">
        <f aca="false">IF(OR(A214&gt;NL_b,$B$12=""),"",IF((ABS(B214-$B$12)+lane_off)&lt;=0,0,IF((ABS(B214-$B$12)+lane_off)&gt;=v_sh^2/a_sh,(ABS(B214-$B$12)+lane_off)/v_sh+v_sh/a_sh,2*SQRT((ABS(B214-$B$12)+lane_off)/a_sh))))</f>
        <v/>
      </c>
      <c r="D214" s="34" t="str">
        <f aca="false">IF(OR(A214&gt;NL_b,$B$13=""),"",IF((ABS(B214-$B$13)+lane_off)&lt;=0,0,IF((ABS(B214-$B$13)+lane_off)&gt;=v_sh^2/a_sh,(ABS(B214-$B$13)+lane_off)/v_sh+v_sh/a_sh,2*SQRT((ABS(B214-$B$13)+lane_off)/a_sh))))</f>
        <v/>
      </c>
      <c r="E214" s="34" t="str">
        <f aca="false">IF(OR(A214&gt;NL_b,$B$14=""),"",IF((ABS(B214-$B$14)+lane_off)&lt;=0,0,IF((ABS(B214-$B$14)+lane_off)&gt;=v_sh^2/a_sh,(ABS(B214-$B$14)+lane_off)/v_sh+v_sh/a_sh,2*SQRT((ABS(B214-$B$14)+lane_off)/a_sh))))</f>
        <v/>
      </c>
      <c r="F214" s="34" t="str">
        <f aca="false">IF(OR(A214&gt;NL_b,$B$15=""),"",IF((ABS(B214-$B$15)+lane_off)&lt;=0,0,IF((ABS(B214-$B$15)+lane_off)&gt;=v_sh^2/a_sh,(ABS(B214-$B$15)+lane_off)/v_sh+v_sh/a_sh,2*SQRT((ABS(B214-$B$15)+lane_off)/a_sh))))</f>
        <v/>
      </c>
      <c r="G214" s="34" t="str">
        <f aca="false">IF(OR(A214&gt;NL_b,$B$16=""),"",IF((ABS(B214-$B$16)+lane_off)&lt;=0,0,IF((ABS(B214-$B$16)+lane_off)&gt;=v_sh^2/a_sh,(ABS(B214-$B$16)+lane_off)/v_sh+v_sh/a_sh,2*SQRT((ABS(B214-$B$16)+lane_off)/a_sh))))</f>
        <v/>
      </c>
      <c r="H214" s="34" t="str">
        <f aca="false">IF(OR(A214&gt;NL_b,$B$17=""),"",IF((ABS(B214-$B$17)+lane_off)&lt;=0,0,IF((ABS(B214-$B$17)+lane_off)&gt;=v_sh^2/a_sh,(ABS(B214-$B$17)+lane_off)/v_sh+v_sh/a_sh,2*SQRT((ABS(B214-$B$17)+lane_off)/a_sh))))</f>
        <v/>
      </c>
      <c r="I214" s="34" t="str">
        <f aca="false">IF(C214="","",2*C214+w_conv*$D$12/v_conv)</f>
        <v/>
      </c>
      <c r="J214" s="34" t="str">
        <f aca="false">IF(D214="","",2*D214+w_conv*$D$13/v_conv)</f>
        <v/>
      </c>
      <c r="K214" s="34" t="str">
        <f aca="false">IF(E214="","",2*E214+w_conv*$D$14/v_conv)</f>
        <v/>
      </c>
      <c r="L214" s="34" t="str">
        <f aca="false">IF(F214="","",2*F214+w_conv*$D$15/v_conv)</f>
        <v/>
      </c>
      <c r="M214" s="34" t="str">
        <f aca="false">IF(G214="","",2*G214+w_conv*$D$16/v_conv)</f>
        <v/>
      </c>
      <c r="N214" s="34" t="str">
        <f aca="false">IF(H214="","",2*H214+w_conv*$D$17/v_conv)</f>
        <v/>
      </c>
      <c r="O214" s="34" t="str">
        <f aca="false">IF(A214&gt;NL_b,"",MIN(I214:N214))</f>
        <v/>
      </c>
      <c r="P214" s="34" t="str">
        <f aca="false">IF(O214="","",INDEX(C214:H214,MATCH(O214,I214:N214,0)))</f>
        <v/>
      </c>
      <c r="Q214" s="34" t="str">
        <f aca="false">IF(O214="","",INDEX($D$12:$D$17,MATCH(O214,I214:N214,0)))</f>
        <v/>
      </c>
    </row>
    <row r="215" customFormat="false" ht="15" hidden="false" customHeight="true" outlineLevel="0" collapsed="false">
      <c r="A215" s="54" t="n">
        <v>195</v>
      </c>
      <c r="B215" s="34" t="n">
        <f aca="false">(A215-0.5)*u_w</f>
        <v>194.5</v>
      </c>
      <c r="C215" s="34" t="str">
        <f aca="false">IF(OR(A215&gt;NL_b,$B$12=""),"",IF((ABS(B215-$B$12)+lane_off)&lt;=0,0,IF((ABS(B215-$B$12)+lane_off)&gt;=v_sh^2/a_sh,(ABS(B215-$B$12)+lane_off)/v_sh+v_sh/a_sh,2*SQRT((ABS(B215-$B$12)+lane_off)/a_sh))))</f>
        <v/>
      </c>
      <c r="D215" s="34" t="str">
        <f aca="false">IF(OR(A215&gt;NL_b,$B$13=""),"",IF((ABS(B215-$B$13)+lane_off)&lt;=0,0,IF((ABS(B215-$B$13)+lane_off)&gt;=v_sh^2/a_sh,(ABS(B215-$B$13)+lane_off)/v_sh+v_sh/a_sh,2*SQRT((ABS(B215-$B$13)+lane_off)/a_sh))))</f>
        <v/>
      </c>
      <c r="E215" s="34" t="str">
        <f aca="false">IF(OR(A215&gt;NL_b,$B$14=""),"",IF((ABS(B215-$B$14)+lane_off)&lt;=0,0,IF((ABS(B215-$B$14)+lane_off)&gt;=v_sh^2/a_sh,(ABS(B215-$B$14)+lane_off)/v_sh+v_sh/a_sh,2*SQRT((ABS(B215-$B$14)+lane_off)/a_sh))))</f>
        <v/>
      </c>
      <c r="F215" s="34" t="str">
        <f aca="false">IF(OR(A215&gt;NL_b,$B$15=""),"",IF((ABS(B215-$B$15)+lane_off)&lt;=0,0,IF((ABS(B215-$B$15)+lane_off)&gt;=v_sh^2/a_sh,(ABS(B215-$B$15)+lane_off)/v_sh+v_sh/a_sh,2*SQRT((ABS(B215-$B$15)+lane_off)/a_sh))))</f>
        <v/>
      </c>
      <c r="G215" s="34" t="str">
        <f aca="false">IF(OR(A215&gt;NL_b,$B$16=""),"",IF((ABS(B215-$B$16)+lane_off)&lt;=0,0,IF((ABS(B215-$B$16)+lane_off)&gt;=v_sh^2/a_sh,(ABS(B215-$B$16)+lane_off)/v_sh+v_sh/a_sh,2*SQRT((ABS(B215-$B$16)+lane_off)/a_sh))))</f>
        <v/>
      </c>
      <c r="H215" s="34" t="str">
        <f aca="false">IF(OR(A215&gt;NL_b,$B$17=""),"",IF((ABS(B215-$B$17)+lane_off)&lt;=0,0,IF((ABS(B215-$B$17)+lane_off)&gt;=v_sh^2/a_sh,(ABS(B215-$B$17)+lane_off)/v_sh+v_sh/a_sh,2*SQRT((ABS(B215-$B$17)+lane_off)/a_sh))))</f>
        <v/>
      </c>
      <c r="I215" s="34" t="str">
        <f aca="false">IF(C215="","",2*C215+w_conv*$D$12/v_conv)</f>
        <v/>
      </c>
      <c r="J215" s="34" t="str">
        <f aca="false">IF(D215="","",2*D215+w_conv*$D$13/v_conv)</f>
        <v/>
      </c>
      <c r="K215" s="34" t="str">
        <f aca="false">IF(E215="","",2*E215+w_conv*$D$14/v_conv)</f>
        <v/>
      </c>
      <c r="L215" s="34" t="str">
        <f aca="false">IF(F215="","",2*F215+w_conv*$D$15/v_conv)</f>
        <v/>
      </c>
      <c r="M215" s="34" t="str">
        <f aca="false">IF(G215="","",2*G215+w_conv*$D$16/v_conv)</f>
        <v/>
      </c>
      <c r="N215" s="34" t="str">
        <f aca="false">IF(H215="","",2*H215+w_conv*$D$17/v_conv)</f>
        <v/>
      </c>
      <c r="O215" s="34" t="str">
        <f aca="false">IF(A215&gt;NL_b,"",MIN(I215:N215))</f>
        <v/>
      </c>
      <c r="P215" s="34" t="str">
        <f aca="false">IF(O215="","",INDEX(C215:H215,MATCH(O215,I215:N215,0)))</f>
        <v/>
      </c>
      <c r="Q215" s="34" t="str">
        <f aca="false">IF(O215="","",INDEX($D$12:$D$17,MATCH(O215,I215:N215,0)))</f>
        <v/>
      </c>
    </row>
    <row r="216" customFormat="false" ht="15" hidden="false" customHeight="true" outlineLevel="0" collapsed="false">
      <c r="A216" s="54" t="n">
        <v>196</v>
      </c>
      <c r="B216" s="34" t="n">
        <f aca="false">(A216-0.5)*u_w</f>
        <v>195.5</v>
      </c>
      <c r="C216" s="34" t="str">
        <f aca="false">IF(OR(A216&gt;NL_b,$B$12=""),"",IF((ABS(B216-$B$12)+lane_off)&lt;=0,0,IF((ABS(B216-$B$12)+lane_off)&gt;=v_sh^2/a_sh,(ABS(B216-$B$12)+lane_off)/v_sh+v_sh/a_sh,2*SQRT((ABS(B216-$B$12)+lane_off)/a_sh))))</f>
        <v/>
      </c>
      <c r="D216" s="34" t="str">
        <f aca="false">IF(OR(A216&gt;NL_b,$B$13=""),"",IF((ABS(B216-$B$13)+lane_off)&lt;=0,0,IF((ABS(B216-$B$13)+lane_off)&gt;=v_sh^2/a_sh,(ABS(B216-$B$13)+lane_off)/v_sh+v_sh/a_sh,2*SQRT((ABS(B216-$B$13)+lane_off)/a_sh))))</f>
        <v/>
      </c>
      <c r="E216" s="34" t="str">
        <f aca="false">IF(OR(A216&gt;NL_b,$B$14=""),"",IF((ABS(B216-$B$14)+lane_off)&lt;=0,0,IF((ABS(B216-$B$14)+lane_off)&gt;=v_sh^2/a_sh,(ABS(B216-$B$14)+lane_off)/v_sh+v_sh/a_sh,2*SQRT((ABS(B216-$B$14)+lane_off)/a_sh))))</f>
        <v/>
      </c>
      <c r="F216" s="34" t="str">
        <f aca="false">IF(OR(A216&gt;NL_b,$B$15=""),"",IF((ABS(B216-$B$15)+lane_off)&lt;=0,0,IF((ABS(B216-$B$15)+lane_off)&gt;=v_sh^2/a_sh,(ABS(B216-$B$15)+lane_off)/v_sh+v_sh/a_sh,2*SQRT((ABS(B216-$B$15)+lane_off)/a_sh))))</f>
        <v/>
      </c>
      <c r="G216" s="34" t="str">
        <f aca="false">IF(OR(A216&gt;NL_b,$B$16=""),"",IF((ABS(B216-$B$16)+lane_off)&lt;=0,0,IF((ABS(B216-$B$16)+lane_off)&gt;=v_sh^2/a_sh,(ABS(B216-$B$16)+lane_off)/v_sh+v_sh/a_sh,2*SQRT((ABS(B216-$B$16)+lane_off)/a_sh))))</f>
        <v/>
      </c>
      <c r="H216" s="34" t="str">
        <f aca="false">IF(OR(A216&gt;NL_b,$B$17=""),"",IF((ABS(B216-$B$17)+lane_off)&lt;=0,0,IF((ABS(B216-$B$17)+lane_off)&gt;=v_sh^2/a_sh,(ABS(B216-$B$17)+lane_off)/v_sh+v_sh/a_sh,2*SQRT((ABS(B216-$B$17)+lane_off)/a_sh))))</f>
        <v/>
      </c>
      <c r="I216" s="34" t="str">
        <f aca="false">IF(C216="","",2*C216+w_conv*$D$12/v_conv)</f>
        <v/>
      </c>
      <c r="J216" s="34" t="str">
        <f aca="false">IF(D216="","",2*D216+w_conv*$D$13/v_conv)</f>
        <v/>
      </c>
      <c r="K216" s="34" t="str">
        <f aca="false">IF(E216="","",2*E216+w_conv*$D$14/v_conv)</f>
        <v/>
      </c>
      <c r="L216" s="34" t="str">
        <f aca="false">IF(F216="","",2*F216+w_conv*$D$15/v_conv)</f>
        <v/>
      </c>
      <c r="M216" s="34" t="str">
        <f aca="false">IF(G216="","",2*G216+w_conv*$D$16/v_conv)</f>
        <v/>
      </c>
      <c r="N216" s="34" t="str">
        <f aca="false">IF(H216="","",2*H216+w_conv*$D$17/v_conv)</f>
        <v/>
      </c>
      <c r="O216" s="34" t="str">
        <f aca="false">IF(A216&gt;NL_b,"",MIN(I216:N216))</f>
        <v/>
      </c>
      <c r="P216" s="34" t="str">
        <f aca="false">IF(O216="","",INDEX(C216:H216,MATCH(O216,I216:N216,0)))</f>
        <v/>
      </c>
      <c r="Q216" s="34" t="str">
        <f aca="false">IF(O216="","",INDEX($D$12:$D$17,MATCH(O216,I216:N216,0)))</f>
        <v/>
      </c>
    </row>
    <row r="217" customFormat="false" ht="15" hidden="false" customHeight="true" outlineLevel="0" collapsed="false">
      <c r="A217" s="54" t="n">
        <v>197</v>
      </c>
      <c r="B217" s="34" t="n">
        <f aca="false">(A217-0.5)*u_w</f>
        <v>196.5</v>
      </c>
      <c r="C217" s="34" t="str">
        <f aca="false">IF(OR(A217&gt;NL_b,$B$12=""),"",IF((ABS(B217-$B$12)+lane_off)&lt;=0,0,IF((ABS(B217-$B$12)+lane_off)&gt;=v_sh^2/a_sh,(ABS(B217-$B$12)+lane_off)/v_sh+v_sh/a_sh,2*SQRT((ABS(B217-$B$12)+lane_off)/a_sh))))</f>
        <v/>
      </c>
      <c r="D217" s="34" t="str">
        <f aca="false">IF(OR(A217&gt;NL_b,$B$13=""),"",IF((ABS(B217-$B$13)+lane_off)&lt;=0,0,IF((ABS(B217-$B$13)+lane_off)&gt;=v_sh^2/a_sh,(ABS(B217-$B$13)+lane_off)/v_sh+v_sh/a_sh,2*SQRT((ABS(B217-$B$13)+lane_off)/a_sh))))</f>
        <v/>
      </c>
      <c r="E217" s="34" t="str">
        <f aca="false">IF(OR(A217&gt;NL_b,$B$14=""),"",IF((ABS(B217-$B$14)+lane_off)&lt;=0,0,IF((ABS(B217-$B$14)+lane_off)&gt;=v_sh^2/a_sh,(ABS(B217-$B$14)+lane_off)/v_sh+v_sh/a_sh,2*SQRT((ABS(B217-$B$14)+lane_off)/a_sh))))</f>
        <v/>
      </c>
      <c r="F217" s="34" t="str">
        <f aca="false">IF(OR(A217&gt;NL_b,$B$15=""),"",IF((ABS(B217-$B$15)+lane_off)&lt;=0,0,IF((ABS(B217-$B$15)+lane_off)&gt;=v_sh^2/a_sh,(ABS(B217-$B$15)+lane_off)/v_sh+v_sh/a_sh,2*SQRT((ABS(B217-$B$15)+lane_off)/a_sh))))</f>
        <v/>
      </c>
      <c r="G217" s="34" t="str">
        <f aca="false">IF(OR(A217&gt;NL_b,$B$16=""),"",IF((ABS(B217-$B$16)+lane_off)&lt;=0,0,IF((ABS(B217-$B$16)+lane_off)&gt;=v_sh^2/a_sh,(ABS(B217-$B$16)+lane_off)/v_sh+v_sh/a_sh,2*SQRT((ABS(B217-$B$16)+lane_off)/a_sh))))</f>
        <v/>
      </c>
      <c r="H217" s="34" t="str">
        <f aca="false">IF(OR(A217&gt;NL_b,$B$17=""),"",IF((ABS(B217-$B$17)+lane_off)&lt;=0,0,IF((ABS(B217-$B$17)+lane_off)&gt;=v_sh^2/a_sh,(ABS(B217-$B$17)+lane_off)/v_sh+v_sh/a_sh,2*SQRT((ABS(B217-$B$17)+lane_off)/a_sh))))</f>
        <v/>
      </c>
      <c r="I217" s="34" t="str">
        <f aca="false">IF(C217="","",2*C217+w_conv*$D$12/v_conv)</f>
        <v/>
      </c>
      <c r="J217" s="34" t="str">
        <f aca="false">IF(D217="","",2*D217+w_conv*$D$13/v_conv)</f>
        <v/>
      </c>
      <c r="K217" s="34" t="str">
        <f aca="false">IF(E217="","",2*E217+w_conv*$D$14/v_conv)</f>
        <v/>
      </c>
      <c r="L217" s="34" t="str">
        <f aca="false">IF(F217="","",2*F217+w_conv*$D$15/v_conv)</f>
        <v/>
      </c>
      <c r="M217" s="34" t="str">
        <f aca="false">IF(G217="","",2*G217+w_conv*$D$16/v_conv)</f>
        <v/>
      </c>
      <c r="N217" s="34" t="str">
        <f aca="false">IF(H217="","",2*H217+w_conv*$D$17/v_conv)</f>
        <v/>
      </c>
      <c r="O217" s="34" t="str">
        <f aca="false">IF(A217&gt;NL_b,"",MIN(I217:N217))</f>
        <v/>
      </c>
      <c r="P217" s="34" t="str">
        <f aca="false">IF(O217="","",INDEX(C217:H217,MATCH(O217,I217:N217,0)))</f>
        <v/>
      </c>
      <c r="Q217" s="34" t="str">
        <f aca="false">IF(O217="","",INDEX($D$12:$D$17,MATCH(O217,I217:N217,0)))</f>
        <v/>
      </c>
    </row>
    <row r="218" customFormat="false" ht="15" hidden="false" customHeight="true" outlineLevel="0" collapsed="false">
      <c r="A218" s="54" t="n">
        <v>198</v>
      </c>
      <c r="B218" s="34" t="n">
        <f aca="false">(A218-0.5)*u_w</f>
        <v>197.5</v>
      </c>
      <c r="C218" s="34" t="str">
        <f aca="false">IF(OR(A218&gt;NL_b,$B$12=""),"",IF((ABS(B218-$B$12)+lane_off)&lt;=0,0,IF((ABS(B218-$B$12)+lane_off)&gt;=v_sh^2/a_sh,(ABS(B218-$B$12)+lane_off)/v_sh+v_sh/a_sh,2*SQRT((ABS(B218-$B$12)+lane_off)/a_sh))))</f>
        <v/>
      </c>
      <c r="D218" s="34" t="str">
        <f aca="false">IF(OR(A218&gt;NL_b,$B$13=""),"",IF((ABS(B218-$B$13)+lane_off)&lt;=0,0,IF((ABS(B218-$B$13)+lane_off)&gt;=v_sh^2/a_sh,(ABS(B218-$B$13)+lane_off)/v_sh+v_sh/a_sh,2*SQRT((ABS(B218-$B$13)+lane_off)/a_sh))))</f>
        <v/>
      </c>
      <c r="E218" s="34" t="str">
        <f aca="false">IF(OR(A218&gt;NL_b,$B$14=""),"",IF((ABS(B218-$B$14)+lane_off)&lt;=0,0,IF((ABS(B218-$B$14)+lane_off)&gt;=v_sh^2/a_sh,(ABS(B218-$B$14)+lane_off)/v_sh+v_sh/a_sh,2*SQRT((ABS(B218-$B$14)+lane_off)/a_sh))))</f>
        <v/>
      </c>
      <c r="F218" s="34" t="str">
        <f aca="false">IF(OR(A218&gt;NL_b,$B$15=""),"",IF((ABS(B218-$B$15)+lane_off)&lt;=0,0,IF((ABS(B218-$B$15)+lane_off)&gt;=v_sh^2/a_sh,(ABS(B218-$B$15)+lane_off)/v_sh+v_sh/a_sh,2*SQRT((ABS(B218-$B$15)+lane_off)/a_sh))))</f>
        <v/>
      </c>
      <c r="G218" s="34" t="str">
        <f aca="false">IF(OR(A218&gt;NL_b,$B$16=""),"",IF((ABS(B218-$B$16)+lane_off)&lt;=0,0,IF((ABS(B218-$B$16)+lane_off)&gt;=v_sh^2/a_sh,(ABS(B218-$B$16)+lane_off)/v_sh+v_sh/a_sh,2*SQRT((ABS(B218-$B$16)+lane_off)/a_sh))))</f>
        <v/>
      </c>
      <c r="H218" s="34" t="str">
        <f aca="false">IF(OR(A218&gt;NL_b,$B$17=""),"",IF((ABS(B218-$B$17)+lane_off)&lt;=0,0,IF((ABS(B218-$B$17)+lane_off)&gt;=v_sh^2/a_sh,(ABS(B218-$B$17)+lane_off)/v_sh+v_sh/a_sh,2*SQRT((ABS(B218-$B$17)+lane_off)/a_sh))))</f>
        <v/>
      </c>
      <c r="I218" s="34" t="str">
        <f aca="false">IF(C218="","",2*C218+w_conv*$D$12/v_conv)</f>
        <v/>
      </c>
      <c r="J218" s="34" t="str">
        <f aca="false">IF(D218="","",2*D218+w_conv*$D$13/v_conv)</f>
        <v/>
      </c>
      <c r="K218" s="34" t="str">
        <f aca="false">IF(E218="","",2*E218+w_conv*$D$14/v_conv)</f>
        <v/>
      </c>
      <c r="L218" s="34" t="str">
        <f aca="false">IF(F218="","",2*F218+w_conv*$D$15/v_conv)</f>
        <v/>
      </c>
      <c r="M218" s="34" t="str">
        <f aca="false">IF(G218="","",2*G218+w_conv*$D$16/v_conv)</f>
        <v/>
      </c>
      <c r="N218" s="34" t="str">
        <f aca="false">IF(H218="","",2*H218+w_conv*$D$17/v_conv)</f>
        <v/>
      </c>
      <c r="O218" s="34" t="str">
        <f aca="false">IF(A218&gt;NL_b,"",MIN(I218:N218))</f>
        <v/>
      </c>
      <c r="P218" s="34" t="str">
        <f aca="false">IF(O218="","",INDEX(C218:H218,MATCH(O218,I218:N218,0)))</f>
        <v/>
      </c>
      <c r="Q218" s="34" t="str">
        <f aca="false">IF(O218="","",INDEX($D$12:$D$17,MATCH(O218,I218:N218,0)))</f>
        <v/>
      </c>
    </row>
    <row r="219" customFormat="false" ht="15" hidden="false" customHeight="true" outlineLevel="0" collapsed="false">
      <c r="A219" s="54" t="n">
        <v>199</v>
      </c>
      <c r="B219" s="34" t="n">
        <f aca="false">(A219-0.5)*u_w</f>
        <v>198.5</v>
      </c>
      <c r="C219" s="34" t="str">
        <f aca="false">IF(OR(A219&gt;NL_b,$B$12=""),"",IF((ABS(B219-$B$12)+lane_off)&lt;=0,0,IF((ABS(B219-$B$12)+lane_off)&gt;=v_sh^2/a_sh,(ABS(B219-$B$12)+lane_off)/v_sh+v_sh/a_sh,2*SQRT((ABS(B219-$B$12)+lane_off)/a_sh))))</f>
        <v/>
      </c>
      <c r="D219" s="34" t="str">
        <f aca="false">IF(OR(A219&gt;NL_b,$B$13=""),"",IF((ABS(B219-$B$13)+lane_off)&lt;=0,0,IF((ABS(B219-$B$13)+lane_off)&gt;=v_sh^2/a_sh,(ABS(B219-$B$13)+lane_off)/v_sh+v_sh/a_sh,2*SQRT((ABS(B219-$B$13)+lane_off)/a_sh))))</f>
        <v/>
      </c>
      <c r="E219" s="34" t="str">
        <f aca="false">IF(OR(A219&gt;NL_b,$B$14=""),"",IF((ABS(B219-$B$14)+lane_off)&lt;=0,0,IF((ABS(B219-$B$14)+lane_off)&gt;=v_sh^2/a_sh,(ABS(B219-$B$14)+lane_off)/v_sh+v_sh/a_sh,2*SQRT((ABS(B219-$B$14)+lane_off)/a_sh))))</f>
        <v/>
      </c>
      <c r="F219" s="34" t="str">
        <f aca="false">IF(OR(A219&gt;NL_b,$B$15=""),"",IF((ABS(B219-$B$15)+lane_off)&lt;=0,0,IF((ABS(B219-$B$15)+lane_off)&gt;=v_sh^2/a_sh,(ABS(B219-$B$15)+lane_off)/v_sh+v_sh/a_sh,2*SQRT((ABS(B219-$B$15)+lane_off)/a_sh))))</f>
        <v/>
      </c>
      <c r="G219" s="34" t="str">
        <f aca="false">IF(OR(A219&gt;NL_b,$B$16=""),"",IF((ABS(B219-$B$16)+lane_off)&lt;=0,0,IF((ABS(B219-$B$16)+lane_off)&gt;=v_sh^2/a_sh,(ABS(B219-$B$16)+lane_off)/v_sh+v_sh/a_sh,2*SQRT((ABS(B219-$B$16)+lane_off)/a_sh))))</f>
        <v/>
      </c>
      <c r="H219" s="34" t="str">
        <f aca="false">IF(OR(A219&gt;NL_b,$B$17=""),"",IF((ABS(B219-$B$17)+lane_off)&lt;=0,0,IF((ABS(B219-$B$17)+lane_off)&gt;=v_sh^2/a_sh,(ABS(B219-$B$17)+lane_off)/v_sh+v_sh/a_sh,2*SQRT((ABS(B219-$B$17)+lane_off)/a_sh))))</f>
        <v/>
      </c>
      <c r="I219" s="34" t="str">
        <f aca="false">IF(C219="","",2*C219+w_conv*$D$12/v_conv)</f>
        <v/>
      </c>
      <c r="J219" s="34" t="str">
        <f aca="false">IF(D219="","",2*D219+w_conv*$D$13/v_conv)</f>
        <v/>
      </c>
      <c r="K219" s="34" t="str">
        <f aca="false">IF(E219="","",2*E219+w_conv*$D$14/v_conv)</f>
        <v/>
      </c>
      <c r="L219" s="34" t="str">
        <f aca="false">IF(F219="","",2*F219+w_conv*$D$15/v_conv)</f>
        <v/>
      </c>
      <c r="M219" s="34" t="str">
        <f aca="false">IF(G219="","",2*G219+w_conv*$D$16/v_conv)</f>
        <v/>
      </c>
      <c r="N219" s="34" t="str">
        <f aca="false">IF(H219="","",2*H219+w_conv*$D$17/v_conv)</f>
        <v/>
      </c>
      <c r="O219" s="34" t="str">
        <f aca="false">IF(A219&gt;NL_b,"",MIN(I219:N219))</f>
        <v/>
      </c>
      <c r="P219" s="34" t="str">
        <f aca="false">IF(O219="","",INDEX(C219:H219,MATCH(O219,I219:N219,0)))</f>
        <v/>
      </c>
      <c r="Q219" s="34" t="str">
        <f aca="false">IF(O219="","",INDEX($D$12:$D$17,MATCH(O219,I219:N219,0)))</f>
        <v/>
      </c>
    </row>
    <row r="220" customFormat="false" ht="15" hidden="false" customHeight="true" outlineLevel="0" collapsed="false">
      <c r="A220" s="54" t="n">
        <v>200</v>
      </c>
      <c r="B220" s="34" t="n">
        <f aca="false">(A220-0.5)*u_w</f>
        <v>199.5</v>
      </c>
      <c r="C220" s="34" t="str">
        <f aca="false">IF(OR(A220&gt;NL_b,$B$12=""),"",IF((ABS(B220-$B$12)+lane_off)&lt;=0,0,IF((ABS(B220-$B$12)+lane_off)&gt;=v_sh^2/a_sh,(ABS(B220-$B$12)+lane_off)/v_sh+v_sh/a_sh,2*SQRT((ABS(B220-$B$12)+lane_off)/a_sh))))</f>
        <v/>
      </c>
      <c r="D220" s="34" t="str">
        <f aca="false">IF(OR(A220&gt;NL_b,$B$13=""),"",IF((ABS(B220-$B$13)+lane_off)&lt;=0,0,IF((ABS(B220-$B$13)+lane_off)&gt;=v_sh^2/a_sh,(ABS(B220-$B$13)+lane_off)/v_sh+v_sh/a_sh,2*SQRT((ABS(B220-$B$13)+lane_off)/a_sh))))</f>
        <v/>
      </c>
      <c r="E220" s="34" t="str">
        <f aca="false">IF(OR(A220&gt;NL_b,$B$14=""),"",IF((ABS(B220-$B$14)+lane_off)&lt;=0,0,IF((ABS(B220-$B$14)+lane_off)&gt;=v_sh^2/a_sh,(ABS(B220-$B$14)+lane_off)/v_sh+v_sh/a_sh,2*SQRT((ABS(B220-$B$14)+lane_off)/a_sh))))</f>
        <v/>
      </c>
      <c r="F220" s="34" t="str">
        <f aca="false">IF(OR(A220&gt;NL_b,$B$15=""),"",IF((ABS(B220-$B$15)+lane_off)&lt;=0,0,IF((ABS(B220-$B$15)+lane_off)&gt;=v_sh^2/a_sh,(ABS(B220-$B$15)+lane_off)/v_sh+v_sh/a_sh,2*SQRT((ABS(B220-$B$15)+lane_off)/a_sh))))</f>
        <v/>
      </c>
      <c r="G220" s="34" t="str">
        <f aca="false">IF(OR(A220&gt;NL_b,$B$16=""),"",IF((ABS(B220-$B$16)+lane_off)&lt;=0,0,IF((ABS(B220-$B$16)+lane_off)&gt;=v_sh^2/a_sh,(ABS(B220-$B$16)+lane_off)/v_sh+v_sh/a_sh,2*SQRT((ABS(B220-$B$16)+lane_off)/a_sh))))</f>
        <v/>
      </c>
      <c r="H220" s="34" t="str">
        <f aca="false">IF(OR(A220&gt;NL_b,$B$17=""),"",IF((ABS(B220-$B$17)+lane_off)&lt;=0,0,IF((ABS(B220-$B$17)+lane_off)&gt;=v_sh^2/a_sh,(ABS(B220-$B$17)+lane_off)/v_sh+v_sh/a_sh,2*SQRT((ABS(B220-$B$17)+lane_off)/a_sh))))</f>
        <v/>
      </c>
      <c r="I220" s="34" t="str">
        <f aca="false">IF(C220="","",2*C220+w_conv*$D$12/v_conv)</f>
        <v/>
      </c>
      <c r="J220" s="34" t="str">
        <f aca="false">IF(D220="","",2*D220+w_conv*$D$13/v_conv)</f>
        <v/>
      </c>
      <c r="K220" s="34" t="str">
        <f aca="false">IF(E220="","",2*E220+w_conv*$D$14/v_conv)</f>
        <v/>
      </c>
      <c r="L220" s="34" t="str">
        <f aca="false">IF(F220="","",2*F220+w_conv*$D$15/v_conv)</f>
        <v/>
      </c>
      <c r="M220" s="34" t="str">
        <f aca="false">IF(G220="","",2*G220+w_conv*$D$16/v_conv)</f>
        <v/>
      </c>
      <c r="N220" s="34" t="str">
        <f aca="false">IF(H220="","",2*H220+w_conv*$D$17/v_conv)</f>
        <v/>
      </c>
      <c r="O220" s="34" t="str">
        <f aca="false">IF(A220&gt;NL_b,"",MIN(I220:N220))</f>
        <v/>
      </c>
      <c r="P220" s="34" t="str">
        <f aca="false">IF(O220="","",INDEX(C220:H220,MATCH(O220,I220:N220,0)))</f>
        <v/>
      </c>
      <c r="Q220" s="34" t="str">
        <f aca="false">IF(O220="","",INDEX($D$12:$D$17,MATCH(O220,I220:N220,0)))</f>
        <v/>
      </c>
    </row>
    <row r="221" customFormat="false" ht="15" hidden="false" customHeight="true" outlineLevel="0" collapsed="false">
      <c r="A221" s="54" t="n">
        <v>201</v>
      </c>
      <c r="B221" s="34" t="n">
        <f aca="false">(A221-0.5)*u_w</f>
        <v>200.5</v>
      </c>
      <c r="C221" s="34" t="str">
        <f aca="false">IF(OR(A221&gt;NL_b,$B$12=""),"",IF((ABS(B221-$B$12)+lane_off)&lt;=0,0,IF((ABS(B221-$B$12)+lane_off)&gt;=v_sh^2/a_sh,(ABS(B221-$B$12)+lane_off)/v_sh+v_sh/a_sh,2*SQRT((ABS(B221-$B$12)+lane_off)/a_sh))))</f>
        <v/>
      </c>
      <c r="D221" s="34" t="str">
        <f aca="false">IF(OR(A221&gt;NL_b,$B$13=""),"",IF((ABS(B221-$B$13)+lane_off)&lt;=0,0,IF((ABS(B221-$B$13)+lane_off)&gt;=v_sh^2/a_sh,(ABS(B221-$B$13)+lane_off)/v_sh+v_sh/a_sh,2*SQRT((ABS(B221-$B$13)+lane_off)/a_sh))))</f>
        <v/>
      </c>
      <c r="E221" s="34" t="str">
        <f aca="false">IF(OR(A221&gt;NL_b,$B$14=""),"",IF((ABS(B221-$B$14)+lane_off)&lt;=0,0,IF((ABS(B221-$B$14)+lane_off)&gt;=v_sh^2/a_sh,(ABS(B221-$B$14)+lane_off)/v_sh+v_sh/a_sh,2*SQRT((ABS(B221-$B$14)+lane_off)/a_sh))))</f>
        <v/>
      </c>
      <c r="F221" s="34" t="str">
        <f aca="false">IF(OR(A221&gt;NL_b,$B$15=""),"",IF((ABS(B221-$B$15)+lane_off)&lt;=0,0,IF((ABS(B221-$B$15)+lane_off)&gt;=v_sh^2/a_sh,(ABS(B221-$B$15)+lane_off)/v_sh+v_sh/a_sh,2*SQRT((ABS(B221-$B$15)+lane_off)/a_sh))))</f>
        <v/>
      </c>
      <c r="G221" s="34" t="str">
        <f aca="false">IF(OR(A221&gt;NL_b,$B$16=""),"",IF((ABS(B221-$B$16)+lane_off)&lt;=0,0,IF((ABS(B221-$B$16)+lane_off)&gt;=v_sh^2/a_sh,(ABS(B221-$B$16)+lane_off)/v_sh+v_sh/a_sh,2*SQRT((ABS(B221-$B$16)+lane_off)/a_sh))))</f>
        <v/>
      </c>
      <c r="H221" s="34" t="str">
        <f aca="false">IF(OR(A221&gt;NL_b,$B$17=""),"",IF((ABS(B221-$B$17)+lane_off)&lt;=0,0,IF((ABS(B221-$B$17)+lane_off)&gt;=v_sh^2/a_sh,(ABS(B221-$B$17)+lane_off)/v_sh+v_sh/a_sh,2*SQRT((ABS(B221-$B$17)+lane_off)/a_sh))))</f>
        <v/>
      </c>
      <c r="I221" s="34" t="str">
        <f aca="false">IF(C221="","",2*C221+w_conv*$D$12/v_conv)</f>
        <v/>
      </c>
      <c r="J221" s="34" t="str">
        <f aca="false">IF(D221="","",2*D221+w_conv*$D$13/v_conv)</f>
        <v/>
      </c>
      <c r="K221" s="34" t="str">
        <f aca="false">IF(E221="","",2*E221+w_conv*$D$14/v_conv)</f>
        <v/>
      </c>
      <c r="L221" s="34" t="str">
        <f aca="false">IF(F221="","",2*F221+w_conv*$D$15/v_conv)</f>
        <v/>
      </c>
      <c r="M221" s="34" t="str">
        <f aca="false">IF(G221="","",2*G221+w_conv*$D$16/v_conv)</f>
        <v/>
      </c>
      <c r="N221" s="34" t="str">
        <f aca="false">IF(H221="","",2*H221+w_conv*$D$17/v_conv)</f>
        <v/>
      </c>
      <c r="O221" s="34" t="str">
        <f aca="false">IF(A221&gt;NL_b,"",MIN(I221:N221))</f>
        <v/>
      </c>
      <c r="P221" s="34" t="str">
        <f aca="false">IF(O221="","",INDEX(C221:H221,MATCH(O221,I221:N221,0)))</f>
        <v/>
      </c>
      <c r="Q221" s="34" t="str">
        <f aca="false">IF(O221="","",INDEX($D$12:$D$17,MATCH(O221,I221:N221,0)))</f>
        <v/>
      </c>
    </row>
    <row r="222" customFormat="false" ht="15" hidden="false" customHeight="true" outlineLevel="0" collapsed="false">
      <c r="A222" s="54" t="n">
        <v>202</v>
      </c>
      <c r="B222" s="34" t="n">
        <f aca="false">(A222-0.5)*u_w</f>
        <v>201.5</v>
      </c>
      <c r="C222" s="34" t="str">
        <f aca="false">IF(OR(A222&gt;NL_b,$B$12=""),"",IF((ABS(B222-$B$12)+lane_off)&lt;=0,0,IF((ABS(B222-$B$12)+lane_off)&gt;=v_sh^2/a_sh,(ABS(B222-$B$12)+lane_off)/v_sh+v_sh/a_sh,2*SQRT((ABS(B222-$B$12)+lane_off)/a_sh))))</f>
        <v/>
      </c>
      <c r="D222" s="34" t="str">
        <f aca="false">IF(OR(A222&gt;NL_b,$B$13=""),"",IF((ABS(B222-$B$13)+lane_off)&lt;=0,0,IF((ABS(B222-$B$13)+lane_off)&gt;=v_sh^2/a_sh,(ABS(B222-$B$13)+lane_off)/v_sh+v_sh/a_sh,2*SQRT((ABS(B222-$B$13)+lane_off)/a_sh))))</f>
        <v/>
      </c>
      <c r="E222" s="34" t="str">
        <f aca="false">IF(OR(A222&gt;NL_b,$B$14=""),"",IF((ABS(B222-$B$14)+lane_off)&lt;=0,0,IF((ABS(B222-$B$14)+lane_off)&gt;=v_sh^2/a_sh,(ABS(B222-$B$14)+lane_off)/v_sh+v_sh/a_sh,2*SQRT((ABS(B222-$B$14)+lane_off)/a_sh))))</f>
        <v/>
      </c>
      <c r="F222" s="34" t="str">
        <f aca="false">IF(OR(A222&gt;NL_b,$B$15=""),"",IF((ABS(B222-$B$15)+lane_off)&lt;=0,0,IF((ABS(B222-$B$15)+lane_off)&gt;=v_sh^2/a_sh,(ABS(B222-$B$15)+lane_off)/v_sh+v_sh/a_sh,2*SQRT((ABS(B222-$B$15)+lane_off)/a_sh))))</f>
        <v/>
      </c>
      <c r="G222" s="34" t="str">
        <f aca="false">IF(OR(A222&gt;NL_b,$B$16=""),"",IF((ABS(B222-$B$16)+lane_off)&lt;=0,0,IF((ABS(B222-$B$16)+lane_off)&gt;=v_sh^2/a_sh,(ABS(B222-$B$16)+lane_off)/v_sh+v_sh/a_sh,2*SQRT((ABS(B222-$B$16)+lane_off)/a_sh))))</f>
        <v/>
      </c>
      <c r="H222" s="34" t="str">
        <f aca="false">IF(OR(A222&gt;NL_b,$B$17=""),"",IF((ABS(B222-$B$17)+lane_off)&lt;=0,0,IF((ABS(B222-$B$17)+lane_off)&gt;=v_sh^2/a_sh,(ABS(B222-$B$17)+lane_off)/v_sh+v_sh/a_sh,2*SQRT((ABS(B222-$B$17)+lane_off)/a_sh))))</f>
        <v/>
      </c>
      <c r="I222" s="34" t="str">
        <f aca="false">IF(C222="","",2*C222+w_conv*$D$12/v_conv)</f>
        <v/>
      </c>
      <c r="J222" s="34" t="str">
        <f aca="false">IF(D222="","",2*D222+w_conv*$D$13/v_conv)</f>
        <v/>
      </c>
      <c r="K222" s="34" t="str">
        <f aca="false">IF(E222="","",2*E222+w_conv*$D$14/v_conv)</f>
        <v/>
      </c>
      <c r="L222" s="34" t="str">
        <f aca="false">IF(F222="","",2*F222+w_conv*$D$15/v_conv)</f>
        <v/>
      </c>
      <c r="M222" s="34" t="str">
        <f aca="false">IF(G222="","",2*G222+w_conv*$D$16/v_conv)</f>
        <v/>
      </c>
      <c r="N222" s="34" t="str">
        <f aca="false">IF(H222="","",2*H222+w_conv*$D$17/v_conv)</f>
        <v/>
      </c>
      <c r="O222" s="34" t="str">
        <f aca="false">IF(A222&gt;NL_b,"",MIN(I222:N222))</f>
        <v/>
      </c>
      <c r="P222" s="34" t="str">
        <f aca="false">IF(O222="","",INDEX(C222:H222,MATCH(O222,I222:N222,0)))</f>
        <v/>
      </c>
      <c r="Q222" s="34" t="str">
        <f aca="false">IF(O222="","",INDEX($D$12:$D$17,MATCH(O222,I222:N222,0)))</f>
        <v/>
      </c>
    </row>
    <row r="223" customFormat="false" ht="15" hidden="false" customHeight="true" outlineLevel="0" collapsed="false">
      <c r="A223" s="54" t="n">
        <v>203</v>
      </c>
      <c r="B223" s="34" t="n">
        <f aca="false">(A223-0.5)*u_w</f>
        <v>202.5</v>
      </c>
      <c r="C223" s="34" t="str">
        <f aca="false">IF(OR(A223&gt;NL_b,$B$12=""),"",IF((ABS(B223-$B$12)+lane_off)&lt;=0,0,IF((ABS(B223-$B$12)+lane_off)&gt;=v_sh^2/a_sh,(ABS(B223-$B$12)+lane_off)/v_sh+v_sh/a_sh,2*SQRT((ABS(B223-$B$12)+lane_off)/a_sh))))</f>
        <v/>
      </c>
      <c r="D223" s="34" t="str">
        <f aca="false">IF(OR(A223&gt;NL_b,$B$13=""),"",IF((ABS(B223-$B$13)+lane_off)&lt;=0,0,IF((ABS(B223-$B$13)+lane_off)&gt;=v_sh^2/a_sh,(ABS(B223-$B$13)+lane_off)/v_sh+v_sh/a_sh,2*SQRT((ABS(B223-$B$13)+lane_off)/a_sh))))</f>
        <v/>
      </c>
      <c r="E223" s="34" t="str">
        <f aca="false">IF(OR(A223&gt;NL_b,$B$14=""),"",IF((ABS(B223-$B$14)+lane_off)&lt;=0,0,IF((ABS(B223-$B$14)+lane_off)&gt;=v_sh^2/a_sh,(ABS(B223-$B$14)+lane_off)/v_sh+v_sh/a_sh,2*SQRT((ABS(B223-$B$14)+lane_off)/a_sh))))</f>
        <v/>
      </c>
      <c r="F223" s="34" t="str">
        <f aca="false">IF(OR(A223&gt;NL_b,$B$15=""),"",IF((ABS(B223-$B$15)+lane_off)&lt;=0,0,IF((ABS(B223-$B$15)+lane_off)&gt;=v_sh^2/a_sh,(ABS(B223-$B$15)+lane_off)/v_sh+v_sh/a_sh,2*SQRT((ABS(B223-$B$15)+lane_off)/a_sh))))</f>
        <v/>
      </c>
      <c r="G223" s="34" t="str">
        <f aca="false">IF(OR(A223&gt;NL_b,$B$16=""),"",IF((ABS(B223-$B$16)+lane_off)&lt;=0,0,IF((ABS(B223-$B$16)+lane_off)&gt;=v_sh^2/a_sh,(ABS(B223-$B$16)+lane_off)/v_sh+v_sh/a_sh,2*SQRT((ABS(B223-$B$16)+lane_off)/a_sh))))</f>
        <v/>
      </c>
      <c r="H223" s="34" t="str">
        <f aca="false">IF(OR(A223&gt;NL_b,$B$17=""),"",IF((ABS(B223-$B$17)+lane_off)&lt;=0,0,IF((ABS(B223-$B$17)+lane_off)&gt;=v_sh^2/a_sh,(ABS(B223-$B$17)+lane_off)/v_sh+v_sh/a_sh,2*SQRT((ABS(B223-$B$17)+lane_off)/a_sh))))</f>
        <v/>
      </c>
      <c r="I223" s="34" t="str">
        <f aca="false">IF(C223="","",2*C223+w_conv*$D$12/v_conv)</f>
        <v/>
      </c>
      <c r="J223" s="34" t="str">
        <f aca="false">IF(D223="","",2*D223+w_conv*$D$13/v_conv)</f>
        <v/>
      </c>
      <c r="K223" s="34" t="str">
        <f aca="false">IF(E223="","",2*E223+w_conv*$D$14/v_conv)</f>
        <v/>
      </c>
      <c r="L223" s="34" t="str">
        <f aca="false">IF(F223="","",2*F223+w_conv*$D$15/v_conv)</f>
        <v/>
      </c>
      <c r="M223" s="34" t="str">
        <f aca="false">IF(G223="","",2*G223+w_conv*$D$16/v_conv)</f>
        <v/>
      </c>
      <c r="N223" s="34" t="str">
        <f aca="false">IF(H223="","",2*H223+w_conv*$D$17/v_conv)</f>
        <v/>
      </c>
      <c r="O223" s="34" t="str">
        <f aca="false">IF(A223&gt;NL_b,"",MIN(I223:N223))</f>
        <v/>
      </c>
      <c r="P223" s="34" t="str">
        <f aca="false">IF(O223="","",INDEX(C223:H223,MATCH(O223,I223:N223,0)))</f>
        <v/>
      </c>
      <c r="Q223" s="34" t="str">
        <f aca="false">IF(O223="","",INDEX($D$12:$D$17,MATCH(O223,I223:N223,0)))</f>
        <v/>
      </c>
    </row>
    <row r="224" customFormat="false" ht="15" hidden="false" customHeight="true" outlineLevel="0" collapsed="false">
      <c r="A224" s="54" t="n">
        <v>204</v>
      </c>
      <c r="B224" s="34" t="n">
        <f aca="false">(A224-0.5)*u_w</f>
        <v>203.5</v>
      </c>
      <c r="C224" s="34" t="str">
        <f aca="false">IF(OR(A224&gt;NL_b,$B$12=""),"",IF((ABS(B224-$B$12)+lane_off)&lt;=0,0,IF((ABS(B224-$B$12)+lane_off)&gt;=v_sh^2/a_sh,(ABS(B224-$B$12)+lane_off)/v_sh+v_sh/a_sh,2*SQRT((ABS(B224-$B$12)+lane_off)/a_sh))))</f>
        <v/>
      </c>
      <c r="D224" s="34" t="str">
        <f aca="false">IF(OR(A224&gt;NL_b,$B$13=""),"",IF((ABS(B224-$B$13)+lane_off)&lt;=0,0,IF((ABS(B224-$B$13)+lane_off)&gt;=v_sh^2/a_sh,(ABS(B224-$B$13)+lane_off)/v_sh+v_sh/a_sh,2*SQRT((ABS(B224-$B$13)+lane_off)/a_sh))))</f>
        <v/>
      </c>
      <c r="E224" s="34" t="str">
        <f aca="false">IF(OR(A224&gt;NL_b,$B$14=""),"",IF((ABS(B224-$B$14)+lane_off)&lt;=0,0,IF((ABS(B224-$B$14)+lane_off)&gt;=v_sh^2/a_sh,(ABS(B224-$B$14)+lane_off)/v_sh+v_sh/a_sh,2*SQRT((ABS(B224-$B$14)+lane_off)/a_sh))))</f>
        <v/>
      </c>
      <c r="F224" s="34" t="str">
        <f aca="false">IF(OR(A224&gt;NL_b,$B$15=""),"",IF((ABS(B224-$B$15)+lane_off)&lt;=0,0,IF((ABS(B224-$B$15)+lane_off)&gt;=v_sh^2/a_sh,(ABS(B224-$B$15)+lane_off)/v_sh+v_sh/a_sh,2*SQRT((ABS(B224-$B$15)+lane_off)/a_sh))))</f>
        <v/>
      </c>
      <c r="G224" s="34" t="str">
        <f aca="false">IF(OR(A224&gt;NL_b,$B$16=""),"",IF((ABS(B224-$B$16)+lane_off)&lt;=0,0,IF((ABS(B224-$B$16)+lane_off)&gt;=v_sh^2/a_sh,(ABS(B224-$B$16)+lane_off)/v_sh+v_sh/a_sh,2*SQRT((ABS(B224-$B$16)+lane_off)/a_sh))))</f>
        <v/>
      </c>
      <c r="H224" s="34" t="str">
        <f aca="false">IF(OR(A224&gt;NL_b,$B$17=""),"",IF((ABS(B224-$B$17)+lane_off)&lt;=0,0,IF((ABS(B224-$B$17)+lane_off)&gt;=v_sh^2/a_sh,(ABS(B224-$B$17)+lane_off)/v_sh+v_sh/a_sh,2*SQRT((ABS(B224-$B$17)+lane_off)/a_sh))))</f>
        <v/>
      </c>
      <c r="I224" s="34" t="str">
        <f aca="false">IF(C224="","",2*C224+w_conv*$D$12/v_conv)</f>
        <v/>
      </c>
      <c r="J224" s="34" t="str">
        <f aca="false">IF(D224="","",2*D224+w_conv*$D$13/v_conv)</f>
        <v/>
      </c>
      <c r="K224" s="34" t="str">
        <f aca="false">IF(E224="","",2*E224+w_conv*$D$14/v_conv)</f>
        <v/>
      </c>
      <c r="L224" s="34" t="str">
        <f aca="false">IF(F224="","",2*F224+w_conv*$D$15/v_conv)</f>
        <v/>
      </c>
      <c r="M224" s="34" t="str">
        <f aca="false">IF(G224="","",2*G224+w_conv*$D$16/v_conv)</f>
        <v/>
      </c>
      <c r="N224" s="34" t="str">
        <f aca="false">IF(H224="","",2*H224+w_conv*$D$17/v_conv)</f>
        <v/>
      </c>
      <c r="O224" s="34" t="str">
        <f aca="false">IF(A224&gt;NL_b,"",MIN(I224:N224))</f>
        <v/>
      </c>
      <c r="P224" s="34" t="str">
        <f aca="false">IF(O224="","",INDEX(C224:H224,MATCH(O224,I224:N224,0)))</f>
        <v/>
      </c>
      <c r="Q224" s="34" t="str">
        <f aca="false">IF(O224="","",INDEX($D$12:$D$17,MATCH(O224,I224:N224,0)))</f>
        <v/>
      </c>
    </row>
    <row r="225" customFormat="false" ht="15" hidden="false" customHeight="true" outlineLevel="0" collapsed="false">
      <c r="A225" s="54" t="n">
        <v>205</v>
      </c>
      <c r="B225" s="34" t="n">
        <f aca="false">(A225-0.5)*u_w</f>
        <v>204.5</v>
      </c>
      <c r="C225" s="34" t="str">
        <f aca="false">IF(OR(A225&gt;NL_b,$B$12=""),"",IF((ABS(B225-$B$12)+lane_off)&lt;=0,0,IF((ABS(B225-$B$12)+lane_off)&gt;=v_sh^2/a_sh,(ABS(B225-$B$12)+lane_off)/v_sh+v_sh/a_sh,2*SQRT((ABS(B225-$B$12)+lane_off)/a_sh))))</f>
        <v/>
      </c>
      <c r="D225" s="34" t="str">
        <f aca="false">IF(OR(A225&gt;NL_b,$B$13=""),"",IF((ABS(B225-$B$13)+lane_off)&lt;=0,0,IF((ABS(B225-$B$13)+lane_off)&gt;=v_sh^2/a_sh,(ABS(B225-$B$13)+lane_off)/v_sh+v_sh/a_sh,2*SQRT((ABS(B225-$B$13)+lane_off)/a_sh))))</f>
        <v/>
      </c>
      <c r="E225" s="34" t="str">
        <f aca="false">IF(OR(A225&gt;NL_b,$B$14=""),"",IF((ABS(B225-$B$14)+lane_off)&lt;=0,0,IF((ABS(B225-$B$14)+lane_off)&gt;=v_sh^2/a_sh,(ABS(B225-$B$14)+lane_off)/v_sh+v_sh/a_sh,2*SQRT((ABS(B225-$B$14)+lane_off)/a_sh))))</f>
        <v/>
      </c>
      <c r="F225" s="34" t="str">
        <f aca="false">IF(OR(A225&gt;NL_b,$B$15=""),"",IF((ABS(B225-$B$15)+lane_off)&lt;=0,0,IF((ABS(B225-$B$15)+lane_off)&gt;=v_sh^2/a_sh,(ABS(B225-$B$15)+lane_off)/v_sh+v_sh/a_sh,2*SQRT((ABS(B225-$B$15)+lane_off)/a_sh))))</f>
        <v/>
      </c>
      <c r="G225" s="34" t="str">
        <f aca="false">IF(OR(A225&gt;NL_b,$B$16=""),"",IF((ABS(B225-$B$16)+lane_off)&lt;=0,0,IF((ABS(B225-$B$16)+lane_off)&gt;=v_sh^2/a_sh,(ABS(B225-$B$16)+lane_off)/v_sh+v_sh/a_sh,2*SQRT((ABS(B225-$B$16)+lane_off)/a_sh))))</f>
        <v/>
      </c>
      <c r="H225" s="34" t="str">
        <f aca="false">IF(OR(A225&gt;NL_b,$B$17=""),"",IF((ABS(B225-$B$17)+lane_off)&lt;=0,0,IF((ABS(B225-$B$17)+lane_off)&gt;=v_sh^2/a_sh,(ABS(B225-$B$17)+lane_off)/v_sh+v_sh/a_sh,2*SQRT((ABS(B225-$B$17)+lane_off)/a_sh))))</f>
        <v/>
      </c>
      <c r="I225" s="34" t="str">
        <f aca="false">IF(C225="","",2*C225+w_conv*$D$12/v_conv)</f>
        <v/>
      </c>
      <c r="J225" s="34" t="str">
        <f aca="false">IF(D225="","",2*D225+w_conv*$D$13/v_conv)</f>
        <v/>
      </c>
      <c r="K225" s="34" t="str">
        <f aca="false">IF(E225="","",2*E225+w_conv*$D$14/v_conv)</f>
        <v/>
      </c>
      <c r="L225" s="34" t="str">
        <f aca="false">IF(F225="","",2*F225+w_conv*$D$15/v_conv)</f>
        <v/>
      </c>
      <c r="M225" s="34" t="str">
        <f aca="false">IF(G225="","",2*G225+w_conv*$D$16/v_conv)</f>
        <v/>
      </c>
      <c r="N225" s="34" t="str">
        <f aca="false">IF(H225="","",2*H225+w_conv*$D$17/v_conv)</f>
        <v/>
      </c>
      <c r="O225" s="34" t="str">
        <f aca="false">IF(A225&gt;NL_b,"",MIN(I225:N225))</f>
        <v/>
      </c>
      <c r="P225" s="34" t="str">
        <f aca="false">IF(O225="","",INDEX(C225:H225,MATCH(O225,I225:N225,0)))</f>
        <v/>
      </c>
      <c r="Q225" s="34" t="str">
        <f aca="false">IF(O225="","",INDEX($D$12:$D$17,MATCH(O225,I225:N225,0)))</f>
        <v/>
      </c>
    </row>
    <row r="226" customFormat="false" ht="15" hidden="false" customHeight="true" outlineLevel="0" collapsed="false">
      <c r="A226" s="54" t="n">
        <v>206</v>
      </c>
      <c r="B226" s="34" t="n">
        <f aca="false">(A226-0.5)*u_w</f>
        <v>205.5</v>
      </c>
      <c r="C226" s="34" t="str">
        <f aca="false">IF(OR(A226&gt;NL_b,$B$12=""),"",IF((ABS(B226-$B$12)+lane_off)&lt;=0,0,IF((ABS(B226-$B$12)+lane_off)&gt;=v_sh^2/a_sh,(ABS(B226-$B$12)+lane_off)/v_sh+v_sh/a_sh,2*SQRT((ABS(B226-$B$12)+lane_off)/a_sh))))</f>
        <v/>
      </c>
      <c r="D226" s="34" t="str">
        <f aca="false">IF(OR(A226&gt;NL_b,$B$13=""),"",IF((ABS(B226-$B$13)+lane_off)&lt;=0,0,IF((ABS(B226-$B$13)+lane_off)&gt;=v_sh^2/a_sh,(ABS(B226-$B$13)+lane_off)/v_sh+v_sh/a_sh,2*SQRT((ABS(B226-$B$13)+lane_off)/a_sh))))</f>
        <v/>
      </c>
      <c r="E226" s="34" t="str">
        <f aca="false">IF(OR(A226&gt;NL_b,$B$14=""),"",IF((ABS(B226-$B$14)+lane_off)&lt;=0,0,IF((ABS(B226-$B$14)+lane_off)&gt;=v_sh^2/a_sh,(ABS(B226-$B$14)+lane_off)/v_sh+v_sh/a_sh,2*SQRT((ABS(B226-$B$14)+lane_off)/a_sh))))</f>
        <v/>
      </c>
      <c r="F226" s="34" t="str">
        <f aca="false">IF(OR(A226&gt;NL_b,$B$15=""),"",IF((ABS(B226-$B$15)+lane_off)&lt;=0,0,IF((ABS(B226-$B$15)+lane_off)&gt;=v_sh^2/a_sh,(ABS(B226-$B$15)+lane_off)/v_sh+v_sh/a_sh,2*SQRT((ABS(B226-$B$15)+lane_off)/a_sh))))</f>
        <v/>
      </c>
      <c r="G226" s="34" t="str">
        <f aca="false">IF(OR(A226&gt;NL_b,$B$16=""),"",IF((ABS(B226-$B$16)+lane_off)&lt;=0,0,IF((ABS(B226-$B$16)+lane_off)&gt;=v_sh^2/a_sh,(ABS(B226-$B$16)+lane_off)/v_sh+v_sh/a_sh,2*SQRT((ABS(B226-$B$16)+lane_off)/a_sh))))</f>
        <v/>
      </c>
      <c r="H226" s="34" t="str">
        <f aca="false">IF(OR(A226&gt;NL_b,$B$17=""),"",IF((ABS(B226-$B$17)+lane_off)&lt;=0,0,IF((ABS(B226-$B$17)+lane_off)&gt;=v_sh^2/a_sh,(ABS(B226-$B$17)+lane_off)/v_sh+v_sh/a_sh,2*SQRT((ABS(B226-$B$17)+lane_off)/a_sh))))</f>
        <v/>
      </c>
      <c r="I226" s="34" t="str">
        <f aca="false">IF(C226="","",2*C226+w_conv*$D$12/v_conv)</f>
        <v/>
      </c>
      <c r="J226" s="34" t="str">
        <f aca="false">IF(D226="","",2*D226+w_conv*$D$13/v_conv)</f>
        <v/>
      </c>
      <c r="K226" s="34" t="str">
        <f aca="false">IF(E226="","",2*E226+w_conv*$D$14/v_conv)</f>
        <v/>
      </c>
      <c r="L226" s="34" t="str">
        <f aca="false">IF(F226="","",2*F226+w_conv*$D$15/v_conv)</f>
        <v/>
      </c>
      <c r="M226" s="34" t="str">
        <f aca="false">IF(G226="","",2*G226+w_conv*$D$16/v_conv)</f>
        <v/>
      </c>
      <c r="N226" s="34" t="str">
        <f aca="false">IF(H226="","",2*H226+w_conv*$D$17/v_conv)</f>
        <v/>
      </c>
      <c r="O226" s="34" t="str">
        <f aca="false">IF(A226&gt;NL_b,"",MIN(I226:N226))</f>
        <v/>
      </c>
      <c r="P226" s="34" t="str">
        <f aca="false">IF(O226="","",INDEX(C226:H226,MATCH(O226,I226:N226,0)))</f>
        <v/>
      </c>
      <c r="Q226" s="34" t="str">
        <f aca="false">IF(O226="","",INDEX($D$12:$D$17,MATCH(O226,I226:N226,0)))</f>
        <v/>
      </c>
    </row>
    <row r="227" customFormat="false" ht="15" hidden="false" customHeight="true" outlineLevel="0" collapsed="false">
      <c r="A227" s="54" t="n">
        <v>207</v>
      </c>
      <c r="B227" s="34" t="n">
        <f aca="false">(A227-0.5)*u_w</f>
        <v>206.5</v>
      </c>
      <c r="C227" s="34" t="str">
        <f aca="false">IF(OR(A227&gt;NL_b,$B$12=""),"",IF((ABS(B227-$B$12)+lane_off)&lt;=0,0,IF((ABS(B227-$B$12)+lane_off)&gt;=v_sh^2/a_sh,(ABS(B227-$B$12)+lane_off)/v_sh+v_sh/a_sh,2*SQRT((ABS(B227-$B$12)+lane_off)/a_sh))))</f>
        <v/>
      </c>
      <c r="D227" s="34" t="str">
        <f aca="false">IF(OR(A227&gt;NL_b,$B$13=""),"",IF((ABS(B227-$B$13)+lane_off)&lt;=0,0,IF((ABS(B227-$B$13)+lane_off)&gt;=v_sh^2/a_sh,(ABS(B227-$B$13)+lane_off)/v_sh+v_sh/a_sh,2*SQRT((ABS(B227-$B$13)+lane_off)/a_sh))))</f>
        <v/>
      </c>
      <c r="E227" s="34" t="str">
        <f aca="false">IF(OR(A227&gt;NL_b,$B$14=""),"",IF((ABS(B227-$B$14)+lane_off)&lt;=0,0,IF((ABS(B227-$B$14)+lane_off)&gt;=v_sh^2/a_sh,(ABS(B227-$B$14)+lane_off)/v_sh+v_sh/a_sh,2*SQRT((ABS(B227-$B$14)+lane_off)/a_sh))))</f>
        <v/>
      </c>
      <c r="F227" s="34" t="str">
        <f aca="false">IF(OR(A227&gt;NL_b,$B$15=""),"",IF((ABS(B227-$B$15)+lane_off)&lt;=0,0,IF((ABS(B227-$B$15)+lane_off)&gt;=v_sh^2/a_sh,(ABS(B227-$B$15)+lane_off)/v_sh+v_sh/a_sh,2*SQRT((ABS(B227-$B$15)+lane_off)/a_sh))))</f>
        <v/>
      </c>
      <c r="G227" s="34" t="str">
        <f aca="false">IF(OR(A227&gt;NL_b,$B$16=""),"",IF((ABS(B227-$B$16)+lane_off)&lt;=0,0,IF((ABS(B227-$B$16)+lane_off)&gt;=v_sh^2/a_sh,(ABS(B227-$B$16)+lane_off)/v_sh+v_sh/a_sh,2*SQRT((ABS(B227-$B$16)+lane_off)/a_sh))))</f>
        <v/>
      </c>
      <c r="H227" s="34" t="str">
        <f aca="false">IF(OR(A227&gt;NL_b,$B$17=""),"",IF((ABS(B227-$B$17)+lane_off)&lt;=0,0,IF((ABS(B227-$B$17)+lane_off)&gt;=v_sh^2/a_sh,(ABS(B227-$B$17)+lane_off)/v_sh+v_sh/a_sh,2*SQRT((ABS(B227-$B$17)+lane_off)/a_sh))))</f>
        <v/>
      </c>
      <c r="I227" s="34" t="str">
        <f aca="false">IF(C227="","",2*C227+w_conv*$D$12/v_conv)</f>
        <v/>
      </c>
      <c r="J227" s="34" t="str">
        <f aca="false">IF(D227="","",2*D227+w_conv*$D$13/v_conv)</f>
        <v/>
      </c>
      <c r="K227" s="34" t="str">
        <f aca="false">IF(E227="","",2*E227+w_conv*$D$14/v_conv)</f>
        <v/>
      </c>
      <c r="L227" s="34" t="str">
        <f aca="false">IF(F227="","",2*F227+w_conv*$D$15/v_conv)</f>
        <v/>
      </c>
      <c r="M227" s="34" t="str">
        <f aca="false">IF(G227="","",2*G227+w_conv*$D$16/v_conv)</f>
        <v/>
      </c>
      <c r="N227" s="34" t="str">
        <f aca="false">IF(H227="","",2*H227+w_conv*$D$17/v_conv)</f>
        <v/>
      </c>
      <c r="O227" s="34" t="str">
        <f aca="false">IF(A227&gt;NL_b,"",MIN(I227:N227))</f>
        <v/>
      </c>
      <c r="P227" s="34" t="str">
        <f aca="false">IF(O227="","",INDEX(C227:H227,MATCH(O227,I227:N227,0)))</f>
        <v/>
      </c>
      <c r="Q227" s="34" t="str">
        <f aca="false">IF(O227="","",INDEX($D$12:$D$17,MATCH(O227,I227:N227,0)))</f>
        <v/>
      </c>
    </row>
    <row r="228" customFormat="false" ht="15" hidden="false" customHeight="true" outlineLevel="0" collapsed="false">
      <c r="A228" s="54" t="n">
        <v>208</v>
      </c>
      <c r="B228" s="34" t="n">
        <f aca="false">(A228-0.5)*u_w</f>
        <v>207.5</v>
      </c>
      <c r="C228" s="34" t="str">
        <f aca="false">IF(OR(A228&gt;NL_b,$B$12=""),"",IF((ABS(B228-$B$12)+lane_off)&lt;=0,0,IF((ABS(B228-$B$12)+lane_off)&gt;=v_sh^2/a_sh,(ABS(B228-$B$12)+lane_off)/v_sh+v_sh/a_sh,2*SQRT((ABS(B228-$B$12)+lane_off)/a_sh))))</f>
        <v/>
      </c>
      <c r="D228" s="34" t="str">
        <f aca="false">IF(OR(A228&gt;NL_b,$B$13=""),"",IF((ABS(B228-$B$13)+lane_off)&lt;=0,0,IF((ABS(B228-$B$13)+lane_off)&gt;=v_sh^2/a_sh,(ABS(B228-$B$13)+lane_off)/v_sh+v_sh/a_sh,2*SQRT((ABS(B228-$B$13)+lane_off)/a_sh))))</f>
        <v/>
      </c>
      <c r="E228" s="34" t="str">
        <f aca="false">IF(OR(A228&gt;NL_b,$B$14=""),"",IF((ABS(B228-$B$14)+lane_off)&lt;=0,0,IF((ABS(B228-$B$14)+lane_off)&gt;=v_sh^2/a_sh,(ABS(B228-$B$14)+lane_off)/v_sh+v_sh/a_sh,2*SQRT((ABS(B228-$B$14)+lane_off)/a_sh))))</f>
        <v/>
      </c>
      <c r="F228" s="34" t="str">
        <f aca="false">IF(OR(A228&gt;NL_b,$B$15=""),"",IF((ABS(B228-$B$15)+lane_off)&lt;=0,0,IF((ABS(B228-$B$15)+lane_off)&gt;=v_sh^2/a_sh,(ABS(B228-$B$15)+lane_off)/v_sh+v_sh/a_sh,2*SQRT((ABS(B228-$B$15)+lane_off)/a_sh))))</f>
        <v/>
      </c>
      <c r="G228" s="34" t="str">
        <f aca="false">IF(OR(A228&gt;NL_b,$B$16=""),"",IF((ABS(B228-$B$16)+lane_off)&lt;=0,0,IF((ABS(B228-$B$16)+lane_off)&gt;=v_sh^2/a_sh,(ABS(B228-$B$16)+lane_off)/v_sh+v_sh/a_sh,2*SQRT((ABS(B228-$B$16)+lane_off)/a_sh))))</f>
        <v/>
      </c>
      <c r="H228" s="34" t="str">
        <f aca="false">IF(OR(A228&gt;NL_b,$B$17=""),"",IF((ABS(B228-$B$17)+lane_off)&lt;=0,0,IF((ABS(B228-$B$17)+lane_off)&gt;=v_sh^2/a_sh,(ABS(B228-$B$17)+lane_off)/v_sh+v_sh/a_sh,2*SQRT((ABS(B228-$B$17)+lane_off)/a_sh))))</f>
        <v/>
      </c>
      <c r="I228" s="34" t="str">
        <f aca="false">IF(C228="","",2*C228+w_conv*$D$12/v_conv)</f>
        <v/>
      </c>
      <c r="J228" s="34" t="str">
        <f aca="false">IF(D228="","",2*D228+w_conv*$D$13/v_conv)</f>
        <v/>
      </c>
      <c r="K228" s="34" t="str">
        <f aca="false">IF(E228="","",2*E228+w_conv*$D$14/v_conv)</f>
        <v/>
      </c>
      <c r="L228" s="34" t="str">
        <f aca="false">IF(F228="","",2*F228+w_conv*$D$15/v_conv)</f>
        <v/>
      </c>
      <c r="M228" s="34" t="str">
        <f aca="false">IF(G228="","",2*G228+w_conv*$D$16/v_conv)</f>
        <v/>
      </c>
      <c r="N228" s="34" t="str">
        <f aca="false">IF(H228="","",2*H228+w_conv*$D$17/v_conv)</f>
        <v/>
      </c>
      <c r="O228" s="34" t="str">
        <f aca="false">IF(A228&gt;NL_b,"",MIN(I228:N228))</f>
        <v/>
      </c>
      <c r="P228" s="34" t="str">
        <f aca="false">IF(O228="","",INDEX(C228:H228,MATCH(O228,I228:N228,0)))</f>
        <v/>
      </c>
      <c r="Q228" s="34" t="str">
        <f aca="false">IF(O228="","",INDEX($D$12:$D$17,MATCH(O228,I228:N228,0)))</f>
        <v/>
      </c>
    </row>
    <row r="229" customFormat="false" ht="15" hidden="false" customHeight="true" outlineLevel="0" collapsed="false">
      <c r="A229" s="54" t="n">
        <v>209</v>
      </c>
      <c r="B229" s="34" t="n">
        <f aca="false">(A229-0.5)*u_w</f>
        <v>208.5</v>
      </c>
      <c r="C229" s="34" t="str">
        <f aca="false">IF(OR(A229&gt;NL_b,$B$12=""),"",IF((ABS(B229-$B$12)+lane_off)&lt;=0,0,IF((ABS(B229-$B$12)+lane_off)&gt;=v_sh^2/a_sh,(ABS(B229-$B$12)+lane_off)/v_sh+v_sh/a_sh,2*SQRT((ABS(B229-$B$12)+lane_off)/a_sh))))</f>
        <v/>
      </c>
      <c r="D229" s="34" t="str">
        <f aca="false">IF(OR(A229&gt;NL_b,$B$13=""),"",IF((ABS(B229-$B$13)+lane_off)&lt;=0,0,IF((ABS(B229-$B$13)+lane_off)&gt;=v_sh^2/a_sh,(ABS(B229-$B$13)+lane_off)/v_sh+v_sh/a_sh,2*SQRT((ABS(B229-$B$13)+lane_off)/a_sh))))</f>
        <v/>
      </c>
      <c r="E229" s="34" t="str">
        <f aca="false">IF(OR(A229&gt;NL_b,$B$14=""),"",IF((ABS(B229-$B$14)+lane_off)&lt;=0,0,IF((ABS(B229-$B$14)+lane_off)&gt;=v_sh^2/a_sh,(ABS(B229-$B$14)+lane_off)/v_sh+v_sh/a_sh,2*SQRT((ABS(B229-$B$14)+lane_off)/a_sh))))</f>
        <v/>
      </c>
      <c r="F229" s="34" t="str">
        <f aca="false">IF(OR(A229&gt;NL_b,$B$15=""),"",IF((ABS(B229-$B$15)+lane_off)&lt;=0,0,IF((ABS(B229-$B$15)+lane_off)&gt;=v_sh^2/a_sh,(ABS(B229-$B$15)+lane_off)/v_sh+v_sh/a_sh,2*SQRT((ABS(B229-$B$15)+lane_off)/a_sh))))</f>
        <v/>
      </c>
      <c r="G229" s="34" t="str">
        <f aca="false">IF(OR(A229&gt;NL_b,$B$16=""),"",IF((ABS(B229-$B$16)+lane_off)&lt;=0,0,IF((ABS(B229-$B$16)+lane_off)&gt;=v_sh^2/a_sh,(ABS(B229-$B$16)+lane_off)/v_sh+v_sh/a_sh,2*SQRT((ABS(B229-$B$16)+lane_off)/a_sh))))</f>
        <v/>
      </c>
      <c r="H229" s="34" t="str">
        <f aca="false">IF(OR(A229&gt;NL_b,$B$17=""),"",IF((ABS(B229-$B$17)+lane_off)&lt;=0,0,IF((ABS(B229-$B$17)+lane_off)&gt;=v_sh^2/a_sh,(ABS(B229-$B$17)+lane_off)/v_sh+v_sh/a_sh,2*SQRT((ABS(B229-$B$17)+lane_off)/a_sh))))</f>
        <v/>
      </c>
      <c r="I229" s="34" t="str">
        <f aca="false">IF(C229="","",2*C229+w_conv*$D$12/v_conv)</f>
        <v/>
      </c>
      <c r="J229" s="34" t="str">
        <f aca="false">IF(D229="","",2*D229+w_conv*$D$13/v_conv)</f>
        <v/>
      </c>
      <c r="K229" s="34" t="str">
        <f aca="false">IF(E229="","",2*E229+w_conv*$D$14/v_conv)</f>
        <v/>
      </c>
      <c r="L229" s="34" t="str">
        <f aca="false">IF(F229="","",2*F229+w_conv*$D$15/v_conv)</f>
        <v/>
      </c>
      <c r="M229" s="34" t="str">
        <f aca="false">IF(G229="","",2*G229+w_conv*$D$16/v_conv)</f>
        <v/>
      </c>
      <c r="N229" s="34" t="str">
        <f aca="false">IF(H229="","",2*H229+w_conv*$D$17/v_conv)</f>
        <v/>
      </c>
      <c r="O229" s="34" t="str">
        <f aca="false">IF(A229&gt;NL_b,"",MIN(I229:N229))</f>
        <v/>
      </c>
      <c r="P229" s="34" t="str">
        <f aca="false">IF(O229="","",INDEX(C229:H229,MATCH(O229,I229:N229,0)))</f>
        <v/>
      </c>
      <c r="Q229" s="34" t="str">
        <f aca="false">IF(O229="","",INDEX($D$12:$D$17,MATCH(O229,I229:N229,0)))</f>
        <v/>
      </c>
    </row>
    <row r="230" customFormat="false" ht="15" hidden="false" customHeight="true" outlineLevel="0" collapsed="false">
      <c r="A230" s="54" t="n">
        <v>210</v>
      </c>
      <c r="B230" s="34" t="n">
        <f aca="false">(A230-0.5)*u_w</f>
        <v>209.5</v>
      </c>
      <c r="C230" s="34" t="str">
        <f aca="false">IF(OR(A230&gt;NL_b,$B$12=""),"",IF((ABS(B230-$B$12)+lane_off)&lt;=0,0,IF((ABS(B230-$B$12)+lane_off)&gt;=v_sh^2/a_sh,(ABS(B230-$B$12)+lane_off)/v_sh+v_sh/a_sh,2*SQRT((ABS(B230-$B$12)+lane_off)/a_sh))))</f>
        <v/>
      </c>
      <c r="D230" s="34" t="str">
        <f aca="false">IF(OR(A230&gt;NL_b,$B$13=""),"",IF((ABS(B230-$B$13)+lane_off)&lt;=0,0,IF((ABS(B230-$B$13)+lane_off)&gt;=v_sh^2/a_sh,(ABS(B230-$B$13)+lane_off)/v_sh+v_sh/a_sh,2*SQRT((ABS(B230-$B$13)+lane_off)/a_sh))))</f>
        <v/>
      </c>
      <c r="E230" s="34" t="str">
        <f aca="false">IF(OR(A230&gt;NL_b,$B$14=""),"",IF((ABS(B230-$B$14)+lane_off)&lt;=0,0,IF((ABS(B230-$B$14)+lane_off)&gt;=v_sh^2/a_sh,(ABS(B230-$B$14)+lane_off)/v_sh+v_sh/a_sh,2*SQRT((ABS(B230-$B$14)+lane_off)/a_sh))))</f>
        <v/>
      </c>
      <c r="F230" s="34" t="str">
        <f aca="false">IF(OR(A230&gt;NL_b,$B$15=""),"",IF((ABS(B230-$B$15)+lane_off)&lt;=0,0,IF((ABS(B230-$B$15)+lane_off)&gt;=v_sh^2/a_sh,(ABS(B230-$B$15)+lane_off)/v_sh+v_sh/a_sh,2*SQRT((ABS(B230-$B$15)+lane_off)/a_sh))))</f>
        <v/>
      </c>
      <c r="G230" s="34" t="str">
        <f aca="false">IF(OR(A230&gt;NL_b,$B$16=""),"",IF((ABS(B230-$B$16)+lane_off)&lt;=0,0,IF((ABS(B230-$B$16)+lane_off)&gt;=v_sh^2/a_sh,(ABS(B230-$B$16)+lane_off)/v_sh+v_sh/a_sh,2*SQRT((ABS(B230-$B$16)+lane_off)/a_sh))))</f>
        <v/>
      </c>
      <c r="H230" s="34" t="str">
        <f aca="false">IF(OR(A230&gt;NL_b,$B$17=""),"",IF((ABS(B230-$B$17)+lane_off)&lt;=0,0,IF((ABS(B230-$B$17)+lane_off)&gt;=v_sh^2/a_sh,(ABS(B230-$B$17)+lane_off)/v_sh+v_sh/a_sh,2*SQRT((ABS(B230-$B$17)+lane_off)/a_sh))))</f>
        <v/>
      </c>
      <c r="I230" s="34" t="str">
        <f aca="false">IF(C230="","",2*C230+w_conv*$D$12/v_conv)</f>
        <v/>
      </c>
      <c r="J230" s="34" t="str">
        <f aca="false">IF(D230="","",2*D230+w_conv*$D$13/v_conv)</f>
        <v/>
      </c>
      <c r="K230" s="34" t="str">
        <f aca="false">IF(E230="","",2*E230+w_conv*$D$14/v_conv)</f>
        <v/>
      </c>
      <c r="L230" s="34" t="str">
        <f aca="false">IF(F230="","",2*F230+w_conv*$D$15/v_conv)</f>
        <v/>
      </c>
      <c r="M230" s="34" t="str">
        <f aca="false">IF(G230="","",2*G230+w_conv*$D$16/v_conv)</f>
        <v/>
      </c>
      <c r="N230" s="34" t="str">
        <f aca="false">IF(H230="","",2*H230+w_conv*$D$17/v_conv)</f>
        <v/>
      </c>
      <c r="O230" s="34" t="str">
        <f aca="false">IF(A230&gt;NL_b,"",MIN(I230:N230))</f>
        <v/>
      </c>
      <c r="P230" s="34" t="str">
        <f aca="false">IF(O230="","",INDEX(C230:H230,MATCH(O230,I230:N230,0)))</f>
        <v/>
      </c>
      <c r="Q230" s="34" t="str">
        <f aca="false">IF(O230="","",INDEX($D$12:$D$17,MATCH(O230,I230:N230,0)))</f>
        <v/>
      </c>
    </row>
    <row r="231" customFormat="false" ht="15" hidden="false" customHeight="true" outlineLevel="0" collapsed="false">
      <c r="A231" s="54" t="n">
        <v>211</v>
      </c>
      <c r="B231" s="34" t="n">
        <f aca="false">(A231-0.5)*u_w</f>
        <v>210.5</v>
      </c>
      <c r="C231" s="34" t="str">
        <f aca="false">IF(OR(A231&gt;NL_b,$B$12=""),"",IF((ABS(B231-$B$12)+lane_off)&lt;=0,0,IF((ABS(B231-$B$12)+lane_off)&gt;=v_sh^2/a_sh,(ABS(B231-$B$12)+lane_off)/v_sh+v_sh/a_sh,2*SQRT((ABS(B231-$B$12)+lane_off)/a_sh))))</f>
        <v/>
      </c>
      <c r="D231" s="34" t="str">
        <f aca="false">IF(OR(A231&gt;NL_b,$B$13=""),"",IF((ABS(B231-$B$13)+lane_off)&lt;=0,0,IF((ABS(B231-$B$13)+lane_off)&gt;=v_sh^2/a_sh,(ABS(B231-$B$13)+lane_off)/v_sh+v_sh/a_sh,2*SQRT((ABS(B231-$B$13)+lane_off)/a_sh))))</f>
        <v/>
      </c>
      <c r="E231" s="34" t="str">
        <f aca="false">IF(OR(A231&gt;NL_b,$B$14=""),"",IF((ABS(B231-$B$14)+lane_off)&lt;=0,0,IF((ABS(B231-$B$14)+lane_off)&gt;=v_sh^2/a_sh,(ABS(B231-$B$14)+lane_off)/v_sh+v_sh/a_sh,2*SQRT((ABS(B231-$B$14)+lane_off)/a_sh))))</f>
        <v/>
      </c>
      <c r="F231" s="34" t="str">
        <f aca="false">IF(OR(A231&gt;NL_b,$B$15=""),"",IF((ABS(B231-$B$15)+lane_off)&lt;=0,0,IF((ABS(B231-$B$15)+lane_off)&gt;=v_sh^2/a_sh,(ABS(B231-$B$15)+lane_off)/v_sh+v_sh/a_sh,2*SQRT((ABS(B231-$B$15)+lane_off)/a_sh))))</f>
        <v/>
      </c>
      <c r="G231" s="34" t="str">
        <f aca="false">IF(OR(A231&gt;NL_b,$B$16=""),"",IF((ABS(B231-$B$16)+lane_off)&lt;=0,0,IF((ABS(B231-$B$16)+lane_off)&gt;=v_sh^2/a_sh,(ABS(B231-$B$16)+lane_off)/v_sh+v_sh/a_sh,2*SQRT((ABS(B231-$B$16)+lane_off)/a_sh))))</f>
        <v/>
      </c>
      <c r="H231" s="34" t="str">
        <f aca="false">IF(OR(A231&gt;NL_b,$B$17=""),"",IF((ABS(B231-$B$17)+lane_off)&lt;=0,0,IF((ABS(B231-$B$17)+lane_off)&gt;=v_sh^2/a_sh,(ABS(B231-$B$17)+lane_off)/v_sh+v_sh/a_sh,2*SQRT((ABS(B231-$B$17)+lane_off)/a_sh))))</f>
        <v/>
      </c>
      <c r="I231" s="34" t="str">
        <f aca="false">IF(C231="","",2*C231+w_conv*$D$12/v_conv)</f>
        <v/>
      </c>
      <c r="J231" s="34" t="str">
        <f aca="false">IF(D231="","",2*D231+w_conv*$D$13/v_conv)</f>
        <v/>
      </c>
      <c r="K231" s="34" t="str">
        <f aca="false">IF(E231="","",2*E231+w_conv*$D$14/v_conv)</f>
        <v/>
      </c>
      <c r="L231" s="34" t="str">
        <f aca="false">IF(F231="","",2*F231+w_conv*$D$15/v_conv)</f>
        <v/>
      </c>
      <c r="M231" s="34" t="str">
        <f aca="false">IF(G231="","",2*G231+w_conv*$D$16/v_conv)</f>
        <v/>
      </c>
      <c r="N231" s="34" t="str">
        <f aca="false">IF(H231="","",2*H231+w_conv*$D$17/v_conv)</f>
        <v/>
      </c>
      <c r="O231" s="34" t="str">
        <f aca="false">IF(A231&gt;NL_b,"",MIN(I231:N231))</f>
        <v/>
      </c>
      <c r="P231" s="34" t="str">
        <f aca="false">IF(O231="","",INDEX(C231:H231,MATCH(O231,I231:N231,0)))</f>
        <v/>
      </c>
      <c r="Q231" s="34" t="str">
        <f aca="false">IF(O231="","",INDEX($D$12:$D$17,MATCH(O231,I231:N231,0)))</f>
        <v/>
      </c>
    </row>
    <row r="232" customFormat="false" ht="15" hidden="false" customHeight="true" outlineLevel="0" collapsed="false">
      <c r="A232" s="54" t="n">
        <v>212</v>
      </c>
      <c r="B232" s="34" t="n">
        <f aca="false">(A232-0.5)*u_w</f>
        <v>211.5</v>
      </c>
      <c r="C232" s="34" t="str">
        <f aca="false">IF(OR(A232&gt;NL_b,$B$12=""),"",IF((ABS(B232-$B$12)+lane_off)&lt;=0,0,IF((ABS(B232-$B$12)+lane_off)&gt;=v_sh^2/a_sh,(ABS(B232-$B$12)+lane_off)/v_sh+v_sh/a_sh,2*SQRT((ABS(B232-$B$12)+lane_off)/a_sh))))</f>
        <v/>
      </c>
      <c r="D232" s="34" t="str">
        <f aca="false">IF(OR(A232&gt;NL_b,$B$13=""),"",IF((ABS(B232-$B$13)+lane_off)&lt;=0,0,IF((ABS(B232-$B$13)+lane_off)&gt;=v_sh^2/a_sh,(ABS(B232-$B$13)+lane_off)/v_sh+v_sh/a_sh,2*SQRT((ABS(B232-$B$13)+lane_off)/a_sh))))</f>
        <v/>
      </c>
      <c r="E232" s="34" t="str">
        <f aca="false">IF(OR(A232&gt;NL_b,$B$14=""),"",IF((ABS(B232-$B$14)+lane_off)&lt;=0,0,IF((ABS(B232-$B$14)+lane_off)&gt;=v_sh^2/a_sh,(ABS(B232-$B$14)+lane_off)/v_sh+v_sh/a_sh,2*SQRT((ABS(B232-$B$14)+lane_off)/a_sh))))</f>
        <v/>
      </c>
      <c r="F232" s="34" t="str">
        <f aca="false">IF(OR(A232&gt;NL_b,$B$15=""),"",IF((ABS(B232-$B$15)+lane_off)&lt;=0,0,IF((ABS(B232-$B$15)+lane_off)&gt;=v_sh^2/a_sh,(ABS(B232-$B$15)+lane_off)/v_sh+v_sh/a_sh,2*SQRT((ABS(B232-$B$15)+lane_off)/a_sh))))</f>
        <v/>
      </c>
      <c r="G232" s="34" t="str">
        <f aca="false">IF(OR(A232&gt;NL_b,$B$16=""),"",IF((ABS(B232-$B$16)+lane_off)&lt;=0,0,IF((ABS(B232-$B$16)+lane_off)&gt;=v_sh^2/a_sh,(ABS(B232-$B$16)+lane_off)/v_sh+v_sh/a_sh,2*SQRT((ABS(B232-$B$16)+lane_off)/a_sh))))</f>
        <v/>
      </c>
      <c r="H232" s="34" t="str">
        <f aca="false">IF(OR(A232&gt;NL_b,$B$17=""),"",IF((ABS(B232-$B$17)+lane_off)&lt;=0,0,IF((ABS(B232-$B$17)+lane_off)&gt;=v_sh^2/a_sh,(ABS(B232-$B$17)+lane_off)/v_sh+v_sh/a_sh,2*SQRT((ABS(B232-$B$17)+lane_off)/a_sh))))</f>
        <v/>
      </c>
      <c r="I232" s="34" t="str">
        <f aca="false">IF(C232="","",2*C232+w_conv*$D$12/v_conv)</f>
        <v/>
      </c>
      <c r="J232" s="34" t="str">
        <f aca="false">IF(D232="","",2*D232+w_conv*$D$13/v_conv)</f>
        <v/>
      </c>
      <c r="K232" s="34" t="str">
        <f aca="false">IF(E232="","",2*E232+w_conv*$D$14/v_conv)</f>
        <v/>
      </c>
      <c r="L232" s="34" t="str">
        <f aca="false">IF(F232="","",2*F232+w_conv*$D$15/v_conv)</f>
        <v/>
      </c>
      <c r="M232" s="34" t="str">
        <f aca="false">IF(G232="","",2*G232+w_conv*$D$16/v_conv)</f>
        <v/>
      </c>
      <c r="N232" s="34" t="str">
        <f aca="false">IF(H232="","",2*H232+w_conv*$D$17/v_conv)</f>
        <v/>
      </c>
      <c r="O232" s="34" t="str">
        <f aca="false">IF(A232&gt;NL_b,"",MIN(I232:N232))</f>
        <v/>
      </c>
      <c r="P232" s="34" t="str">
        <f aca="false">IF(O232="","",INDEX(C232:H232,MATCH(O232,I232:N232,0)))</f>
        <v/>
      </c>
      <c r="Q232" s="34" t="str">
        <f aca="false">IF(O232="","",INDEX($D$12:$D$17,MATCH(O232,I232:N232,0)))</f>
        <v/>
      </c>
    </row>
    <row r="233" customFormat="false" ht="15" hidden="false" customHeight="true" outlineLevel="0" collapsed="false">
      <c r="A233" s="54" t="n">
        <v>213</v>
      </c>
      <c r="B233" s="34" t="n">
        <f aca="false">(A233-0.5)*u_w</f>
        <v>212.5</v>
      </c>
      <c r="C233" s="34" t="str">
        <f aca="false">IF(OR(A233&gt;NL_b,$B$12=""),"",IF((ABS(B233-$B$12)+lane_off)&lt;=0,0,IF((ABS(B233-$B$12)+lane_off)&gt;=v_sh^2/a_sh,(ABS(B233-$B$12)+lane_off)/v_sh+v_sh/a_sh,2*SQRT((ABS(B233-$B$12)+lane_off)/a_sh))))</f>
        <v/>
      </c>
      <c r="D233" s="34" t="str">
        <f aca="false">IF(OR(A233&gt;NL_b,$B$13=""),"",IF((ABS(B233-$B$13)+lane_off)&lt;=0,0,IF((ABS(B233-$B$13)+lane_off)&gt;=v_sh^2/a_sh,(ABS(B233-$B$13)+lane_off)/v_sh+v_sh/a_sh,2*SQRT((ABS(B233-$B$13)+lane_off)/a_sh))))</f>
        <v/>
      </c>
      <c r="E233" s="34" t="str">
        <f aca="false">IF(OR(A233&gt;NL_b,$B$14=""),"",IF((ABS(B233-$B$14)+lane_off)&lt;=0,0,IF((ABS(B233-$B$14)+lane_off)&gt;=v_sh^2/a_sh,(ABS(B233-$B$14)+lane_off)/v_sh+v_sh/a_sh,2*SQRT((ABS(B233-$B$14)+lane_off)/a_sh))))</f>
        <v/>
      </c>
      <c r="F233" s="34" t="str">
        <f aca="false">IF(OR(A233&gt;NL_b,$B$15=""),"",IF((ABS(B233-$B$15)+lane_off)&lt;=0,0,IF((ABS(B233-$B$15)+lane_off)&gt;=v_sh^2/a_sh,(ABS(B233-$B$15)+lane_off)/v_sh+v_sh/a_sh,2*SQRT((ABS(B233-$B$15)+lane_off)/a_sh))))</f>
        <v/>
      </c>
      <c r="G233" s="34" t="str">
        <f aca="false">IF(OR(A233&gt;NL_b,$B$16=""),"",IF((ABS(B233-$B$16)+lane_off)&lt;=0,0,IF((ABS(B233-$B$16)+lane_off)&gt;=v_sh^2/a_sh,(ABS(B233-$B$16)+lane_off)/v_sh+v_sh/a_sh,2*SQRT((ABS(B233-$B$16)+lane_off)/a_sh))))</f>
        <v/>
      </c>
      <c r="H233" s="34" t="str">
        <f aca="false">IF(OR(A233&gt;NL_b,$B$17=""),"",IF((ABS(B233-$B$17)+lane_off)&lt;=0,0,IF((ABS(B233-$B$17)+lane_off)&gt;=v_sh^2/a_sh,(ABS(B233-$B$17)+lane_off)/v_sh+v_sh/a_sh,2*SQRT((ABS(B233-$B$17)+lane_off)/a_sh))))</f>
        <v/>
      </c>
      <c r="I233" s="34" t="str">
        <f aca="false">IF(C233="","",2*C233+w_conv*$D$12/v_conv)</f>
        <v/>
      </c>
      <c r="J233" s="34" t="str">
        <f aca="false">IF(D233="","",2*D233+w_conv*$D$13/v_conv)</f>
        <v/>
      </c>
      <c r="K233" s="34" t="str">
        <f aca="false">IF(E233="","",2*E233+w_conv*$D$14/v_conv)</f>
        <v/>
      </c>
      <c r="L233" s="34" t="str">
        <f aca="false">IF(F233="","",2*F233+w_conv*$D$15/v_conv)</f>
        <v/>
      </c>
      <c r="M233" s="34" t="str">
        <f aca="false">IF(G233="","",2*G233+w_conv*$D$16/v_conv)</f>
        <v/>
      </c>
      <c r="N233" s="34" t="str">
        <f aca="false">IF(H233="","",2*H233+w_conv*$D$17/v_conv)</f>
        <v/>
      </c>
      <c r="O233" s="34" t="str">
        <f aca="false">IF(A233&gt;NL_b,"",MIN(I233:N233))</f>
        <v/>
      </c>
      <c r="P233" s="34" t="str">
        <f aca="false">IF(O233="","",INDEX(C233:H233,MATCH(O233,I233:N233,0)))</f>
        <v/>
      </c>
      <c r="Q233" s="34" t="str">
        <f aca="false">IF(O233="","",INDEX($D$12:$D$17,MATCH(O233,I233:N233,0)))</f>
        <v/>
      </c>
    </row>
    <row r="234" customFormat="false" ht="15" hidden="false" customHeight="true" outlineLevel="0" collapsed="false">
      <c r="A234" s="54" t="n">
        <v>214</v>
      </c>
      <c r="B234" s="34" t="n">
        <f aca="false">(A234-0.5)*u_w</f>
        <v>213.5</v>
      </c>
      <c r="C234" s="34" t="str">
        <f aca="false">IF(OR(A234&gt;NL_b,$B$12=""),"",IF((ABS(B234-$B$12)+lane_off)&lt;=0,0,IF((ABS(B234-$B$12)+lane_off)&gt;=v_sh^2/a_sh,(ABS(B234-$B$12)+lane_off)/v_sh+v_sh/a_sh,2*SQRT((ABS(B234-$B$12)+lane_off)/a_sh))))</f>
        <v/>
      </c>
      <c r="D234" s="34" t="str">
        <f aca="false">IF(OR(A234&gt;NL_b,$B$13=""),"",IF((ABS(B234-$B$13)+lane_off)&lt;=0,0,IF((ABS(B234-$B$13)+lane_off)&gt;=v_sh^2/a_sh,(ABS(B234-$B$13)+lane_off)/v_sh+v_sh/a_sh,2*SQRT((ABS(B234-$B$13)+lane_off)/a_sh))))</f>
        <v/>
      </c>
      <c r="E234" s="34" t="str">
        <f aca="false">IF(OR(A234&gt;NL_b,$B$14=""),"",IF((ABS(B234-$B$14)+lane_off)&lt;=0,0,IF((ABS(B234-$B$14)+lane_off)&gt;=v_sh^2/a_sh,(ABS(B234-$B$14)+lane_off)/v_sh+v_sh/a_sh,2*SQRT((ABS(B234-$B$14)+lane_off)/a_sh))))</f>
        <v/>
      </c>
      <c r="F234" s="34" t="str">
        <f aca="false">IF(OR(A234&gt;NL_b,$B$15=""),"",IF((ABS(B234-$B$15)+lane_off)&lt;=0,0,IF((ABS(B234-$B$15)+lane_off)&gt;=v_sh^2/a_sh,(ABS(B234-$B$15)+lane_off)/v_sh+v_sh/a_sh,2*SQRT((ABS(B234-$B$15)+lane_off)/a_sh))))</f>
        <v/>
      </c>
      <c r="G234" s="34" t="str">
        <f aca="false">IF(OR(A234&gt;NL_b,$B$16=""),"",IF((ABS(B234-$B$16)+lane_off)&lt;=0,0,IF((ABS(B234-$B$16)+lane_off)&gt;=v_sh^2/a_sh,(ABS(B234-$B$16)+lane_off)/v_sh+v_sh/a_sh,2*SQRT((ABS(B234-$B$16)+lane_off)/a_sh))))</f>
        <v/>
      </c>
      <c r="H234" s="34" t="str">
        <f aca="false">IF(OR(A234&gt;NL_b,$B$17=""),"",IF((ABS(B234-$B$17)+lane_off)&lt;=0,0,IF((ABS(B234-$B$17)+lane_off)&gt;=v_sh^2/a_sh,(ABS(B234-$B$17)+lane_off)/v_sh+v_sh/a_sh,2*SQRT((ABS(B234-$B$17)+lane_off)/a_sh))))</f>
        <v/>
      </c>
      <c r="I234" s="34" t="str">
        <f aca="false">IF(C234="","",2*C234+w_conv*$D$12/v_conv)</f>
        <v/>
      </c>
      <c r="J234" s="34" t="str">
        <f aca="false">IF(D234="","",2*D234+w_conv*$D$13/v_conv)</f>
        <v/>
      </c>
      <c r="K234" s="34" t="str">
        <f aca="false">IF(E234="","",2*E234+w_conv*$D$14/v_conv)</f>
        <v/>
      </c>
      <c r="L234" s="34" t="str">
        <f aca="false">IF(F234="","",2*F234+w_conv*$D$15/v_conv)</f>
        <v/>
      </c>
      <c r="M234" s="34" t="str">
        <f aca="false">IF(G234="","",2*G234+w_conv*$D$16/v_conv)</f>
        <v/>
      </c>
      <c r="N234" s="34" t="str">
        <f aca="false">IF(H234="","",2*H234+w_conv*$D$17/v_conv)</f>
        <v/>
      </c>
      <c r="O234" s="34" t="str">
        <f aca="false">IF(A234&gt;NL_b,"",MIN(I234:N234))</f>
        <v/>
      </c>
      <c r="P234" s="34" t="str">
        <f aca="false">IF(O234="","",INDEX(C234:H234,MATCH(O234,I234:N234,0)))</f>
        <v/>
      </c>
      <c r="Q234" s="34" t="str">
        <f aca="false">IF(O234="","",INDEX($D$12:$D$17,MATCH(O234,I234:N234,0)))</f>
        <v/>
      </c>
    </row>
    <row r="235" customFormat="false" ht="15" hidden="false" customHeight="true" outlineLevel="0" collapsed="false">
      <c r="A235" s="54" t="n">
        <v>215</v>
      </c>
      <c r="B235" s="34" t="n">
        <f aca="false">(A235-0.5)*u_w</f>
        <v>214.5</v>
      </c>
      <c r="C235" s="34" t="str">
        <f aca="false">IF(OR(A235&gt;NL_b,$B$12=""),"",IF((ABS(B235-$B$12)+lane_off)&lt;=0,0,IF((ABS(B235-$B$12)+lane_off)&gt;=v_sh^2/a_sh,(ABS(B235-$B$12)+lane_off)/v_sh+v_sh/a_sh,2*SQRT((ABS(B235-$B$12)+lane_off)/a_sh))))</f>
        <v/>
      </c>
      <c r="D235" s="34" t="str">
        <f aca="false">IF(OR(A235&gt;NL_b,$B$13=""),"",IF((ABS(B235-$B$13)+lane_off)&lt;=0,0,IF((ABS(B235-$B$13)+lane_off)&gt;=v_sh^2/a_sh,(ABS(B235-$B$13)+lane_off)/v_sh+v_sh/a_sh,2*SQRT((ABS(B235-$B$13)+lane_off)/a_sh))))</f>
        <v/>
      </c>
      <c r="E235" s="34" t="str">
        <f aca="false">IF(OR(A235&gt;NL_b,$B$14=""),"",IF((ABS(B235-$B$14)+lane_off)&lt;=0,0,IF((ABS(B235-$B$14)+lane_off)&gt;=v_sh^2/a_sh,(ABS(B235-$B$14)+lane_off)/v_sh+v_sh/a_sh,2*SQRT((ABS(B235-$B$14)+lane_off)/a_sh))))</f>
        <v/>
      </c>
      <c r="F235" s="34" t="str">
        <f aca="false">IF(OR(A235&gt;NL_b,$B$15=""),"",IF((ABS(B235-$B$15)+lane_off)&lt;=0,0,IF((ABS(B235-$B$15)+lane_off)&gt;=v_sh^2/a_sh,(ABS(B235-$B$15)+lane_off)/v_sh+v_sh/a_sh,2*SQRT((ABS(B235-$B$15)+lane_off)/a_sh))))</f>
        <v/>
      </c>
      <c r="G235" s="34" t="str">
        <f aca="false">IF(OR(A235&gt;NL_b,$B$16=""),"",IF((ABS(B235-$B$16)+lane_off)&lt;=0,0,IF((ABS(B235-$B$16)+lane_off)&gt;=v_sh^2/a_sh,(ABS(B235-$B$16)+lane_off)/v_sh+v_sh/a_sh,2*SQRT((ABS(B235-$B$16)+lane_off)/a_sh))))</f>
        <v/>
      </c>
      <c r="H235" s="34" t="str">
        <f aca="false">IF(OR(A235&gt;NL_b,$B$17=""),"",IF((ABS(B235-$B$17)+lane_off)&lt;=0,0,IF((ABS(B235-$B$17)+lane_off)&gt;=v_sh^2/a_sh,(ABS(B235-$B$17)+lane_off)/v_sh+v_sh/a_sh,2*SQRT((ABS(B235-$B$17)+lane_off)/a_sh))))</f>
        <v/>
      </c>
      <c r="I235" s="34" t="str">
        <f aca="false">IF(C235="","",2*C235+w_conv*$D$12/v_conv)</f>
        <v/>
      </c>
      <c r="J235" s="34" t="str">
        <f aca="false">IF(D235="","",2*D235+w_conv*$D$13/v_conv)</f>
        <v/>
      </c>
      <c r="K235" s="34" t="str">
        <f aca="false">IF(E235="","",2*E235+w_conv*$D$14/v_conv)</f>
        <v/>
      </c>
      <c r="L235" s="34" t="str">
        <f aca="false">IF(F235="","",2*F235+w_conv*$D$15/v_conv)</f>
        <v/>
      </c>
      <c r="M235" s="34" t="str">
        <f aca="false">IF(G235="","",2*G235+w_conv*$D$16/v_conv)</f>
        <v/>
      </c>
      <c r="N235" s="34" t="str">
        <f aca="false">IF(H235="","",2*H235+w_conv*$D$17/v_conv)</f>
        <v/>
      </c>
      <c r="O235" s="34" t="str">
        <f aca="false">IF(A235&gt;NL_b,"",MIN(I235:N235))</f>
        <v/>
      </c>
      <c r="P235" s="34" t="str">
        <f aca="false">IF(O235="","",INDEX(C235:H235,MATCH(O235,I235:N235,0)))</f>
        <v/>
      </c>
      <c r="Q235" s="34" t="str">
        <f aca="false">IF(O235="","",INDEX($D$12:$D$17,MATCH(O235,I235:N235,0)))</f>
        <v/>
      </c>
    </row>
    <row r="236" customFormat="false" ht="15" hidden="false" customHeight="true" outlineLevel="0" collapsed="false">
      <c r="A236" s="54" t="n">
        <v>216</v>
      </c>
      <c r="B236" s="34" t="n">
        <f aca="false">(A236-0.5)*u_w</f>
        <v>215.5</v>
      </c>
      <c r="C236" s="34" t="str">
        <f aca="false">IF(OR(A236&gt;NL_b,$B$12=""),"",IF((ABS(B236-$B$12)+lane_off)&lt;=0,0,IF((ABS(B236-$B$12)+lane_off)&gt;=v_sh^2/a_sh,(ABS(B236-$B$12)+lane_off)/v_sh+v_sh/a_sh,2*SQRT((ABS(B236-$B$12)+lane_off)/a_sh))))</f>
        <v/>
      </c>
      <c r="D236" s="34" t="str">
        <f aca="false">IF(OR(A236&gt;NL_b,$B$13=""),"",IF((ABS(B236-$B$13)+lane_off)&lt;=0,0,IF((ABS(B236-$B$13)+lane_off)&gt;=v_sh^2/a_sh,(ABS(B236-$B$13)+lane_off)/v_sh+v_sh/a_sh,2*SQRT((ABS(B236-$B$13)+lane_off)/a_sh))))</f>
        <v/>
      </c>
      <c r="E236" s="34" t="str">
        <f aca="false">IF(OR(A236&gt;NL_b,$B$14=""),"",IF((ABS(B236-$B$14)+lane_off)&lt;=0,0,IF((ABS(B236-$B$14)+lane_off)&gt;=v_sh^2/a_sh,(ABS(B236-$B$14)+lane_off)/v_sh+v_sh/a_sh,2*SQRT((ABS(B236-$B$14)+lane_off)/a_sh))))</f>
        <v/>
      </c>
      <c r="F236" s="34" t="str">
        <f aca="false">IF(OR(A236&gt;NL_b,$B$15=""),"",IF((ABS(B236-$B$15)+lane_off)&lt;=0,0,IF((ABS(B236-$B$15)+lane_off)&gt;=v_sh^2/a_sh,(ABS(B236-$B$15)+lane_off)/v_sh+v_sh/a_sh,2*SQRT((ABS(B236-$B$15)+lane_off)/a_sh))))</f>
        <v/>
      </c>
      <c r="G236" s="34" t="str">
        <f aca="false">IF(OR(A236&gt;NL_b,$B$16=""),"",IF((ABS(B236-$B$16)+lane_off)&lt;=0,0,IF((ABS(B236-$B$16)+lane_off)&gt;=v_sh^2/a_sh,(ABS(B236-$B$16)+lane_off)/v_sh+v_sh/a_sh,2*SQRT((ABS(B236-$B$16)+lane_off)/a_sh))))</f>
        <v/>
      </c>
      <c r="H236" s="34" t="str">
        <f aca="false">IF(OR(A236&gt;NL_b,$B$17=""),"",IF((ABS(B236-$B$17)+lane_off)&lt;=0,0,IF((ABS(B236-$B$17)+lane_off)&gt;=v_sh^2/a_sh,(ABS(B236-$B$17)+lane_off)/v_sh+v_sh/a_sh,2*SQRT((ABS(B236-$B$17)+lane_off)/a_sh))))</f>
        <v/>
      </c>
      <c r="I236" s="34" t="str">
        <f aca="false">IF(C236="","",2*C236+w_conv*$D$12/v_conv)</f>
        <v/>
      </c>
      <c r="J236" s="34" t="str">
        <f aca="false">IF(D236="","",2*D236+w_conv*$D$13/v_conv)</f>
        <v/>
      </c>
      <c r="K236" s="34" t="str">
        <f aca="false">IF(E236="","",2*E236+w_conv*$D$14/v_conv)</f>
        <v/>
      </c>
      <c r="L236" s="34" t="str">
        <f aca="false">IF(F236="","",2*F236+w_conv*$D$15/v_conv)</f>
        <v/>
      </c>
      <c r="M236" s="34" t="str">
        <f aca="false">IF(G236="","",2*G236+w_conv*$D$16/v_conv)</f>
        <v/>
      </c>
      <c r="N236" s="34" t="str">
        <f aca="false">IF(H236="","",2*H236+w_conv*$D$17/v_conv)</f>
        <v/>
      </c>
      <c r="O236" s="34" t="str">
        <f aca="false">IF(A236&gt;NL_b,"",MIN(I236:N236))</f>
        <v/>
      </c>
      <c r="P236" s="34" t="str">
        <f aca="false">IF(O236="","",INDEX(C236:H236,MATCH(O236,I236:N236,0)))</f>
        <v/>
      </c>
      <c r="Q236" s="34" t="str">
        <f aca="false">IF(O236="","",INDEX($D$12:$D$17,MATCH(O236,I236:N236,0)))</f>
        <v/>
      </c>
    </row>
    <row r="237" customFormat="false" ht="15" hidden="false" customHeight="true" outlineLevel="0" collapsed="false">
      <c r="A237" s="54" t="n">
        <v>217</v>
      </c>
      <c r="B237" s="34" t="n">
        <f aca="false">(A237-0.5)*u_w</f>
        <v>216.5</v>
      </c>
      <c r="C237" s="34" t="str">
        <f aca="false">IF(OR(A237&gt;NL_b,$B$12=""),"",IF((ABS(B237-$B$12)+lane_off)&lt;=0,0,IF((ABS(B237-$B$12)+lane_off)&gt;=v_sh^2/a_sh,(ABS(B237-$B$12)+lane_off)/v_sh+v_sh/a_sh,2*SQRT((ABS(B237-$B$12)+lane_off)/a_sh))))</f>
        <v/>
      </c>
      <c r="D237" s="34" t="str">
        <f aca="false">IF(OR(A237&gt;NL_b,$B$13=""),"",IF((ABS(B237-$B$13)+lane_off)&lt;=0,0,IF((ABS(B237-$B$13)+lane_off)&gt;=v_sh^2/a_sh,(ABS(B237-$B$13)+lane_off)/v_sh+v_sh/a_sh,2*SQRT((ABS(B237-$B$13)+lane_off)/a_sh))))</f>
        <v/>
      </c>
      <c r="E237" s="34" t="str">
        <f aca="false">IF(OR(A237&gt;NL_b,$B$14=""),"",IF((ABS(B237-$B$14)+lane_off)&lt;=0,0,IF((ABS(B237-$B$14)+lane_off)&gt;=v_sh^2/a_sh,(ABS(B237-$B$14)+lane_off)/v_sh+v_sh/a_sh,2*SQRT((ABS(B237-$B$14)+lane_off)/a_sh))))</f>
        <v/>
      </c>
      <c r="F237" s="34" t="str">
        <f aca="false">IF(OR(A237&gt;NL_b,$B$15=""),"",IF((ABS(B237-$B$15)+lane_off)&lt;=0,0,IF((ABS(B237-$B$15)+lane_off)&gt;=v_sh^2/a_sh,(ABS(B237-$B$15)+lane_off)/v_sh+v_sh/a_sh,2*SQRT((ABS(B237-$B$15)+lane_off)/a_sh))))</f>
        <v/>
      </c>
      <c r="G237" s="34" t="str">
        <f aca="false">IF(OR(A237&gt;NL_b,$B$16=""),"",IF((ABS(B237-$B$16)+lane_off)&lt;=0,0,IF((ABS(B237-$B$16)+lane_off)&gt;=v_sh^2/a_sh,(ABS(B237-$B$16)+lane_off)/v_sh+v_sh/a_sh,2*SQRT((ABS(B237-$B$16)+lane_off)/a_sh))))</f>
        <v/>
      </c>
      <c r="H237" s="34" t="str">
        <f aca="false">IF(OR(A237&gt;NL_b,$B$17=""),"",IF((ABS(B237-$B$17)+lane_off)&lt;=0,0,IF((ABS(B237-$B$17)+lane_off)&gt;=v_sh^2/a_sh,(ABS(B237-$B$17)+lane_off)/v_sh+v_sh/a_sh,2*SQRT((ABS(B237-$B$17)+lane_off)/a_sh))))</f>
        <v/>
      </c>
      <c r="I237" s="34" t="str">
        <f aca="false">IF(C237="","",2*C237+w_conv*$D$12/v_conv)</f>
        <v/>
      </c>
      <c r="J237" s="34" t="str">
        <f aca="false">IF(D237="","",2*D237+w_conv*$D$13/v_conv)</f>
        <v/>
      </c>
      <c r="K237" s="34" t="str">
        <f aca="false">IF(E237="","",2*E237+w_conv*$D$14/v_conv)</f>
        <v/>
      </c>
      <c r="L237" s="34" t="str">
        <f aca="false">IF(F237="","",2*F237+w_conv*$D$15/v_conv)</f>
        <v/>
      </c>
      <c r="M237" s="34" t="str">
        <f aca="false">IF(G237="","",2*G237+w_conv*$D$16/v_conv)</f>
        <v/>
      </c>
      <c r="N237" s="34" t="str">
        <f aca="false">IF(H237="","",2*H237+w_conv*$D$17/v_conv)</f>
        <v/>
      </c>
      <c r="O237" s="34" t="str">
        <f aca="false">IF(A237&gt;NL_b,"",MIN(I237:N237))</f>
        <v/>
      </c>
      <c r="P237" s="34" t="str">
        <f aca="false">IF(O237="","",INDEX(C237:H237,MATCH(O237,I237:N237,0)))</f>
        <v/>
      </c>
      <c r="Q237" s="34" t="str">
        <f aca="false">IF(O237="","",INDEX($D$12:$D$17,MATCH(O237,I237:N237,0)))</f>
        <v/>
      </c>
    </row>
    <row r="238" customFormat="false" ht="15" hidden="false" customHeight="true" outlineLevel="0" collapsed="false">
      <c r="A238" s="54" t="n">
        <v>218</v>
      </c>
      <c r="B238" s="34" t="n">
        <f aca="false">(A238-0.5)*u_w</f>
        <v>217.5</v>
      </c>
      <c r="C238" s="34" t="str">
        <f aca="false">IF(OR(A238&gt;NL_b,$B$12=""),"",IF((ABS(B238-$B$12)+lane_off)&lt;=0,0,IF((ABS(B238-$B$12)+lane_off)&gt;=v_sh^2/a_sh,(ABS(B238-$B$12)+lane_off)/v_sh+v_sh/a_sh,2*SQRT((ABS(B238-$B$12)+lane_off)/a_sh))))</f>
        <v/>
      </c>
      <c r="D238" s="34" t="str">
        <f aca="false">IF(OR(A238&gt;NL_b,$B$13=""),"",IF((ABS(B238-$B$13)+lane_off)&lt;=0,0,IF((ABS(B238-$B$13)+lane_off)&gt;=v_sh^2/a_sh,(ABS(B238-$B$13)+lane_off)/v_sh+v_sh/a_sh,2*SQRT((ABS(B238-$B$13)+lane_off)/a_sh))))</f>
        <v/>
      </c>
      <c r="E238" s="34" t="str">
        <f aca="false">IF(OR(A238&gt;NL_b,$B$14=""),"",IF((ABS(B238-$B$14)+lane_off)&lt;=0,0,IF((ABS(B238-$B$14)+lane_off)&gt;=v_sh^2/a_sh,(ABS(B238-$B$14)+lane_off)/v_sh+v_sh/a_sh,2*SQRT((ABS(B238-$B$14)+lane_off)/a_sh))))</f>
        <v/>
      </c>
      <c r="F238" s="34" t="str">
        <f aca="false">IF(OR(A238&gt;NL_b,$B$15=""),"",IF((ABS(B238-$B$15)+lane_off)&lt;=0,0,IF((ABS(B238-$B$15)+lane_off)&gt;=v_sh^2/a_sh,(ABS(B238-$B$15)+lane_off)/v_sh+v_sh/a_sh,2*SQRT((ABS(B238-$B$15)+lane_off)/a_sh))))</f>
        <v/>
      </c>
      <c r="G238" s="34" t="str">
        <f aca="false">IF(OR(A238&gt;NL_b,$B$16=""),"",IF((ABS(B238-$B$16)+lane_off)&lt;=0,0,IF((ABS(B238-$B$16)+lane_off)&gt;=v_sh^2/a_sh,(ABS(B238-$B$16)+lane_off)/v_sh+v_sh/a_sh,2*SQRT((ABS(B238-$B$16)+lane_off)/a_sh))))</f>
        <v/>
      </c>
      <c r="H238" s="34" t="str">
        <f aca="false">IF(OR(A238&gt;NL_b,$B$17=""),"",IF((ABS(B238-$B$17)+lane_off)&lt;=0,0,IF((ABS(B238-$B$17)+lane_off)&gt;=v_sh^2/a_sh,(ABS(B238-$B$17)+lane_off)/v_sh+v_sh/a_sh,2*SQRT((ABS(B238-$B$17)+lane_off)/a_sh))))</f>
        <v/>
      </c>
      <c r="I238" s="34" t="str">
        <f aca="false">IF(C238="","",2*C238+w_conv*$D$12/v_conv)</f>
        <v/>
      </c>
      <c r="J238" s="34" t="str">
        <f aca="false">IF(D238="","",2*D238+w_conv*$D$13/v_conv)</f>
        <v/>
      </c>
      <c r="K238" s="34" t="str">
        <f aca="false">IF(E238="","",2*E238+w_conv*$D$14/v_conv)</f>
        <v/>
      </c>
      <c r="L238" s="34" t="str">
        <f aca="false">IF(F238="","",2*F238+w_conv*$D$15/v_conv)</f>
        <v/>
      </c>
      <c r="M238" s="34" t="str">
        <f aca="false">IF(G238="","",2*G238+w_conv*$D$16/v_conv)</f>
        <v/>
      </c>
      <c r="N238" s="34" t="str">
        <f aca="false">IF(H238="","",2*H238+w_conv*$D$17/v_conv)</f>
        <v/>
      </c>
      <c r="O238" s="34" t="str">
        <f aca="false">IF(A238&gt;NL_b,"",MIN(I238:N238))</f>
        <v/>
      </c>
      <c r="P238" s="34" t="str">
        <f aca="false">IF(O238="","",INDEX(C238:H238,MATCH(O238,I238:N238,0)))</f>
        <v/>
      </c>
      <c r="Q238" s="34" t="str">
        <f aca="false">IF(O238="","",INDEX($D$12:$D$17,MATCH(O238,I238:N238,0)))</f>
        <v/>
      </c>
    </row>
    <row r="239" customFormat="false" ht="15" hidden="false" customHeight="true" outlineLevel="0" collapsed="false">
      <c r="A239" s="54" t="n">
        <v>219</v>
      </c>
      <c r="B239" s="34" t="n">
        <f aca="false">(A239-0.5)*u_w</f>
        <v>218.5</v>
      </c>
      <c r="C239" s="34" t="str">
        <f aca="false">IF(OR(A239&gt;NL_b,$B$12=""),"",IF((ABS(B239-$B$12)+lane_off)&lt;=0,0,IF((ABS(B239-$B$12)+lane_off)&gt;=v_sh^2/a_sh,(ABS(B239-$B$12)+lane_off)/v_sh+v_sh/a_sh,2*SQRT((ABS(B239-$B$12)+lane_off)/a_sh))))</f>
        <v/>
      </c>
      <c r="D239" s="34" t="str">
        <f aca="false">IF(OR(A239&gt;NL_b,$B$13=""),"",IF((ABS(B239-$B$13)+lane_off)&lt;=0,0,IF((ABS(B239-$B$13)+lane_off)&gt;=v_sh^2/a_sh,(ABS(B239-$B$13)+lane_off)/v_sh+v_sh/a_sh,2*SQRT((ABS(B239-$B$13)+lane_off)/a_sh))))</f>
        <v/>
      </c>
      <c r="E239" s="34" t="str">
        <f aca="false">IF(OR(A239&gt;NL_b,$B$14=""),"",IF((ABS(B239-$B$14)+lane_off)&lt;=0,0,IF((ABS(B239-$B$14)+lane_off)&gt;=v_sh^2/a_sh,(ABS(B239-$B$14)+lane_off)/v_sh+v_sh/a_sh,2*SQRT((ABS(B239-$B$14)+lane_off)/a_sh))))</f>
        <v/>
      </c>
      <c r="F239" s="34" t="str">
        <f aca="false">IF(OR(A239&gt;NL_b,$B$15=""),"",IF((ABS(B239-$B$15)+lane_off)&lt;=0,0,IF((ABS(B239-$B$15)+lane_off)&gt;=v_sh^2/a_sh,(ABS(B239-$B$15)+lane_off)/v_sh+v_sh/a_sh,2*SQRT((ABS(B239-$B$15)+lane_off)/a_sh))))</f>
        <v/>
      </c>
      <c r="G239" s="34" t="str">
        <f aca="false">IF(OR(A239&gt;NL_b,$B$16=""),"",IF((ABS(B239-$B$16)+lane_off)&lt;=0,0,IF((ABS(B239-$B$16)+lane_off)&gt;=v_sh^2/a_sh,(ABS(B239-$B$16)+lane_off)/v_sh+v_sh/a_sh,2*SQRT((ABS(B239-$B$16)+lane_off)/a_sh))))</f>
        <v/>
      </c>
      <c r="H239" s="34" t="str">
        <f aca="false">IF(OR(A239&gt;NL_b,$B$17=""),"",IF((ABS(B239-$B$17)+lane_off)&lt;=0,0,IF((ABS(B239-$B$17)+lane_off)&gt;=v_sh^2/a_sh,(ABS(B239-$B$17)+lane_off)/v_sh+v_sh/a_sh,2*SQRT((ABS(B239-$B$17)+lane_off)/a_sh))))</f>
        <v/>
      </c>
      <c r="I239" s="34" t="str">
        <f aca="false">IF(C239="","",2*C239+w_conv*$D$12/v_conv)</f>
        <v/>
      </c>
      <c r="J239" s="34" t="str">
        <f aca="false">IF(D239="","",2*D239+w_conv*$D$13/v_conv)</f>
        <v/>
      </c>
      <c r="K239" s="34" t="str">
        <f aca="false">IF(E239="","",2*E239+w_conv*$D$14/v_conv)</f>
        <v/>
      </c>
      <c r="L239" s="34" t="str">
        <f aca="false">IF(F239="","",2*F239+w_conv*$D$15/v_conv)</f>
        <v/>
      </c>
      <c r="M239" s="34" t="str">
        <f aca="false">IF(G239="","",2*G239+w_conv*$D$16/v_conv)</f>
        <v/>
      </c>
      <c r="N239" s="34" t="str">
        <f aca="false">IF(H239="","",2*H239+w_conv*$D$17/v_conv)</f>
        <v/>
      </c>
      <c r="O239" s="34" t="str">
        <f aca="false">IF(A239&gt;NL_b,"",MIN(I239:N239))</f>
        <v/>
      </c>
      <c r="P239" s="34" t="str">
        <f aca="false">IF(O239="","",INDEX(C239:H239,MATCH(O239,I239:N239,0)))</f>
        <v/>
      </c>
      <c r="Q239" s="34" t="str">
        <f aca="false">IF(O239="","",INDEX($D$12:$D$17,MATCH(O239,I239:N239,0)))</f>
        <v/>
      </c>
    </row>
    <row r="240" customFormat="false" ht="15" hidden="false" customHeight="true" outlineLevel="0" collapsed="false">
      <c r="A240" s="54" t="n">
        <v>220</v>
      </c>
      <c r="B240" s="34" t="n">
        <f aca="false">(A240-0.5)*u_w</f>
        <v>219.5</v>
      </c>
      <c r="C240" s="34" t="str">
        <f aca="false">IF(OR(A240&gt;NL_b,$B$12=""),"",IF((ABS(B240-$B$12)+lane_off)&lt;=0,0,IF((ABS(B240-$B$12)+lane_off)&gt;=v_sh^2/a_sh,(ABS(B240-$B$12)+lane_off)/v_sh+v_sh/a_sh,2*SQRT((ABS(B240-$B$12)+lane_off)/a_sh))))</f>
        <v/>
      </c>
      <c r="D240" s="34" t="str">
        <f aca="false">IF(OR(A240&gt;NL_b,$B$13=""),"",IF((ABS(B240-$B$13)+lane_off)&lt;=0,0,IF((ABS(B240-$B$13)+lane_off)&gt;=v_sh^2/a_sh,(ABS(B240-$B$13)+lane_off)/v_sh+v_sh/a_sh,2*SQRT((ABS(B240-$B$13)+lane_off)/a_sh))))</f>
        <v/>
      </c>
      <c r="E240" s="34" t="str">
        <f aca="false">IF(OR(A240&gt;NL_b,$B$14=""),"",IF((ABS(B240-$B$14)+lane_off)&lt;=0,0,IF((ABS(B240-$B$14)+lane_off)&gt;=v_sh^2/a_sh,(ABS(B240-$B$14)+lane_off)/v_sh+v_sh/a_sh,2*SQRT((ABS(B240-$B$14)+lane_off)/a_sh))))</f>
        <v/>
      </c>
      <c r="F240" s="34" t="str">
        <f aca="false">IF(OR(A240&gt;NL_b,$B$15=""),"",IF((ABS(B240-$B$15)+lane_off)&lt;=0,0,IF((ABS(B240-$B$15)+lane_off)&gt;=v_sh^2/a_sh,(ABS(B240-$B$15)+lane_off)/v_sh+v_sh/a_sh,2*SQRT((ABS(B240-$B$15)+lane_off)/a_sh))))</f>
        <v/>
      </c>
      <c r="G240" s="34" t="str">
        <f aca="false">IF(OR(A240&gt;NL_b,$B$16=""),"",IF((ABS(B240-$B$16)+lane_off)&lt;=0,0,IF((ABS(B240-$B$16)+lane_off)&gt;=v_sh^2/a_sh,(ABS(B240-$B$16)+lane_off)/v_sh+v_sh/a_sh,2*SQRT((ABS(B240-$B$16)+lane_off)/a_sh))))</f>
        <v/>
      </c>
      <c r="H240" s="34" t="str">
        <f aca="false">IF(OR(A240&gt;NL_b,$B$17=""),"",IF((ABS(B240-$B$17)+lane_off)&lt;=0,0,IF((ABS(B240-$B$17)+lane_off)&gt;=v_sh^2/a_sh,(ABS(B240-$B$17)+lane_off)/v_sh+v_sh/a_sh,2*SQRT((ABS(B240-$B$17)+lane_off)/a_sh))))</f>
        <v/>
      </c>
      <c r="I240" s="34" t="str">
        <f aca="false">IF(C240="","",2*C240+w_conv*$D$12/v_conv)</f>
        <v/>
      </c>
      <c r="J240" s="34" t="str">
        <f aca="false">IF(D240="","",2*D240+w_conv*$D$13/v_conv)</f>
        <v/>
      </c>
      <c r="K240" s="34" t="str">
        <f aca="false">IF(E240="","",2*E240+w_conv*$D$14/v_conv)</f>
        <v/>
      </c>
      <c r="L240" s="34" t="str">
        <f aca="false">IF(F240="","",2*F240+w_conv*$D$15/v_conv)</f>
        <v/>
      </c>
      <c r="M240" s="34" t="str">
        <f aca="false">IF(G240="","",2*G240+w_conv*$D$16/v_conv)</f>
        <v/>
      </c>
      <c r="N240" s="34" t="str">
        <f aca="false">IF(H240="","",2*H240+w_conv*$D$17/v_conv)</f>
        <v/>
      </c>
      <c r="O240" s="34" t="str">
        <f aca="false">IF(A240&gt;NL_b,"",MIN(I240:N240))</f>
        <v/>
      </c>
      <c r="P240" s="34" t="str">
        <f aca="false">IF(O240="","",INDEX(C240:H240,MATCH(O240,I240:N240,0)))</f>
        <v/>
      </c>
      <c r="Q240" s="34" t="str">
        <f aca="false">IF(O240="","",INDEX($D$12:$D$17,MATCH(O240,I240:N240,0)))</f>
        <v/>
      </c>
    </row>
    <row r="241" customFormat="false" ht="15" hidden="false" customHeight="true" outlineLevel="0" collapsed="false">
      <c r="A241" s="54" t="n">
        <v>221</v>
      </c>
      <c r="B241" s="34" t="n">
        <f aca="false">(A241-0.5)*u_w</f>
        <v>220.5</v>
      </c>
      <c r="C241" s="34" t="str">
        <f aca="false">IF(OR(A241&gt;NL_b,$B$12=""),"",IF((ABS(B241-$B$12)+lane_off)&lt;=0,0,IF((ABS(B241-$B$12)+lane_off)&gt;=v_sh^2/a_sh,(ABS(B241-$B$12)+lane_off)/v_sh+v_sh/a_sh,2*SQRT((ABS(B241-$B$12)+lane_off)/a_sh))))</f>
        <v/>
      </c>
      <c r="D241" s="34" t="str">
        <f aca="false">IF(OR(A241&gt;NL_b,$B$13=""),"",IF((ABS(B241-$B$13)+lane_off)&lt;=0,0,IF((ABS(B241-$B$13)+lane_off)&gt;=v_sh^2/a_sh,(ABS(B241-$B$13)+lane_off)/v_sh+v_sh/a_sh,2*SQRT((ABS(B241-$B$13)+lane_off)/a_sh))))</f>
        <v/>
      </c>
      <c r="E241" s="34" t="str">
        <f aca="false">IF(OR(A241&gt;NL_b,$B$14=""),"",IF((ABS(B241-$B$14)+lane_off)&lt;=0,0,IF((ABS(B241-$B$14)+lane_off)&gt;=v_sh^2/a_sh,(ABS(B241-$B$14)+lane_off)/v_sh+v_sh/a_sh,2*SQRT((ABS(B241-$B$14)+lane_off)/a_sh))))</f>
        <v/>
      </c>
      <c r="F241" s="34" t="str">
        <f aca="false">IF(OR(A241&gt;NL_b,$B$15=""),"",IF((ABS(B241-$B$15)+lane_off)&lt;=0,0,IF((ABS(B241-$B$15)+lane_off)&gt;=v_sh^2/a_sh,(ABS(B241-$B$15)+lane_off)/v_sh+v_sh/a_sh,2*SQRT((ABS(B241-$B$15)+lane_off)/a_sh))))</f>
        <v/>
      </c>
      <c r="G241" s="34" t="str">
        <f aca="false">IF(OR(A241&gt;NL_b,$B$16=""),"",IF((ABS(B241-$B$16)+lane_off)&lt;=0,0,IF((ABS(B241-$B$16)+lane_off)&gt;=v_sh^2/a_sh,(ABS(B241-$B$16)+lane_off)/v_sh+v_sh/a_sh,2*SQRT((ABS(B241-$B$16)+lane_off)/a_sh))))</f>
        <v/>
      </c>
      <c r="H241" s="34" t="str">
        <f aca="false">IF(OR(A241&gt;NL_b,$B$17=""),"",IF((ABS(B241-$B$17)+lane_off)&lt;=0,0,IF((ABS(B241-$B$17)+lane_off)&gt;=v_sh^2/a_sh,(ABS(B241-$B$17)+lane_off)/v_sh+v_sh/a_sh,2*SQRT((ABS(B241-$B$17)+lane_off)/a_sh))))</f>
        <v/>
      </c>
      <c r="I241" s="34" t="str">
        <f aca="false">IF(C241="","",2*C241+w_conv*$D$12/v_conv)</f>
        <v/>
      </c>
      <c r="J241" s="34" t="str">
        <f aca="false">IF(D241="","",2*D241+w_conv*$D$13/v_conv)</f>
        <v/>
      </c>
      <c r="K241" s="34" t="str">
        <f aca="false">IF(E241="","",2*E241+w_conv*$D$14/v_conv)</f>
        <v/>
      </c>
      <c r="L241" s="34" t="str">
        <f aca="false">IF(F241="","",2*F241+w_conv*$D$15/v_conv)</f>
        <v/>
      </c>
      <c r="M241" s="34" t="str">
        <f aca="false">IF(G241="","",2*G241+w_conv*$D$16/v_conv)</f>
        <v/>
      </c>
      <c r="N241" s="34" t="str">
        <f aca="false">IF(H241="","",2*H241+w_conv*$D$17/v_conv)</f>
        <v/>
      </c>
      <c r="O241" s="34" t="str">
        <f aca="false">IF(A241&gt;NL_b,"",MIN(I241:N241))</f>
        <v/>
      </c>
      <c r="P241" s="34" t="str">
        <f aca="false">IF(O241="","",INDEX(C241:H241,MATCH(O241,I241:N241,0)))</f>
        <v/>
      </c>
      <c r="Q241" s="34" t="str">
        <f aca="false">IF(O241="","",INDEX($D$12:$D$17,MATCH(O241,I241:N241,0)))</f>
        <v/>
      </c>
    </row>
    <row r="242" customFormat="false" ht="15" hidden="false" customHeight="true" outlineLevel="0" collapsed="false">
      <c r="A242" s="54" t="n">
        <v>222</v>
      </c>
      <c r="B242" s="34" t="n">
        <f aca="false">(A242-0.5)*u_w</f>
        <v>221.5</v>
      </c>
      <c r="C242" s="34" t="str">
        <f aca="false">IF(OR(A242&gt;NL_b,$B$12=""),"",IF((ABS(B242-$B$12)+lane_off)&lt;=0,0,IF((ABS(B242-$B$12)+lane_off)&gt;=v_sh^2/a_sh,(ABS(B242-$B$12)+lane_off)/v_sh+v_sh/a_sh,2*SQRT((ABS(B242-$B$12)+lane_off)/a_sh))))</f>
        <v/>
      </c>
      <c r="D242" s="34" t="str">
        <f aca="false">IF(OR(A242&gt;NL_b,$B$13=""),"",IF((ABS(B242-$B$13)+lane_off)&lt;=0,0,IF((ABS(B242-$B$13)+lane_off)&gt;=v_sh^2/a_sh,(ABS(B242-$B$13)+lane_off)/v_sh+v_sh/a_sh,2*SQRT((ABS(B242-$B$13)+lane_off)/a_sh))))</f>
        <v/>
      </c>
      <c r="E242" s="34" t="str">
        <f aca="false">IF(OR(A242&gt;NL_b,$B$14=""),"",IF((ABS(B242-$B$14)+lane_off)&lt;=0,0,IF((ABS(B242-$B$14)+lane_off)&gt;=v_sh^2/a_sh,(ABS(B242-$B$14)+lane_off)/v_sh+v_sh/a_sh,2*SQRT((ABS(B242-$B$14)+lane_off)/a_sh))))</f>
        <v/>
      </c>
      <c r="F242" s="34" t="str">
        <f aca="false">IF(OR(A242&gt;NL_b,$B$15=""),"",IF((ABS(B242-$B$15)+lane_off)&lt;=0,0,IF((ABS(B242-$B$15)+lane_off)&gt;=v_sh^2/a_sh,(ABS(B242-$B$15)+lane_off)/v_sh+v_sh/a_sh,2*SQRT((ABS(B242-$B$15)+lane_off)/a_sh))))</f>
        <v/>
      </c>
      <c r="G242" s="34" t="str">
        <f aca="false">IF(OR(A242&gt;NL_b,$B$16=""),"",IF((ABS(B242-$B$16)+lane_off)&lt;=0,0,IF((ABS(B242-$B$16)+lane_off)&gt;=v_sh^2/a_sh,(ABS(B242-$B$16)+lane_off)/v_sh+v_sh/a_sh,2*SQRT((ABS(B242-$B$16)+lane_off)/a_sh))))</f>
        <v/>
      </c>
      <c r="H242" s="34" t="str">
        <f aca="false">IF(OR(A242&gt;NL_b,$B$17=""),"",IF((ABS(B242-$B$17)+lane_off)&lt;=0,0,IF((ABS(B242-$B$17)+lane_off)&gt;=v_sh^2/a_sh,(ABS(B242-$B$17)+lane_off)/v_sh+v_sh/a_sh,2*SQRT((ABS(B242-$B$17)+lane_off)/a_sh))))</f>
        <v/>
      </c>
      <c r="I242" s="34" t="str">
        <f aca="false">IF(C242="","",2*C242+w_conv*$D$12/v_conv)</f>
        <v/>
      </c>
      <c r="J242" s="34" t="str">
        <f aca="false">IF(D242="","",2*D242+w_conv*$D$13/v_conv)</f>
        <v/>
      </c>
      <c r="K242" s="34" t="str">
        <f aca="false">IF(E242="","",2*E242+w_conv*$D$14/v_conv)</f>
        <v/>
      </c>
      <c r="L242" s="34" t="str">
        <f aca="false">IF(F242="","",2*F242+w_conv*$D$15/v_conv)</f>
        <v/>
      </c>
      <c r="M242" s="34" t="str">
        <f aca="false">IF(G242="","",2*G242+w_conv*$D$16/v_conv)</f>
        <v/>
      </c>
      <c r="N242" s="34" t="str">
        <f aca="false">IF(H242="","",2*H242+w_conv*$D$17/v_conv)</f>
        <v/>
      </c>
      <c r="O242" s="34" t="str">
        <f aca="false">IF(A242&gt;NL_b,"",MIN(I242:N242))</f>
        <v/>
      </c>
      <c r="P242" s="34" t="str">
        <f aca="false">IF(O242="","",INDEX(C242:H242,MATCH(O242,I242:N242,0)))</f>
        <v/>
      </c>
      <c r="Q242" s="34" t="str">
        <f aca="false">IF(O242="","",INDEX($D$12:$D$17,MATCH(O242,I242:N242,0)))</f>
        <v/>
      </c>
    </row>
    <row r="243" customFormat="false" ht="15" hidden="false" customHeight="true" outlineLevel="0" collapsed="false">
      <c r="A243" s="54" t="n">
        <v>223</v>
      </c>
      <c r="B243" s="34" t="n">
        <f aca="false">(A243-0.5)*u_w</f>
        <v>222.5</v>
      </c>
      <c r="C243" s="34" t="str">
        <f aca="false">IF(OR(A243&gt;NL_b,$B$12=""),"",IF((ABS(B243-$B$12)+lane_off)&lt;=0,0,IF((ABS(B243-$B$12)+lane_off)&gt;=v_sh^2/a_sh,(ABS(B243-$B$12)+lane_off)/v_sh+v_sh/a_sh,2*SQRT((ABS(B243-$B$12)+lane_off)/a_sh))))</f>
        <v/>
      </c>
      <c r="D243" s="34" t="str">
        <f aca="false">IF(OR(A243&gt;NL_b,$B$13=""),"",IF((ABS(B243-$B$13)+lane_off)&lt;=0,0,IF((ABS(B243-$B$13)+lane_off)&gt;=v_sh^2/a_sh,(ABS(B243-$B$13)+lane_off)/v_sh+v_sh/a_sh,2*SQRT((ABS(B243-$B$13)+lane_off)/a_sh))))</f>
        <v/>
      </c>
      <c r="E243" s="34" t="str">
        <f aca="false">IF(OR(A243&gt;NL_b,$B$14=""),"",IF((ABS(B243-$B$14)+lane_off)&lt;=0,0,IF((ABS(B243-$B$14)+lane_off)&gt;=v_sh^2/a_sh,(ABS(B243-$B$14)+lane_off)/v_sh+v_sh/a_sh,2*SQRT((ABS(B243-$B$14)+lane_off)/a_sh))))</f>
        <v/>
      </c>
      <c r="F243" s="34" t="str">
        <f aca="false">IF(OR(A243&gt;NL_b,$B$15=""),"",IF((ABS(B243-$B$15)+lane_off)&lt;=0,0,IF((ABS(B243-$B$15)+lane_off)&gt;=v_sh^2/a_sh,(ABS(B243-$B$15)+lane_off)/v_sh+v_sh/a_sh,2*SQRT((ABS(B243-$B$15)+lane_off)/a_sh))))</f>
        <v/>
      </c>
      <c r="G243" s="34" t="str">
        <f aca="false">IF(OR(A243&gt;NL_b,$B$16=""),"",IF((ABS(B243-$B$16)+lane_off)&lt;=0,0,IF((ABS(B243-$B$16)+lane_off)&gt;=v_sh^2/a_sh,(ABS(B243-$B$16)+lane_off)/v_sh+v_sh/a_sh,2*SQRT((ABS(B243-$B$16)+lane_off)/a_sh))))</f>
        <v/>
      </c>
      <c r="H243" s="34" t="str">
        <f aca="false">IF(OR(A243&gt;NL_b,$B$17=""),"",IF((ABS(B243-$B$17)+lane_off)&lt;=0,0,IF((ABS(B243-$B$17)+lane_off)&gt;=v_sh^2/a_sh,(ABS(B243-$B$17)+lane_off)/v_sh+v_sh/a_sh,2*SQRT((ABS(B243-$B$17)+lane_off)/a_sh))))</f>
        <v/>
      </c>
      <c r="I243" s="34" t="str">
        <f aca="false">IF(C243="","",2*C243+w_conv*$D$12/v_conv)</f>
        <v/>
      </c>
      <c r="J243" s="34" t="str">
        <f aca="false">IF(D243="","",2*D243+w_conv*$D$13/v_conv)</f>
        <v/>
      </c>
      <c r="K243" s="34" t="str">
        <f aca="false">IF(E243="","",2*E243+w_conv*$D$14/v_conv)</f>
        <v/>
      </c>
      <c r="L243" s="34" t="str">
        <f aca="false">IF(F243="","",2*F243+w_conv*$D$15/v_conv)</f>
        <v/>
      </c>
      <c r="M243" s="34" t="str">
        <f aca="false">IF(G243="","",2*G243+w_conv*$D$16/v_conv)</f>
        <v/>
      </c>
      <c r="N243" s="34" t="str">
        <f aca="false">IF(H243="","",2*H243+w_conv*$D$17/v_conv)</f>
        <v/>
      </c>
      <c r="O243" s="34" t="str">
        <f aca="false">IF(A243&gt;NL_b,"",MIN(I243:N243))</f>
        <v/>
      </c>
      <c r="P243" s="34" t="str">
        <f aca="false">IF(O243="","",INDEX(C243:H243,MATCH(O243,I243:N243,0)))</f>
        <v/>
      </c>
      <c r="Q243" s="34" t="str">
        <f aca="false">IF(O243="","",INDEX($D$12:$D$17,MATCH(O243,I243:N243,0)))</f>
        <v/>
      </c>
    </row>
    <row r="244" customFormat="false" ht="15" hidden="false" customHeight="true" outlineLevel="0" collapsed="false">
      <c r="A244" s="54" t="n">
        <v>224</v>
      </c>
      <c r="B244" s="34" t="n">
        <f aca="false">(A244-0.5)*u_w</f>
        <v>223.5</v>
      </c>
      <c r="C244" s="34" t="str">
        <f aca="false">IF(OR(A244&gt;NL_b,$B$12=""),"",IF((ABS(B244-$B$12)+lane_off)&lt;=0,0,IF((ABS(B244-$B$12)+lane_off)&gt;=v_sh^2/a_sh,(ABS(B244-$B$12)+lane_off)/v_sh+v_sh/a_sh,2*SQRT((ABS(B244-$B$12)+lane_off)/a_sh))))</f>
        <v/>
      </c>
      <c r="D244" s="34" t="str">
        <f aca="false">IF(OR(A244&gt;NL_b,$B$13=""),"",IF((ABS(B244-$B$13)+lane_off)&lt;=0,0,IF((ABS(B244-$B$13)+lane_off)&gt;=v_sh^2/a_sh,(ABS(B244-$B$13)+lane_off)/v_sh+v_sh/a_sh,2*SQRT((ABS(B244-$B$13)+lane_off)/a_sh))))</f>
        <v/>
      </c>
      <c r="E244" s="34" t="str">
        <f aca="false">IF(OR(A244&gt;NL_b,$B$14=""),"",IF((ABS(B244-$B$14)+lane_off)&lt;=0,0,IF((ABS(B244-$B$14)+lane_off)&gt;=v_sh^2/a_sh,(ABS(B244-$B$14)+lane_off)/v_sh+v_sh/a_sh,2*SQRT((ABS(B244-$B$14)+lane_off)/a_sh))))</f>
        <v/>
      </c>
      <c r="F244" s="34" t="str">
        <f aca="false">IF(OR(A244&gt;NL_b,$B$15=""),"",IF((ABS(B244-$B$15)+lane_off)&lt;=0,0,IF((ABS(B244-$B$15)+lane_off)&gt;=v_sh^2/a_sh,(ABS(B244-$B$15)+lane_off)/v_sh+v_sh/a_sh,2*SQRT((ABS(B244-$B$15)+lane_off)/a_sh))))</f>
        <v/>
      </c>
      <c r="G244" s="34" t="str">
        <f aca="false">IF(OR(A244&gt;NL_b,$B$16=""),"",IF((ABS(B244-$B$16)+lane_off)&lt;=0,0,IF((ABS(B244-$B$16)+lane_off)&gt;=v_sh^2/a_sh,(ABS(B244-$B$16)+lane_off)/v_sh+v_sh/a_sh,2*SQRT((ABS(B244-$B$16)+lane_off)/a_sh))))</f>
        <v/>
      </c>
      <c r="H244" s="34" t="str">
        <f aca="false">IF(OR(A244&gt;NL_b,$B$17=""),"",IF((ABS(B244-$B$17)+lane_off)&lt;=0,0,IF((ABS(B244-$B$17)+lane_off)&gt;=v_sh^2/a_sh,(ABS(B244-$B$17)+lane_off)/v_sh+v_sh/a_sh,2*SQRT((ABS(B244-$B$17)+lane_off)/a_sh))))</f>
        <v/>
      </c>
      <c r="I244" s="34" t="str">
        <f aca="false">IF(C244="","",2*C244+w_conv*$D$12/v_conv)</f>
        <v/>
      </c>
      <c r="J244" s="34" t="str">
        <f aca="false">IF(D244="","",2*D244+w_conv*$D$13/v_conv)</f>
        <v/>
      </c>
      <c r="K244" s="34" t="str">
        <f aca="false">IF(E244="","",2*E244+w_conv*$D$14/v_conv)</f>
        <v/>
      </c>
      <c r="L244" s="34" t="str">
        <f aca="false">IF(F244="","",2*F244+w_conv*$D$15/v_conv)</f>
        <v/>
      </c>
      <c r="M244" s="34" t="str">
        <f aca="false">IF(G244="","",2*G244+w_conv*$D$16/v_conv)</f>
        <v/>
      </c>
      <c r="N244" s="34" t="str">
        <f aca="false">IF(H244="","",2*H244+w_conv*$D$17/v_conv)</f>
        <v/>
      </c>
      <c r="O244" s="34" t="str">
        <f aca="false">IF(A244&gt;NL_b,"",MIN(I244:N244))</f>
        <v/>
      </c>
      <c r="P244" s="34" t="str">
        <f aca="false">IF(O244="","",INDEX(C244:H244,MATCH(O244,I244:N244,0)))</f>
        <v/>
      </c>
      <c r="Q244" s="34" t="str">
        <f aca="false">IF(O244="","",INDEX($D$12:$D$17,MATCH(O244,I244:N244,0)))</f>
        <v/>
      </c>
    </row>
    <row r="245" customFormat="false" ht="15" hidden="false" customHeight="true" outlineLevel="0" collapsed="false">
      <c r="A245" s="54" t="n">
        <v>225</v>
      </c>
      <c r="B245" s="34" t="n">
        <f aca="false">(A245-0.5)*u_w</f>
        <v>224.5</v>
      </c>
      <c r="C245" s="34" t="str">
        <f aca="false">IF(OR(A245&gt;NL_b,$B$12=""),"",IF((ABS(B245-$B$12)+lane_off)&lt;=0,0,IF((ABS(B245-$B$12)+lane_off)&gt;=v_sh^2/a_sh,(ABS(B245-$B$12)+lane_off)/v_sh+v_sh/a_sh,2*SQRT((ABS(B245-$B$12)+lane_off)/a_sh))))</f>
        <v/>
      </c>
      <c r="D245" s="34" t="str">
        <f aca="false">IF(OR(A245&gt;NL_b,$B$13=""),"",IF((ABS(B245-$B$13)+lane_off)&lt;=0,0,IF((ABS(B245-$B$13)+lane_off)&gt;=v_sh^2/a_sh,(ABS(B245-$B$13)+lane_off)/v_sh+v_sh/a_sh,2*SQRT((ABS(B245-$B$13)+lane_off)/a_sh))))</f>
        <v/>
      </c>
      <c r="E245" s="34" t="str">
        <f aca="false">IF(OR(A245&gt;NL_b,$B$14=""),"",IF((ABS(B245-$B$14)+lane_off)&lt;=0,0,IF((ABS(B245-$B$14)+lane_off)&gt;=v_sh^2/a_sh,(ABS(B245-$B$14)+lane_off)/v_sh+v_sh/a_sh,2*SQRT((ABS(B245-$B$14)+lane_off)/a_sh))))</f>
        <v/>
      </c>
      <c r="F245" s="34" t="str">
        <f aca="false">IF(OR(A245&gt;NL_b,$B$15=""),"",IF((ABS(B245-$B$15)+lane_off)&lt;=0,0,IF((ABS(B245-$B$15)+lane_off)&gt;=v_sh^2/a_sh,(ABS(B245-$B$15)+lane_off)/v_sh+v_sh/a_sh,2*SQRT((ABS(B245-$B$15)+lane_off)/a_sh))))</f>
        <v/>
      </c>
      <c r="G245" s="34" t="str">
        <f aca="false">IF(OR(A245&gt;NL_b,$B$16=""),"",IF((ABS(B245-$B$16)+lane_off)&lt;=0,0,IF((ABS(B245-$B$16)+lane_off)&gt;=v_sh^2/a_sh,(ABS(B245-$B$16)+lane_off)/v_sh+v_sh/a_sh,2*SQRT((ABS(B245-$B$16)+lane_off)/a_sh))))</f>
        <v/>
      </c>
      <c r="H245" s="34" t="str">
        <f aca="false">IF(OR(A245&gt;NL_b,$B$17=""),"",IF((ABS(B245-$B$17)+lane_off)&lt;=0,0,IF((ABS(B245-$B$17)+lane_off)&gt;=v_sh^2/a_sh,(ABS(B245-$B$17)+lane_off)/v_sh+v_sh/a_sh,2*SQRT((ABS(B245-$B$17)+lane_off)/a_sh))))</f>
        <v/>
      </c>
      <c r="I245" s="34" t="str">
        <f aca="false">IF(C245="","",2*C245+w_conv*$D$12/v_conv)</f>
        <v/>
      </c>
      <c r="J245" s="34" t="str">
        <f aca="false">IF(D245="","",2*D245+w_conv*$D$13/v_conv)</f>
        <v/>
      </c>
      <c r="K245" s="34" t="str">
        <f aca="false">IF(E245="","",2*E245+w_conv*$D$14/v_conv)</f>
        <v/>
      </c>
      <c r="L245" s="34" t="str">
        <f aca="false">IF(F245="","",2*F245+w_conv*$D$15/v_conv)</f>
        <v/>
      </c>
      <c r="M245" s="34" t="str">
        <f aca="false">IF(G245="","",2*G245+w_conv*$D$16/v_conv)</f>
        <v/>
      </c>
      <c r="N245" s="34" t="str">
        <f aca="false">IF(H245="","",2*H245+w_conv*$D$17/v_conv)</f>
        <v/>
      </c>
      <c r="O245" s="34" t="str">
        <f aca="false">IF(A245&gt;NL_b,"",MIN(I245:N245))</f>
        <v/>
      </c>
      <c r="P245" s="34" t="str">
        <f aca="false">IF(O245="","",INDEX(C245:H245,MATCH(O245,I245:N245,0)))</f>
        <v/>
      </c>
      <c r="Q245" s="34" t="str">
        <f aca="false">IF(O245="","",INDEX($D$12:$D$17,MATCH(O245,I245:N245,0)))</f>
        <v/>
      </c>
    </row>
    <row r="246" customFormat="false" ht="15" hidden="false" customHeight="true" outlineLevel="0" collapsed="false">
      <c r="A246" s="54" t="n">
        <v>226</v>
      </c>
      <c r="B246" s="34" t="n">
        <f aca="false">(A246-0.5)*u_w</f>
        <v>225.5</v>
      </c>
      <c r="C246" s="34" t="str">
        <f aca="false">IF(OR(A246&gt;NL_b,$B$12=""),"",IF((ABS(B246-$B$12)+lane_off)&lt;=0,0,IF((ABS(B246-$B$12)+lane_off)&gt;=v_sh^2/a_sh,(ABS(B246-$B$12)+lane_off)/v_sh+v_sh/a_sh,2*SQRT((ABS(B246-$B$12)+lane_off)/a_sh))))</f>
        <v/>
      </c>
      <c r="D246" s="34" t="str">
        <f aca="false">IF(OR(A246&gt;NL_b,$B$13=""),"",IF((ABS(B246-$B$13)+lane_off)&lt;=0,0,IF((ABS(B246-$B$13)+lane_off)&gt;=v_sh^2/a_sh,(ABS(B246-$B$13)+lane_off)/v_sh+v_sh/a_sh,2*SQRT((ABS(B246-$B$13)+lane_off)/a_sh))))</f>
        <v/>
      </c>
      <c r="E246" s="34" t="str">
        <f aca="false">IF(OR(A246&gt;NL_b,$B$14=""),"",IF((ABS(B246-$B$14)+lane_off)&lt;=0,0,IF((ABS(B246-$B$14)+lane_off)&gt;=v_sh^2/a_sh,(ABS(B246-$B$14)+lane_off)/v_sh+v_sh/a_sh,2*SQRT((ABS(B246-$B$14)+lane_off)/a_sh))))</f>
        <v/>
      </c>
      <c r="F246" s="34" t="str">
        <f aca="false">IF(OR(A246&gt;NL_b,$B$15=""),"",IF((ABS(B246-$B$15)+lane_off)&lt;=0,0,IF((ABS(B246-$B$15)+lane_off)&gt;=v_sh^2/a_sh,(ABS(B246-$B$15)+lane_off)/v_sh+v_sh/a_sh,2*SQRT((ABS(B246-$B$15)+lane_off)/a_sh))))</f>
        <v/>
      </c>
      <c r="G246" s="34" t="str">
        <f aca="false">IF(OR(A246&gt;NL_b,$B$16=""),"",IF((ABS(B246-$B$16)+lane_off)&lt;=0,0,IF((ABS(B246-$B$16)+lane_off)&gt;=v_sh^2/a_sh,(ABS(B246-$B$16)+lane_off)/v_sh+v_sh/a_sh,2*SQRT((ABS(B246-$B$16)+lane_off)/a_sh))))</f>
        <v/>
      </c>
      <c r="H246" s="34" t="str">
        <f aca="false">IF(OR(A246&gt;NL_b,$B$17=""),"",IF((ABS(B246-$B$17)+lane_off)&lt;=0,0,IF((ABS(B246-$B$17)+lane_off)&gt;=v_sh^2/a_sh,(ABS(B246-$B$17)+lane_off)/v_sh+v_sh/a_sh,2*SQRT((ABS(B246-$B$17)+lane_off)/a_sh))))</f>
        <v/>
      </c>
      <c r="I246" s="34" t="str">
        <f aca="false">IF(C246="","",2*C246+w_conv*$D$12/v_conv)</f>
        <v/>
      </c>
      <c r="J246" s="34" t="str">
        <f aca="false">IF(D246="","",2*D246+w_conv*$D$13/v_conv)</f>
        <v/>
      </c>
      <c r="K246" s="34" t="str">
        <f aca="false">IF(E246="","",2*E246+w_conv*$D$14/v_conv)</f>
        <v/>
      </c>
      <c r="L246" s="34" t="str">
        <f aca="false">IF(F246="","",2*F246+w_conv*$D$15/v_conv)</f>
        <v/>
      </c>
      <c r="M246" s="34" t="str">
        <f aca="false">IF(G246="","",2*G246+w_conv*$D$16/v_conv)</f>
        <v/>
      </c>
      <c r="N246" s="34" t="str">
        <f aca="false">IF(H246="","",2*H246+w_conv*$D$17/v_conv)</f>
        <v/>
      </c>
      <c r="O246" s="34" t="str">
        <f aca="false">IF(A246&gt;NL_b,"",MIN(I246:N246))</f>
        <v/>
      </c>
      <c r="P246" s="34" t="str">
        <f aca="false">IF(O246="","",INDEX(C246:H246,MATCH(O246,I246:N246,0)))</f>
        <v/>
      </c>
      <c r="Q246" s="34" t="str">
        <f aca="false">IF(O246="","",INDEX($D$12:$D$17,MATCH(O246,I246:N246,0)))</f>
        <v/>
      </c>
    </row>
    <row r="247" customFormat="false" ht="15" hidden="false" customHeight="true" outlineLevel="0" collapsed="false">
      <c r="A247" s="54" t="n">
        <v>227</v>
      </c>
      <c r="B247" s="34" t="n">
        <f aca="false">(A247-0.5)*u_w</f>
        <v>226.5</v>
      </c>
      <c r="C247" s="34" t="str">
        <f aca="false">IF(OR(A247&gt;NL_b,$B$12=""),"",IF((ABS(B247-$B$12)+lane_off)&lt;=0,0,IF((ABS(B247-$B$12)+lane_off)&gt;=v_sh^2/a_sh,(ABS(B247-$B$12)+lane_off)/v_sh+v_sh/a_sh,2*SQRT((ABS(B247-$B$12)+lane_off)/a_sh))))</f>
        <v/>
      </c>
      <c r="D247" s="34" t="str">
        <f aca="false">IF(OR(A247&gt;NL_b,$B$13=""),"",IF((ABS(B247-$B$13)+lane_off)&lt;=0,0,IF((ABS(B247-$B$13)+lane_off)&gt;=v_sh^2/a_sh,(ABS(B247-$B$13)+lane_off)/v_sh+v_sh/a_sh,2*SQRT((ABS(B247-$B$13)+lane_off)/a_sh))))</f>
        <v/>
      </c>
      <c r="E247" s="34" t="str">
        <f aca="false">IF(OR(A247&gt;NL_b,$B$14=""),"",IF((ABS(B247-$B$14)+lane_off)&lt;=0,0,IF((ABS(B247-$B$14)+lane_off)&gt;=v_sh^2/a_sh,(ABS(B247-$B$14)+lane_off)/v_sh+v_sh/a_sh,2*SQRT((ABS(B247-$B$14)+lane_off)/a_sh))))</f>
        <v/>
      </c>
      <c r="F247" s="34" t="str">
        <f aca="false">IF(OR(A247&gt;NL_b,$B$15=""),"",IF((ABS(B247-$B$15)+lane_off)&lt;=0,0,IF((ABS(B247-$B$15)+lane_off)&gt;=v_sh^2/a_sh,(ABS(B247-$B$15)+lane_off)/v_sh+v_sh/a_sh,2*SQRT((ABS(B247-$B$15)+lane_off)/a_sh))))</f>
        <v/>
      </c>
      <c r="G247" s="34" t="str">
        <f aca="false">IF(OR(A247&gt;NL_b,$B$16=""),"",IF((ABS(B247-$B$16)+lane_off)&lt;=0,0,IF((ABS(B247-$B$16)+lane_off)&gt;=v_sh^2/a_sh,(ABS(B247-$B$16)+lane_off)/v_sh+v_sh/a_sh,2*SQRT((ABS(B247-$B$16)+lane_off)/a_sh))))</f>
        <v/>
      </c>
      <c r="H247" s="34" t="str">
        <f aca="false">IF(OR(A247&gt;NL_b,$B$17=""),"",IF((ABS(B247-$B$17)+lane_off)&lt;=0,0,IF((ABS(B247-$B$17)+lane_off)&gt;=v_sh^2/a_sh,(ABS(B247-$B$17)+lane_off)/v_sh+v_sh/a_sh,2*SQRT((ABS(B247-$B$17)+lane_off)/a_sh))))</f>
        <v/>
      </c>
      <c r="I247" s="34" t="str">
        <f aca="false">IF(C247="","",2*C247+w_conv*$D$12/v_conv)</f>
        <v/>
      </c>
      <c r="J247" s="34" t="str">
        <f aca="false">IF(D247="","",2*D247+w_conv*$D$13/v_conv)</f>
        <v/>
      </c>
      <c r="K247" s="34" t="str">
        <f aca="false">IF(E247="","",2*E247+w_conv*$D$14/v_conv)</f>
        <v/>
      </c>
      <c r="L247" s="34" t="str">
        <f aca="false">IF(F247="","",2*F247+w_conv*$D$15/v_conv)</f>
        <v/>
      </c>
      <c r="M247" s="34" t="str">
        <f aca="false">IF(G247="","",2*G247+w_conv*$D$16/v_conv)</f>
        <v/>
      </c>
      <c r="N247" s="34" t="str">
        <f aca="false">IF(H247="","",2*H247+w_conv*$D$17/v_conv)</f>
        <v/>
      </c>
      <c r="O247" s="34" t="str">
        <f aca="false">IF(A247&gt;NL_b,"",MIN(I247:N247))</f>
        <v/>
      </c>
      <c r="P247" s="34" t="str">
        <f aca="false">IF(O247="","",INDEX(C247:H247,MATCH(O247,I247:N247,0)))</f>
        <v/>
      </c>
      <c r="Q247" s="34" t="str">
        <f aca="false">IF(O247="","",INDEX($D$12:$D$17,MATCH(O247,I247:N247,0)))</f>
        <v/>
      </c>
    </row>
    <row r="248" customFormat="false" ht="15" hidden="false" customHeight="true" outlineLevel="0" collapsed="false">
      <c r="A248" s="54" t="n">
        <v>228</v>
      </c>
      <c r="B248" s="34" t="n">
        <f aca="false">(A248-0.5)*u_w</f>
        <v>227.5</v>
      </c>
      <c r="C248" s="34" t="str">
        <f aca="false">IF(OR(A248&gt;NL_b,$B$12=""),"",IF((ABS(B248-$B$12)+lane_off)&lt;=0,0,IF((ABS(B248-$B$12)+lane_off)&gt;=v_sh^2/a_sh,(ABS(B248-$B$12)+lane_off)/v_sh+v_sh/a_sh,2*SQRT((ABS(B248-$B$12)+lane_off)/a_sh))))</f>
        <v/>
      </c>
      <c r="D248" s="34" t="str">
        <f aca="false">IF(OR(A248&gt;NL_b,$B$13=""),"",IF((ABS(B248-$B$13)+lane_off)&lt;=0,0,IF((ABS(B248-$B$13)+lane_off)&gt;=v_sh^2/a_sh,(ABS(B248-$B$13)+lane_off)/v_sh+v_sh/a_sh,2*SQRT((ABS(B248-$B$13)+lane_off)/a_sh))))</f>
        <v/>
      </c>
      <c r="E248" s="34" t="str">
        <f aca="false">IF(OR(A248&gt;NL_b,$B$14=""),"",IF((ABS(B248-$B$14)+lane_off)&lt;=0,0,IF((ABS(B248-$B$14)+lane_off)&gt;=v_sh^2/a_sh,(ABS(B248-$B$14)+lane_off)/v_sh+v_sh/a_sh,2*SQRT((ABS(B248-$B$14)+lane_off)/a_sh))))</f>
        <v/>
      </c>
      <c r="F248" s="34" t="str">
        <f aca="false">IF(OR(A248&gt;NL_b,$B$15=""),"",IF((ABS(B248-$B$15)+lane_off)&lt;=0,0,IF((ABS(B248-$B$15)+lane_off)&gt;=v_sh^2/a_sh,(ABS(B248-$B$15)+lane_off)/v_sh+v_sh/a_sh,2*SQRT((ABS(B248-$B$15)+lane_off)/a_sh))))</f>
        <v/>
      </c>
      <c r="G248" s="34" t="str">
        <f aca="false">IF(OR(A248&gt;NL_b,$B$16=""),"",IF((ABS(B248-$B$16)+lane_off)&lt;=0,0,IF((ABS(B248-$B$16)+lane_off)&gt;=v_sh^2/a_sh,(ABS(B248-$B$16)+lane_off)/v_sh+v_sh/a_sh,2*SQRT((ABS(B248-$B$16)+lane_off)/a_sh))))</f>
        <v/>
      </c>
      <c r="H248" s="34" t="str">
        <f aca="false">IF(OR(A248&gt;NL_b,$B$17=""),"",IF((ABS(B248-$B$17)+lane_off)&lt;=0,0,IF((ABS(B248-$B$17)+lane_off)&gt;=v_sh^2/a_sh,(ABS(B248-$B$17)+lane_off)/v_sh+v_sh/a_sh,2*SQRT((ABS(B248-$B$17)+lane_off)/a_sh))))</f>
        <v/>
      </c>
      <c r="I248" s="34" t="str">
        <f aca="false">IF(C248="","",2*C248+w_conv*$D$12/v_conv)</f>
        <v/>
      </c>
      <c r="J248" s="34" t="str">
        <f aca="false">IF(D248="","",2*D248+w_conv*$D$13/v_conv)</f>
        <v/>
      </c>
      <c r="K248" s="34" t="str">
        <f aca="false">IF(E248="","",2*E248+w_conv*$D$14/v_conv)</f>
        <v/>
      </c>
      <c r="L248" s="34" t="str">
        <f aca="false">IF(F248="","",2*F248+w_conv*$D$15/v_conv)</f>
        <v/>
      </c>
      <c r="M248" s="34" t="str">
        <f aca="false">IF(G248="","",2*G248+w_conv*$D$16/v_conv)</f>
        <v/>
      </c>
      <c r="N248" s="34" t="str">
        <f aca="false">IF(H248="","",2*H248+w_conv*$D$17/v_conv)</f>
        <v/>
      </c>
      <c r="O248" s="34" t="str">
        <f aca="false">IF(A248&gt;NL_b,"",MIN(I248:N248))</f>
        <v/>
      </c>
      <c r="P248" s="34" t="str">
        <f aca="false">IF(O248="","",INDEX(C248:H248,MATCH(O248,I248:N248,0)))</f>
        <v/>
      </c>
      <c r="Q248" s="34" t="str">
        <f aca="false">IF(O248="","",INDEX($D$12:$D$17,MATCH(O248,I248:N248,0)))</f>
        <v/>
      </c>
    </row>
    <row r="249" customFormat="false" ht="15" hidden="false" customHeight="true" outlineLevel="0" collapsed="false">
      <c r="A249" s="54" t="n">
        <v>229</v>
      </c>
      <c r="B249" s="34" t="n">
        <f aca="false">(A249-0.5)*u_w</f>
        <v>228.5</v>
      </c>
      <c r="C249" s="34" t="str">
        <f aca="false">IF(OR(A249&gt;NL_b,$B$12=""),"",IF((ABS(B249-$B$12)+lane_off)&lt;=0,0,IF((ABS(B249-$B$12)+lane_off)&gt;=v_sh^2/a_sh,(ABS(B249-$B$12)+lane_off)/v_sh+v_sh/a_sh,2*SQRT((ABS(B249-$B$12)+lane_off)/a_sh))))</f>
        <v/>
      </c>
      <c r="D249" s="34" t="str">
        <f aca="false">IF(OR(A249&gt;NL_b,$B$13=""),"",IF((ABS(B249-$B$13)+lane_off)&lt;=0,0,IF((ABS(B249-$B$13)+lane_off)&gt;=v_sh^2/a_sh,(ABS(B249-$B$13)+lane_off)/v_sh+v_sh/a_sh,2*SQRT((ABS(B249-$B$13)+lane_off)/a_sh))))</f>
        <v/>
      </c>
      <c r="E249" s="34" t="str">
        <f aca="false">IF(OR(A249&gt;NL_b,$B$14=""),"",IF((ABS(B249-$B$14)+lane_off)&lt;=0,0,IF((ABS(B249-$B$14)+lane_off)&gt;=v_sh^2/a_sh,(ABS(B249-$B$14)+lane_off)/v_sh+v_sh/a_sh,2*SQRT((ABS(B249-$B$14)+lane_off)/a_sh))))</f>
        <v/>
      </c>
      <c r="F249" s="34" t="str">
        <f aca="false">IF(OR(A249&gt;NL_b,$B$15=""),"",IF((ABS(B249-$B$15)+lane_off)&lt;=0,0,IF((ABS(B249-$B$15)+lane_off)&gt;=v_sh^2/a_sh,(ABS(B249-$B$15)+lane_off)/v_sh+v_sh/a_sh,2*SQRT((ABS(B249-$B$15)+lane_off)/a_sh))))</f>
        <v/>
      </c>
      <c r="G249" s="34" t="str">
        <f aca="false">IF(OR(A249&gt;NL_b,$B$16=""),"",IF((ABS(B249-$B$16)+lane_off)&lt;=0,0,IF((ABS(B249-$B$16)+lane_off)&gt;=v_sh^2/a_sh,(ABS(B249-$B$16)+lane_off)/v_sh+v_sh/a_sh,2*SQRT((ABS(B249-$B$16)+lane_off)/a_sh))))</f>
        <v/>
      </c>
      <c r="H249" s="34" t="str">
        <f aca="false">IF(OR(A249&gt;NL_b,$B$17=""),"",IF((ABS(B249-$B$17)+lane_off)&lt;=0,0,IF((ABS(B249-$B$17)+lane_off)&gt;=v_sh^2/a_sh,(ABS(B249-$B$17)+lane_off)/v_sh+v_sh/a_sh,2*SQRT((ABS(B249-$B$17)+lane_off)/a_sh))))</f>
        <v/>
      </c>
      <c r="I249" s="34" t="str">
        <f aca="false">IF(C249="","",2*C249+w_conv*$D$12/v_conv)</f>
        <v/>
      </c>
      <c r="J249" s="34" t="str">
        <f aca="false">IF(D249="","",2*D249+w_conv*$D$13/v_conv)</f>
        <v/>
      </c>
      <c r="K249" s="34" t="str">
        <f aca="false">IF(E249="","",2*E249+w_conv*$D$14/v_conv)</f>
        <v/>
      </c>
      <c r="L249" s="34" t="str">
        <f aca="false">IF(F249="","",2*F249+w_conv*$D$15/v_conv)</f>
        <v/>
      </c>
      <c r="M249" s="34" t="str">
        <f aca="false">IF(G249="","",2*G249+w_conv*$D$16/v_conv)</f>
        <v/>
      </c>
      <c r="N249" s="34" t="str">
        <f aca="false">IF(H249="","",2*H249+w_conv*$D$17/v_conv)</f>
        <v/>
      </c>
      <c r="O249" s="34" t="str">
        <f aca="false">IF(A249&gt;NL_b,"",MIN(I249:N249))</f>
        <v/>
      </c>
      <c r="P249" s="34" t="str">
        <f aca="false">IF(O249="","",INDEX(C249:H249,MATCH(O249,I249:N249,0)))</f>
        <v/>
      </c>
      <c r="Q249" s="34" t="str">
        <f aca="false">IF(O249="","",INDEX($D$12:$D$17,MATCH(O249,I249:N249,0)))</f>
        <v/>
      </c>
    </row>
    <row r="250" customFormat="false" ht="15" hidden="false" customHeight="true" outlineLevel="0" collapsed="false">
      <c r="A250" s="54" t="n">
        <v>230</v>
      </c>
      <c r="B250" s="34" t="n">
        <f aca="false">(A250-0.5)*u_w</f>
        <v>229.5</v>
      </c>
      <c r="C250" s="34" t="str">
        <f aca="false">IF(OR(A250&gt;NL_b,$B$12=""),"",IF((ABS(B250-$B$12)+lane_off)&lt;=0,0,IF((ABS(B250-$B$12)+lane_off)&gt;=v_sh^2/a_sh,(ABS(B250-$B$12)+lane_off)/v_sh+v_sh/a_sh,2*SQRT((ABS(B250-$B$12)+lane_off)/a_sh))))</f>
        <v/>
      </c>
      <c r="D250" s="34" t="str">
        <f aca="false">IF(OR(A250&gt;NL_b,$B$13=""),"",IF((ABS(B250-$B$13)+lane_off)&lt;=0,0,IF((ABS(B250-$B$13)+lane_off)&gt;=v_sh^2/a_sh,(ABS(B250-$B$13)+lane_off)/v_sh+v_sh/a_sh,2*SQRT((ABS(B250-$B$13)+lane_off)/a_sh))))</f>
        <v/>
      </c>
      <c r="E250" s="34" t="str">
        <f aca="false">IF(OR(A250&gt;NL_b,$B$14=""),"",IF((ABS(B250-$B$14)+lane_off)&lt;=0,0,IF((ABS(B250-$B$14)+lane_off)&gt;=v_sh^2/a_sh,(ABS(B250-$B$14)+lane_off)/v_sh+v_sh/a_sh,2*SQRT((ABS(B250-$B$14)+lane_off)/a_sh))))</f>
        <v/>
      </c>
      <c r="F250" s="34" t="str">
        <f aca="false">IF(OR(A250&gt;NL_b,$B$15=""),"",IF((ABS(B250-$B$15)+lane_off)&lt;=0,0,IF((ABS(B250-$B$15)+lane_off)&gt;=v_sh^2/a_sh,(ABS(B250-$B$15)+lane_off)/v_sh+v_sh/a_sh,2*SQRT((ABS(B250-$B$15)+lane_off)/a_sh))))</f>
        <v/>
      </c>
      <c r="G250" s="34" t="str">
        <f aca="false">IF(OR(A250&gt;NL_b,$B$16=""),"",IF((ABS(B250-$B$16)+lane_off)&lt;=0,0,IF((ABS(B250-$B$16)+lane_off)&gt;=v_sh^2/a_sh,(ABS(B250-$B$16)+lane_off)/v_sh+v_sh/a_sh,2*SQRT((ABS(B250-$B$16)+lane_off)/a_sh))))</f>
        <v/>
      </c>
      <c r="H250" s="34" t="str">
        <f aca="false">IF(OR(A250&gt;NL_b,$B$17=""),"",IF((ABS(B250-$B$17)+lane_off)&lt;=0,0,IF((ABS(B250-$B$17)+lane_off)&gt;=v_sh^2/a_sh,(ABS(B250-$B$17)+lane_off)/v_sh+v_sh/a_sh,2*SQRT((ABS(B250-$B$17)+lane_off)/a_sh))))</f>
        <v/>
      </c>
      <c r="I250" s="34" t="str">
        <f aca="false">IF(C250="","",2*C250+w_conv*$D$12/v_conv)</f>
        <v/>
      </c>
      <c r="J250" s="34" t="str">
        <f aca="false">IF(D250="","",2*D250+w_conv*$D$13/v_conv)</f>
        <v/>
      </c>
      <c r="K250" s="34" t="str">
        <f aca="false">IF(E250="","",2*E250+w_conv*$D$14/v_conv)</f>
        <v/>
      </c>
      <c r="L250" s="34" t="str">
        <f aca="false">IF(F250="","",2*F250+w_conv*$D$15/v_conv)</f>
        <v/>
      </c>
      <c r="M250" s="34" t="str">
        <f aca="false">IF(G250="","",2*G250+w_conv*$D$16/v_conv)</f>
        <v/>
      </c>
      <c r="N250" s="34" t="str">
        <f aca="false">IF(H250="","",2*H250+w_conv*$D$17/v_conv)</f>
        <v/>
      </c>
      <c r="O250" s="34" t="str">
        <f aca="false">IF(A250&gt;NL_b,"",MIN(I250:N250))</f>
        <v/>
      </c>
      <c r="P250" s="34" t="str">
        <f aca="false">IF(O250="","",INDEX(C250:H250,MATCH(O250,I250:N250,0)))</f>
        <v/>
      </c>
      <c r="Q250" s="34" t="str">
        <f aca="false">IF(O250="","",INDEX($D$12:$D$17,MATCH(O250,I250:N250,0)))</f>
        <v/>
      </c>
    </row>
    <row r="251" customFormat="false" ht="15" hidden="false" customHeight="true" outlineLevel="0" collapsed="false">
      <c r="A251" s="54" t="n">
        <v>231</v>
      </c>
      <c r="B251" s="34" t="n">
        <f aca="false">(A251-0.5)*u_w</f>
        <v>230.5</v>
      </c>
      <c r="C251" s="34" t="str">
        <f aca="false">IF(OR(A251&gt;NL_b,$B$12=""),"",IF((ABS(B251-$B$12)+lane_off)&lt;=0,0,IF((ABS(B251-$B$12)+lane_off)&gt;=v_sh^2/a_sh,(ABS(B251-$B$12)+lane_off)/v_sh+v_sh/a_sh,2*SQRT((ABS(B251-$B$12)+lane_off)/a_sh))))</f>
        <v/>
      </c>
      <c r="D251" s="34" t="str">
        <f aca="false">IF(OR(A251&gt;NL_b,$B$13=""),"",IF((ABS(B251-$B$13)+lane_off)&lt;=0,0,IF((ABS(B251-$B$13)+lane_off)&gt;=v_sh^2/a_sh,(ABS(B251-$B$13)+lane_off)/v_sh+v_sh/a_sh,2*SQRT((ABS(B251-$B$13)+lane_off)/a_sh))))</f>
        <v/>
      </c>
      <c r="E251" s="34" t="str">
        <f aca="false">IF(OR(A251&gt;NL_b,$B$14=""),"",IF((ABS(B251-$B$14)+lane_off)&lt;=0,0,IF((ABS(B251-$B$14)+lane_off)&gt;=v_sh^2/a_sh,(ABS(B251-$B$14)+lane_off)/v_sh+v_sh/a_sh,2*SQRT((ABS(B251-$B$14)+lane_off)/a_sh))))</f>
        <v/>
      </c>
      <c r="F251" s="34" t="str">
        <f aca="false">IF(OR(A251&gt;NL_b,$B$15=""),"",IF((ABS(B251-$B$15)+lane_off)&lt;=0,0,IF((ABS(B251-$B$15)+lane_off)&gt;=v_sh^2/a_sh,(ABS(B251-$B$15)+lane_off)/v_sh+v_sh/a_sh,2*SQRT((ABS(B251-$B$15)+lane_off)/a_sh))))</f>
        <v/>
      </c>
      <c r="G251" s="34" t="str">
        <f aca="false">IF(OR(A251&gt;NL_b,$B$16=""),"",IF((ABS(B251-$B$16)+lane_off)&lt;=0,0,IF((ABS(B251-$B$16)+lane_off)&gt;=v_sh^2/a_sh,(ABS(B251-$B$16)+lane_off)/v_sh+v_sh/a_sh,2*SQRT((ABS(B251-$B$16)+lane_off)/a_sh))))</f>
        <v/>
      </c>
      <c r="H251" s="34" t="str">
        <f aca="false">IF(OR(A251&gt;NL_b,$B$17=""),"",IF((ABS(B251-$B$17)+lane_off)&lt;=0,0,IF((ABS(B251-$B$17)+lane_off)&gt;=v_sh^2/a_sh,(ABS(B251-$B$17)+lane_off)/v_sh+v_sh/a_sh,2*SQRT((ABS(B251-$B$17)+lane_off)/a_sh))))</f>
        <v/>
      </c>
      <c r="I251" s="34" t="str">
        <f aca="false">IF(C251="","",2*C251+w_conv*$D$12/v_conv)</f>
        <v/>
      </c>
      <c r="J251" s="34" t="str">
        <f aca="false">IF(D251="","",2*D251+w_conv*$D$13/v_conv)</f>
        <v/>
      </c>
      <c r="K251" s="34" t="str">
        <f aca="false">IF(E251="","",2*E251+w_conv*$D$14/v_conv)</f>
        <v/>
      </c>
      <c r="L251" s="34" t="str">
        <f aca="false">IF(F251="","",2*F251+w_conv*$D$15/v_conv)</f>
        <v/>
      </c>
      <c r="M251" s="34" t="str">
        <f aca="false">IF(G251="","",2*G251+w_conv*$D$16/v_conv)</f>
        <v/>
      </c>
      <c r="N251" s="34" t="str">
        <f aca="false">IF(H251="","",2*H251+w_conv*$D$17/v_conv)</f>
        <v/>
      </c>
      <c r="O251" s="34" t="str">
        <f aca="false">IF(A251&gt;NL_b,"",MIN(I251:N251))</f>
        <v/>
      </c>
      <c r="P251" s="34" t="str">
        <f aca="false">IF(O251="","",INDEX(C251:H251,MATCH(O251,I251:N251,0)))</f>
        <v/>
      </c>
      <c r="Q251" s="34" t="str">
        <f aca="false">IF(O251="","",INDEX($D$12:$D$17,MATCH(O251,I251:N251,0)))</f>
        <v/>
      </c>
    </row>
    <row r="252" customFormat="false" ht="15" hidden="false" customHeight="true" outlineLevel="0" collapsed="false">
      <c r="A252" s="54" t="n">
        <v>232</v>
      </c>
      <c r="B252" s="34" t="n">
        <f aca="false">(A252-0.5)*u_w</f>
        <v>231.5</v>
      </c>
      <c r="C252" s="34" t="str">
        <f aca="false">IF(OR(A252&gt;NL_b,$B$12=""),"",IF((ABS(B252-$B$12)+lane_off)&lt;=0,0,IF((ABS(B252-$B$12)+lane_off)&gt;=v_sh^2/a_sh,(ABS(B252-$B$12)+lane_off)/v_sh+v_sh/a_sh,2*SQRT((ABS(B252-$B$12)+lane_off)/a_sh))))</f>
        <v/>
      </c>
      <c r="D252" s="34" t="str">
        <f aca="false">IF(OR(A252&gt;NL_b,$B$13=""),"",IF((ABS(B252-$B$13)+lane_off)&lt;=0,0,IF((ABS(B252-$B$13)+lane_off)&gt;=v_sh^2/a_sh,(ABS(B252-$B$13)+lane_off)/v_sh+v_sh/a_sh,2*SQRT((ABS(B252-$B$13)+lane_off)/a_sh))))</f>
        <v/>
      </c>
      <c r="E252" s="34" t="str">
        <f aca="false">IF(OR(A252&gt;NL_b,$B$14=""),"",IF((ABS(B252-$B$14)+lane_off)&lt;=0,0,IF((ABS(B252-$B$14)+lane_off)&gt;=v_sh^2/a_sh,(ABS(B252-$B$14)+lane_off)/v_sh+v_sh/a_sh,2*SQRT((ABS(B252-$B$14)+lane_off)/a_sh))))</f>
        <v/>
      </c>
      <c r="F252" s="34" t="str">
        <f aca="false">IF(OR(A252&gt;NL_b,$B$15=""),"",IF((ABS(B252-$B$15)+lane_off)&lt;=0,0,IF((ABS(B252-$B$15)+lane_off)&gt;=v_sh^2/a_sh,(ABS(B252-$B$15)+lane_off)/v_sh+v_sh/a_sh,2*SQRT((ABS(B252-$B$15)+lane_off)/a_sh))))</f>
        <v/>
      </c>
      <c r="G252" s="34" t="str">
        <f aca="false">IF(OR(A252&gt;NL_b,$B$16=""),"",IF((ABS(B252-$B$16)+lane_off)&lt;=0,0,IF((ABS(B252-$B$16)+lane_off)&gt;=v_sh^2/a_sh,(ABS(B252-$B$16)+lane_off)/v_sh+v_sh/a_sh,2*SQRT((ABS(B252-$B$16)+lane_off)/a_sh))))</f>
        <v/>
      </c>
      <c r="H252" s="34" t="str">
        <f aca="false">IF(OR(A252&gt;NL_b,$B$17=""),"",IF((ABS(B252-$B$17)+lane_off)&lt;=0,0,IF((ABS(B252-$B$17)+lane_off)&gt;=v_sh^2/a_sh,(ABS(B252-$B$17)+lane_off)/v_sh+v_sh/a_sh,2*SQRT((ABS(B252-$B$17)+lane_off)/a_sh))))</f>
        <v/>
      </c>
      <c r="I252" s="34" t="str">
        <f aca="false">IF(C252="","",2*C252+w_conv*$D$12/v_conv)</f>
        <v/>
      </c>
      <c r="J252" s="34" t="str">
        <f aca="false">IF(D252="","",2*D252+w_conv*$D$13/v_conv)</f>
        <v/>
      </c>
      <c r="K252" s="34" t="str">
        <f aca="false">IF(E252="","",2*E252+w_conv*$D$14/v_conv)</f>
        <v/>
      </c>
      <c r="L252" s="34" t="str">
        <f aca="false">IF(F252="","",2*F252+w_conv*$D$15/v_conv)</f>
        <v/>
      </c>
      <c r="M252" s="34" t="str">
        <f aca="false">IF(G252="","",2*G252+w_conv*$D$16/v_conv)</f>
        <v/>
      </c>
      <c r="N252" s="34" t="str">
        <f aca="false">IF(H252="","",2*H252+w_conv*$D$17/v_conv)</f>
        <v/>
      </c>
      <c r="O252" s="34" t="str">
        <f aca="false">IF(A252&gt;NL_b,"",MIN(I252:N252))</f>
        <v/>
      </c>
      <c r="P252" s="34" t="str">
        <f aca="false">IF(O252="","",INDEX(C252:H252,MATCH(O252,I252:N252,0)))</f>
        <v/>
      </c>
      <c r="Q252" s="34" t="str">
        <f aca="false">IF(O252="","",INDEX($D$12:$D$17,MATCH(O252,I252:N252,0)))</f>
        <v/>
      </c>
    </row>
    <row r="253" customFormat="false" ht="15" hidden="false" customHeight="true" outlineLevel="0" collapsed="false">
      <c r="A253" s="54" t="n">
        <v>233</v>
      </c>
      <c r="B253" s="34" t="n">
        <f aca="false">(A253-0.5)*u_w</f>
        <v>232.5</v>
      </c>
      <c r="C253" s="34" t="str">
        <f aca="false">IF(OR(A253&gt;NL_b,$B$12=""),"",IF((ABS(B253-$B$12)+lane_off)&lt;=0,0,IF((ABS(B253-$B$12)+lane_off)&gt;=v_sh^2/a_sh,(ABS(B253-$B$12)+lane_off)/v_sh+v_sh/a_sh,2*SQRT((ABS(B253-$B$12)+lane_off)/a_sh))))</f>
        <v/>
      </c>
      <c r="D253" s="34" t="str">
        <f aca="false">IF(OR(A253&gt;NL_b,$B$13=""),"",IF((ABS(B253-$B$13)+lane_off)&lt;=0,0,IF((ABS(B253-$B$13)+lane_off)&gt;=v_sh^2/a_sh,(ABS(B253-$B$13)+lane_off)/v_sh+v_sh/a_sh,2*SQRT((ABS(B253-$B$13)+lane_off)/a_sh))))</f>
        <v/>
      </c>
      <c r="E253" s="34" t="str">
        <f aca="false">IF(OR(A253&gt;NL_b,$B$14=""),"",IF((ABS(B253-$B$14)+lane_off)&lt;=0,0,IF((ABS(B253-$B$14)+lane_off)&gt;=v_sh^2/a_sh,(ABS(B253-$B$14)+lane_off)/v_sh+v_sh/a_sh,2*SQRT((ABS(B253-$B$14)+lane_off)/a_sh))))</f>
        <v/>
      </c>
      <c r="F253" s="34" t="str">
        <f aca="false">IF(OR(A253&gt;NL_b,$B$15=""),"",IF((ABS(B253-$B$15)+lane_off)&lt;=0,0,IF((ABS(B253-$B$15)+lane_off)&gt;=v_sh^2/a_sh,(ABS(B253-$B$15)+lane_off)/v_sh+v_sh/a_sh,2*SQRT((ABS(B253-$B$15)+lane_off)/a_sh))))</f>
        <v/>
      </c>
      <c r="G253" s="34" t="str">
        <f aca="false">IF(OR(A253&gt;NL_b,$B$16=""),"",IF((ABS(B253-$B$16)+lane_off)&lt;=0,0,IF((ABS(B253-$B$16)+lane_off)&gt;=v_sh^2/a_sh,(ABS(B253-$B$16)+lane_off)/v_sh+v_sh/a_sh,2*SQRT((ABS(B253-$B$16)+lane_off)/a_sh))))</f>
        <v/>
      </c>
      <c r="H253" s="34" t="str">
        <f aca="false">IF(OR(A253&gt;NL_b,$B$17=""),"",IF((ABS(B253-$B$17)+lane_off)&lt;=0,0,IF((ABS(B253-$B$17)+lane_off)&gt;=v_sh^2/a_sh,(ABS(B253-$B$17)+lane_off)/v_sh+v_sh/a_sh,2*SQRT((ABS(B253-$B$17)+lane_off)/a_sh))))</f>
        <v/>
      </c>
      <c r="I253" s="34" t="str">
        <f aca="false">IF(C253="","",2*C253+w_conv*$D$12/v_conv)</f>
        <v/>
      </c>
      <c r="J253" s="34" t="str">
        <f aca="false">IF(D253="","",2*D253+w_conv*$D$13/v_conv)</f>
        <v/>
      </c>
      <c r="K253" s="34" t="str">
        <f aca="false">IF(E253="","",2*E253+w_conv*$D$14/v_conv)</f>
        <v/>
      </c>
      <c r="L253" s="34" t="str">
        <f aca="false">IF(F253="","",2*F253+w_conv*$D$15/v_conv)</f>
        <v/>
      </c>
      <c r="M253" s="34" t="str">
        <f aca="false">IF(G253="","",2*G253+w_conv*$D$16/v_conv)</f>
        <v/>
      </c>
      <c r="N253" s="34" t="str">
        <f aca="false">IF(H253="","",2*H253+w_conv*$D$17/v_conv)</f>
        <v/>
      </c>
      <c r="O253" s="34" t="str">
        <f aca="false">IF(A253&gt;NL_b,"",MIN(I253:N253))</f>
        <v/>
      </c>
      <c r="P253" s="34" t="str">
        <f aca="false">IF(O253="","",INDEX(C253:H253,MATCH(O253,I253:N253,0)))</f>
        <v/>
      </c>
      <c r="Q253" s="34" t="str">
        <f aca="false">IF(O253="","",INDEX($D$12:$D$17,MATCH(O253,I253:N253,0)))</f>
        <v/>
      </c>
    </row>
    <row r="254" customFormat="false" ht="15" hidden="false" customHeight="true" outlineLevel="0" collapsed="false">
      <c r="A254" s="54" t="n">
        <v>234</v>
      </c>
      <c r="B254" s="34" t="n">
        <f aca="false">(A254-0.5)*u_w</f>
        <v>233.5</v>
      </c>
      <c r="C254" s="34" t="str">
        <f aca="false">IF(OR(A254&gt;NL_b,$B$12=""),"",IF((ABS(B254-$B$12)+lane_off)&lt;=0,0,IF((ABS(B254-$B$12)+lane_off)&gt;=v_sh^2/a_sh,(ABS(B254-$B$12)+lane_off)/v_sh+v_sh/a_sh,2*SQRT((ABS(B254-$B$12)+lane_off)/a_sh))))</f>
        <v/>
      </c>
      <c r="D254" s="34" t="str">
        <f aca="false">IF(OR(A254&gt;NL_b,$B$13=""),"",IF((ABS(B254-$B$13)+lane_off)&lt;=0,0,IF((ABS(B254-$B$13)+lane_off)&gt;=v_sh^2/a_sh,(ABS(B254-$B$13)+lane_off)/v_sh+v_sh/a_sh,2*SQRT((ABS(B254-$B$13)+lane_off)/a_sh))))</f>
        <v/>
      </c>
      <c r="E254" s="34" t="str">
        <f aca="false">IF(OR(A254&gt;NL_b,$B$14=""),"",IF((ABS(B254-$B$14)+lane_off)&lt;=0,0,IF((ABS(B254-$B$14)+lane_off)&gt;=v_sh^2/a_sh,(ABS(B254-$B$14)+lane_off)/v_sh+v_sh/a_sh,2*SQRT((ABS(B254-$B$14)+lane_off)/a_sh))))</f>
        <v/>
      </c>
      <c r="F254" s="34" t="str">
        <f aca="false">IF(OR(A254&gt;NL_b,$B$15=""),"",IF((ABS(B254-$B$15)+lane_off)&lt;=0,0,IF((ABS(B254-$B$15)+lane_off)&gt;=v_sh^2/a_sh,(ABS(B254-$B$15)+lane_off)/v_sh+v_sh/a_sh,2*SQRT((ABS(B254-$B$15)+lane_off)/a_sh))))</f>
        <v/>
      </c>
      <c r="G254" s="34" t="str">
        <f aca="false">IF(OR(A254&gt;NL_b,$B$16=""),"",IF((ABS(B254-$B$16)+lane_off)&lt;=0,0,IF((ABS(B254-$B$16)+lane_off)&gt;=v_sh^2/a_sh,(ABS(B254-$B$16)+lane_off)/v_sh+v_sh/a_sh,2*SQRT((ABS(B254-$B$16)+lane_off)/a_sh))))</f>
        <v/>
      </c>
      <c r="H254" s="34" t="str">
        <f aca="false">IF(OR(A254&gt;NL_b,$B$17=""),"",IF((ABS(B254-$B$17)+lane_off)&lt;=0,0,IF((ABS(B254-$B$17)+lane_off)&gt;=v_sh^2/a_sh,(ABS(B254-$B$17)+lane_off)/v_sh+v_sh/a_sh,2*SQRT((ABS(B254-$B$17)+lane_off)/a_sh))))</f>
        <v/>
      </c>
      <c r="I254" s="34" t="str">
        <f aca="false">IF(C254="","",2*C254+w_conv*$D$12/v_conv)</f>
        <v/>
      </c>
      <c r="J254" s="34" t="str">
        <f aca="false">IF(D254="","",2*D254+w_conv*$D$13/v_conv)</f>
        <v/>
      </c>
      <c r="K254" s="34" t="str">
        <f aca="false">IF(E254="","",2*E254+w_conv*$D$14/v_conv)</f>
        <v/>
      </c>
      <c r="L254" s="34" t="str">
        <f aca="false">IF(F254="","",2*F254+w_conv*$D$15/v_conv)</f>
        <v/>
      </c>
      <c r="M254" s="34" t="str">
        <f aca="false">IF(G254="","",2*G254+w_conv*$D$16/v_conv)</f>
        <v/>
      </c>
      <c r="N254" s="34" t="str">
        <f aca="false">IF(H254="","",2*H254+w_conv*$D$17/v_conv)</f>
        <v/>
      </c>
      <c r="O254" s="34" t="str">
        <f aca="false">IF(A254&gt;NL_b,"",MIN(I254:N254))</f>
        <v/>
      </c>
      <c r="P254" s="34" t="str">
        <f aca="false">IF(O254="","",INDEX(C254:H254,MATCH(O254,I254:N254,0)))</f>
        <v/>
      </c>
      <c r="Q254" s="34" t="str">
        <f aca="false">IF(O254="","",INDEX($D$12:$D$17,MATCH(O254,I254:N254,0)))</f>
        <v/>
      </c>
    </row>
    <row r="255" customFormat="false" ht="15" hidden="false" customHeight="true" outlineLevel="0" collapsed="false">
      <c r="A255" s="54" t="n">
        <v>235</v>
      </c>
      <c r="B255" s="34" t="n">
        <f aca="false">(A255-0.5)*u_w</f>
        <v>234.5</v>
      </c>
      <c r="C255" s="34" t="str">
        <f aca="false">IF(OR(A255&gt;NL_b,$B$12=""),"",IF((ABS(B255-$B$12)+lane_off)&lt;=0,0,IF((ABS(B255-$B$12)+lane_off)&gt;=v_sh^2/a_sh,(ABS(B255-$B$12)+lane_off)/v_sh+v_sh/a_sh,2*SQRT((ABS(B255-$B$12)+lane_off)/a_sh))))</f>
        <v/>
      </c>
      <c r="D255" s="34" t="str">
        <f aca="false">IF(OR(A255&gt;NL_b,$B$13=""),"",IF((ABS(B255-$B$13)+lane_off)&lt;=0,0,IF((ABS(B255-$B$13)+lane_off)&gt;=v_sh^2/a_sh,(ABS(B255-$B$13)+lane_off)/v_sh+v_sh/a_sh,2*SQRT((ABS(B255-$B$13)+lane_off)/a_sh))))</f>
        <v/>
      </c>
      <c r="E255" s="34" t="str">
        <f aca="false">IF(OR(A255&gt;NL_b,$B$14=""),"",IF((ABS(B255-$B$14)+lane_off)&lt;=0,0,IF((ABS(B255-$B$14)+lane_off)&gt;=v_sh^2/a_sh,(ABS(B255-$B$14)+lane_off)/v_sh+v_sh/a_sh,2*SQRT((ABS(B255-$B$14)+lane_off)/a_sh))))</f>
        <v/>
      </c>
      <c r="F255" s="34" t="str">
        <f aca="false">IF(OR(A255&gt;NL_b,$B$15=""),"",IF((ABS(B255-$B$15)+lane_off)&lt;=0,0,IF((ABS(B255-$B$15)+lane_off)&gt;=v_sh^2/a_sh,(ABS(B255-$B$15)+lane_off)/v_sh+v_sh/a_sh,2*SQRT((ABS(B255-$B$15)+lane_off)/a_sh))))</f>
        <v/>
      </c>
      <c r="G255" s="34" t="str">
        <f aca="false">IF(OR(A255&gt;NL_b,$B$16=""),"",IF((ABS(B255-$B$16)+lane_off)&lt;=0,0,IF((ABS(B255-$B$16)+lane_off)&gt;=v_sh^2/a_sh,(ABS(B255-$B$16)+lane_off)/v_sh+v_sh/a_sh,2*SQRT((ABS(B255-$B$16)+lane_off)/a_sh))))</f>
        <v/>
      </c>
      <c r="H255" s="34" t="str">
        <f aca="false">IF(OR(A255&gt;NL_b,$B$17=""),"",IF((ABS(B255-$B$17)+lane_off)&lt;=0,0,IF((ABS(B255-$B$17)+lane_off)&gt;=v_sh^2/a_sh,(ABS(B255-$B$17)+lane_off)/v_sh+v_sh/a_sh,2*SQRT((ABS(B255-$B$17)+lane_off)/a_sh))))</f>
        <v/>
      </c>
      <c r="I255" s="34" t="str">
        <f aca="false">IF(C255="","",2*C255+w_conv*$D$12/v_conv)</f>
        <v/>
      </c>
      <c r="J255" s="34" t="str">
        <f aca="false">IF(D255="","",2*D255+w_conv*$D$13/v_conv)</f>
        <v/>
      </c>
      <c r="K255" s="34" t="str">
        <f aca="false">IF(E255="","",2*E255+w_conv*$D$14/v_conv)</f>
        <v/>
      </c>
      <c r="L255" s="34" t="str">
        <f aca="false">IF(F255="","",2*F255+w_conv*$D$15/v_conv)</f>
        <v/>
      </c>
      <c r="M255" s="34" t="str">
        <f aca="false">IF(G255="","",2*G255+w_conv*$D$16/v_conv)</f>
        <v/>
      </c>
      <c r="N255" s="34" t="str">
        <f aca="false">IF(H255="","",2*H255+w_conv*$D$17/v_conv)</f>
        <v/>
      </c>
      <c r="O255" s="34" t="str">
        <f aca="false">IF(A255&gt;NL_b,"",MIN(I255:N255))</f>
        <v/>
      </c>
      <c r="P255" s="34" t="str">
        <f aca="false">IF(O255="","",INDEX(C255:H255,MATCH(O255,I255:N255,0)))</f>
        <v/>
      </c>
      <c r="Q255" s="34" t="str">
        <f aca="false">IF(O255="","",INDEX($D$12:$D$17,MATCH(O255,I255:N255,0)))</f>
        <v/>
      </c>
    </row>
    <row r="256" customFormat="false" ht="15" hidden="false" customHeight="true" outlineLevel="0" collapsed="false">
      <c r="A256" s="54" t="n">
        <v>236</v>
      </c>
      <c r="B256" s="34" t="n">
        <f aca="false">(A256-0.5)*u_w</f>
        <v>235.5</v>
      </c>
      <c r="C256" s="34" t="str">
        <f aca="false">IF(OR(A256&gt;NL_b,$B$12=""),"",IF((ABS(B256-$B$12)+lane_off)&lt;=0,0,IF((ABS(B256-$B$12)+lane_off)&gt;=v_sh^2/a_sh,(ABS(B256-$B$12)+lane_off)/v_sh+v_sh/a_sh,2*SQRT((ABS(B256-$B$12)+lane_off)/a_sh))))</f>
        <v/>
      </c>
      <c r="D256" s="34" t="str">
        <f aca="false">IF(OR(A256&gt;NL_b,$B$13=""),"",IF((ABS(B256-$B$13)+lane_off)&lt;=0,0,IF((ABS(B256-$B$13)+lane_off)&gt;=v_sh^2/a_sh,(ABS(B256-$B$13)+lane_off)/v_sh+v_sh/a_sh,2*SQRT((ABS(B256-$B$13)+lane_off)/a_sh))))</f>
        <v/>
      </c>
      <c r="E256" s="34" t="str">
        <f aca="false">IF(OR(A256&gt;NL_b,$B$14=""),"",IF((ABS(B256-$B$14)+lane_off)&lt;=0,0,IF((ABS(B256-$B$14)+lane_off)&gt;=v_sh^2/a_sh,(ABS(B256-$B$14)+lane_off)/v_sh+v_sh/a_sh,2*SQRT((ABS(B256-$B$14)+lane_off)/a_sh))))</f>
        <v/>
      </c>
      <c r="F256" s="34" t="str">
        <f aca="false">IF(OR(A256&gt;NL_b,$B$15=""),"",IF((ABS(B256-$B$15)+lane_off)&lt;=0,0,IF((ABS(B256-$B$15)+lane_off)&gt;=v_sh^2/a_sh,(ABS(B256-$B$15)+lane_off)/v_sh+v_sh/a_sh,2*SQRT((ABS(B256-$B$15)+lane_off)/a_sh))))</f>
        <v/>
      </c>
      <c r="G256" s="34" t="str">
        <f aca="false">IF(OR(A256&gt;NL_b,$B$16=""),"",IF((ABS(B256-$B$16)+lane_off)&lt;=0,0,IF((ABS(B256-$B$16)+lane_off)&gt;=v_sh^2/a_sh,(ABS(B256-$B$16)+lane_off)/v_sh+v_sh/a_sh,2*SQRT((ABS(B256-$B$16)+lane_off)/a_sh))))</f>
        <v/>
      </c>
      <c r="H256" s="34" t="str">
        <f aca="false">IF(OR(A256&gt;NL_b,$B$17=""),"",IF((ABS(B256-$B$17)+lane_off)&lt;=0,0,IF((ABS(B256-$B$17)+lane_off)&gt;=v_sh^2/a_sh,(ABS(B256-$B$17)+lane_off)/v_sh+v_sh/a_sh,2*SQRT((ABS(B256-$B$17)+lane_off)/a_sh))))</f>
        <v/>
      </c>
      <c r="I256" s="34" t="str">
        <f aca="false">IF(C256="","",2*C256+w_conv*$D$12/v_conv)</f>
        <v/>
      </c>
      <c r="J256" s="34" t="str">
        <f aca="false">IF(D256="","",2*D256+w_conv*$D$13/v_conv)</f>
        <v/>
      </c>
      <c r="K256" s="34" t="str">
        <f aca="false">IF(E256="","",2*E256+w_conv*$D$14/v_conv)</f>
        <v/>
      </c>
      <c r="L256" s="34" t="str">
        <f aca="false">IF(F256="","",2*F256+w_conv*$D$15/v_conv)</f>
        <v/>
      </c>
      <c r="M256" s="34" t="str">
        <f aca="false">IF(G256="","",2*G256+w_conv*$D$16/v_conv)</f>
        <v/>
      </c>
      <c r="N256" s="34" t="str">
        <f aca="false">IF(H256="","",2*H256+w_conv*$D$17/v_conv)</f>
        <v/>
      </c>
      <c r="O256" s="34" t="str">
        <f aca="false">IF(A256&gt;NL_b,"",MIN(I256:N256))</f>
        <v/>
      </c>
      <c r="P256" s="34" t="str">
        <f aca="false">IF(O256="","",INDEX(C256:H256,MATCH(O256,I256:N256,0)))</f>
        <v/>
      </c>
      <c r="Q256" s="34" t="str">
        <f aca="false">IF(O256="","",INDEX($D$12:$D$17,MATCH(O256,I256:N256,0)))</f>
        <v/>
      </c>
    </row>
    <row r="257" customFormat="false" ht="15" hidden="false" customHeight="true" outlineLevel="0" collapsed="false">
      <c r="A257" s="54" t="n">
        <v>237</v>
      </c>
      <c r="B257" s="34" t="n">
        <f aca="false">(A257-0.5)*u_w</f>
        <v>236.5</v>
      </c>
      <c r="C257" s="34" t="str">
        <f aca="false">IF(OR(A257&gt;NL_b,$B$12=""),"",IF((ABS(B257-$B$12)+lane_off)&lt;=0,0,IF((ABS(B257-$B$12)+lane_off)&gt;=v_sh^2/a_sh,(ABS(B257-$B$12)+lane_off)/v_sh+v_sh/a_sh,2*SQRT((ABS(B257-$B$12)+lane_off)/a_sh))))</f>
        <v/>
      </c>
      <c r="D257" s="34" t="str">
        <f aca="false">IF(OR(A257&gt;NL_b,$B$13=""),"",IF((ABS(B257-$B$13)+lane_off)&lt;=0,0,IF((ABS(B257-$B$13)+lane_off)&gt;=v_sh^2/a_sh,(ABS(B257-$B$13)+lane_off)/v_sh+v_sh/a_sh,2*SQRT((ABS(B257-$B$13)+lane_off)/a_sh))))</f>
        <v/>
      </c>
      <c r="E257" s="34" t="str">
        <f aca="false">IF(OR(A257&gt;NL_b,$B$14=""),"",IF((ABS(B257-$B$14)+lane_off)&lt;=0,0,IF((ABS(B257-$B$14)+lane_off)&gt;=v_sh^2/a_sh,(ABS(B257-$B$14)+lane_off)/v_sh+v_sh/a_sh,2*SQRT((ABS(B257-$B$14)+lane_off)/a_sh))))</f>
        <v/>
      </c>
      <c r="F257" s="34" t="str">
        <f aca="false">IF(OR(A257&gt;NL_b,$B$15=""),"",IF((ABS(B257-$B$15)+lane_off)&lt;=0,0,IF((ABS(B257-$B$15)+lane_off)&gt;=v_sh^2/a_sh,(ABS(B257-$B$15)+lane_off)/v_sh+v_sh/a_sh,2*SQRT((ABS(B257-$B$15)+lane_off)/a_sh))))</f>
        <v/>
      </c>
      <c r="G257" s="34" t="str">
        <f aca="false">IF(OR(A257&gt;NL_b,$B$16=""),"",IF((ABS(B257-$B$16)+lane_off)&lt;=0,0,IF((ABS(B257-$B$16)+lane_off)&gt;=v_sh^2/a_sh,(ABS(B257-$B$16)+lane_off)/v_sh+v_sh/a_sh,2*SQRT((ABS(B257-$B$16)+lane_off)/a_sh))))</f>
        <v/>
      </c>
      <c r="H257" s="34" t="str">
        <f aca="false">IF(OR(A257&gt;NL_b,$B$17=""),"",IF((ABS(B257-$B$17)+lane_off)&lt;=0,0,IF((ABS(B257-$B$17)+lane_off)&gt;=v_sh^2/a_sh,(ABS(B257-$B$17)+lane_off)/v_sh+v_sh/a_sh,2*SQRT((ABS(B257-$B$17)+lane_off)/a_sh))))</f>
        <v/>
      </c>
      <c r="I257" s="34" t="str">
        <f aca="false">IF(C257="","",2*C257+w_conv*$D$12/v_conv)</f>
        <v/>
      </c>
      <c r="J257" s="34" t="str">
        <f aca="false">IF(D257="","",2*D257+w_conv*$D$13/v_conv)</f>
        <v/>
      </c>
      <c r="K257" s="34" t="str">
        <f aca="false">IF(E257="","",2*E257+w_conv*$D$14/v_conv)</f>
        <v/>
      </c>
      <c r="L257" s="34" t="str">
        <f aca="false">IF(F257="","",2*F257+w_conv*$D$15/v_conv)</f>
        <v/>
      </c>
      <c r="M257" s="34" t="str">
        <f aca="false">IF(G257="","",2*G257+w_conv*$D$16/v_conv)</f>
        <v/>
      </c>
      <c r="N257" s="34" t="str">
        <f aca="false">IF(H257="","",2*H257+w_conv*$D$17/v_conv)</f>
        <v/>
      </c>
      <c r="O257" s="34" t="str">
        <f aca="false">IF(A257&gt;NL_b,"",MIN(I257:N257))</f>
        <v/>
      </c>
      <c r="P257" s="34" t="str">
        <f aca="false">IF(O257="","",INDEX(C257:H257,MATCH(O257,I257:N257,0)))</f>
        <v/>
      </c>
      <c r="Q257" s="34" t="str">
        <f aca="false">IF(O257="","",INDEX($D$12:$D$17,MATCH(O257,I257:N257,0)))</f>
        <v/>
      </c>
    </row>
    <row r="258" customFormat="false" ht="15" hidden="false" customHeight="true" outlineLevel="0" collapsed="false">
      <c r="A258" s="54" t="n">
        <v>238</v>
      </c>
      <c r="B258" s="34" t="n">
        <f aca="false">(A258-0.5)*u_w</f>
        <v>237.5</v>
      </c>
      <c r="C258" s="34" t="str">
        <f aca="false">IF(OR(A258&gt;NL_b,$B$12=""),"",IF((ABS(B258-$B$12)+lane_off)&lt;=0,0,IF((ABS(B258-$B$12)+lane_off)&gt;=v_sh^2/a_sh,(ABS(B258-$B$12)+lane_off)/v_sh+v_sh/a_sh,2*SQRT((ABS(B258-$B$12)+lane_off)/a_sh))))</f>
        <v/>
      </c>
      <c r="D258" s="34" t="str">
        <f aca="false">IF(OR(A258&gt;NL_b,$B$13=""),"",IF((ABS(B258-$B$13)+lane_off)&lt;=0,0,IF((ABS(B258-$B$13)+lane_off)&gt;=v_sh^2/a_sh,(ABS(B258-$B$13)+lane_off)/v_sh+v_sh/a_sh,2*SQRT((ABS(B258-$B$13)+lane_off)/a_sh))))</f>
        <v/>
      </c>
      <c r="E258" s="34" t="str">
        <f aca="false">IF(OR(A258&gt;NL_b,$B$14=""),"",IF((ABS(B258-$B$14)+lane_off)&lt;=0,0,IF((ABS(B258-$B$14)+lane_off)&gt;=v_sh^2/a_sh,(ABS(B258-$B$14)+lane_off)/v_sh+v_sh/a_sh,2*SQRT((ABS(B258-$B$14)+lane_off)/a_sh))))</f>
        <v/>
      </c>
      <c r="F258" s="34" t="str">
        <f aca="false">IF(OR(A258&gt;NL_b,$B$15=""),"",IF((ABS(B258-$B$15)+lane_off)&lt;=0,0,IF((ABS(B258-$B$15)+lane_off)&gt;=v_sh^2/a_sh,(ABS(B258-$B$15)+lane_off)/v_sh+v_sh/a_sh,2*SQRT((ABS(B258-$B$15)+lane_off)/a_sh))))</f>
        <v/>
      </c>
      <c r="G258" s="34" t="str">
        <f aca="false">IF(OR(A258&gt;NL_b,$B$16=""),"",IF((ABS(B258-$B$16)+lane_off)&lt;=0,0,IF((ABS(B258-$B$16)+lane_off)&gt;=v_sh^2/a_sh,(ABS(B258-$B$16)+lane_off)/v_sh+v_sh/a_sh,2*SQRT((ABS(B258-$B$16)+lane_off)/a_sh))))</f>
        <v/>
      </c>
      <c r="H258" s="34" t="str">
        <f aca="false">IF(OR(A258&gt;NL_b,$B$17=""),"",IF((ABS(B258-$B$17)+lane_off)&lt;=0,0,IF((ABS(B258-$B$17)+lane_off)&gt;=v_sh^2/a_sh,(ABS(B258-$B$17)+lane_off)/v_sh+v_sh/a_sh,2*SQRT((ABS(B258-$B$17)+lane_off)/a_sh))))</f>
        <v/>
      </c>
      <c r="I258" s="34" t="str">
        <f aca="false">IF(C258="","",2*C258+w_conv*$D$12/v_conv)</f>
        <v/>
      </c>
      <c r="J258" s="34" t="str">
        <f aca="false">IF(D258="","",2*D258+w_conv*$D$13/v_conv)</f>
        <v/>
      </c>
      <c r="K258" s="34" t="str">
        <f aca="false">IF(E258="","",2*E258+w_conv*$D$14/v_conv)</f>
        <v/>
      </c>
      <c r="L258" s="34" t="str">
        <f aca="false">IF(F258="","",2*F258+w_conv*$D$15/v_conv)</f>
        <v/>
      </c>
      <c r="M258" s="34" t="str">
        <f aca="false">IF(G258="","",2*G258+w_conv*$D$16/v_conv)</f>
        <v/>
      </c>
      <c r="N258" s="34" t="str">
        <f aca="false">IF(H258="","",2*H258+w_conv*$D$17/v_conv)</f>
        <v/>
      </c>
      <c r="O258" s="34" t="str">
        <f aca="false">IF(A258&gt;NL_b,"",MIN(I258:N258))</f>
        <v/>
      </c>
      <c r="P258" s="34" t="str">
        <f aca="false">IF(O258="","",INDEX(C258:H258,MATCH(O258,I258:N258,0)))</f>
        <v/>
      </c>
      <c r="Q258" s="34" t="str">
        <f aca="false">IF(O258="","",INDEX($D$12:$D$17,MATCH(O258,I258:N258,0)))</f>
        <v/>
      </c>
    </row>
    <row r="259" customFormat="false" ht="15" hidden="false" customHeight="true" outlineLevel="0" collapsed="false">
      <c r="A259" s="54" t="n">
        <v>239</v>
      </c>
      <c r="B259" s="34" t="n">
        <f aca="false">(A259-0.5)*u_w</f>
        <v>238.5</v>
      </c>
      <c r="C259" s="34" t="str">
        <f aca="false">IF(OR(A259&gt;NL_b,$B$12=""),"",IF((ABS(B259-$B$12)+lane_off)&lt;=0,0,IF((ABS(B259-$B$12)+lane_off)&gt;=v_sh^2/a_sh,(ABS(B259-$B$12)+lane_off)/v_sh+v_sh/a_sh,2*SQRT((ABS(B259-$B$12)+lane_off)/a_sh))))</f>
        <v/>
      </c>
      <c r="D259" s="34" t="str">
        <f aca="false">IF(OR(A259&gt;NL_b,$B$13=""),"",IF((ABS(B259-$B$13)+lane_off)&lt;=0,0,IF((ABS(B259-$B$13)+lane_off)&gt;=v_sh^2/a_sh,(ABS(B259-$B$13)+lane_off)/v_sh+v_sh/a_sh,2*SQRT((ABS(B259-$B$13)+lane_off)/a_sh))))</f>
        <v/>
      </c>
      <c r="E259" s="34" t="str">
        <f aca="false">IF(OR(A259&gt;NL_b,$B$14=""),"",IF((ABS(B259-$B$14)+lane_off)&lt;=0,0,IF((ABS(B259-$B$14)+lane_off)&gt;=v_sh^2/a_sh,(ABS(B259-$B$14)+lane_off)/v_sh+v_sh/a_sh,2*SQRT((ABS(B259-$B$14)+lane_off)/a_sh))))</f>
        <v/>
      </c>
      <c r="F259" s="34" t="str">
        <f aca="false">IF(OR(A259&gt;NL_b,$B$15=""),"",IF((ABS(B259-$B$15)+lane_off)&lt;=0,0,IF((ABS(B259-$B$15)+lane_off)&gt;=v_sh^2/a_sh,(ABS(B259-$B$15)+lane_off)/v_sh+v_sh/a_sh,2*SQRT((ABS(B259-$B$15)+lane_off)/a_sh))))</f>
        <v/>
      </c>
      <c r="G259" s="34" t="str">
        <f aca="false">IF(OR(A259&gt;NL_b,$B$16=""),"",IF((ABS(B259-$B$16)+lane_off)&lt;=0,0,IF((ABS(B259-$B$16)+lane_off)&gt;=v_sh^2/a_sh,(ABS(B259-$B$16)+lane_off)/v_sh+v_sh/a_sh,2*SQRT((ABS(B259-$B$16)+lane_off)/a_sh))))</f>
        <v/>
      </c>
      <c r="H259" s="34" t="str">
        <f aca="false">IF(OR(A259&gt;NL_b,$B$17=""),"",IF((ABS(B259-$B$17)+lane_off)&lt;=0,0,IF((ABS(B259-$B$17)+lane_off)&gt;=v_sh^2/a_sh,(ABS(B259-$B$17)+lane_off)/v_sh+v_sh/a_sh,2*SQRT((ABS(B259-$B$17)+lane_off)/a_sh))))</f>
        <v/>
      </c>
      <c r="I259" s="34" t="str">
        <f aca="false">IF(C259="","",2*C259+w_conv*$D$12/v_conv)</f>
        <v/>
      </c>
      <c r="J259" s="34" t="str">
        <f aca="false">IF(D259="","",2*D259+w_conv*$D$13/v_conv)</f>
        <v/>
      </c>
      <c r="K259" s="34" t="str">
        <f aca="false">IF(E259="","",2*E259+w_conv*$D$14/v_conv)</f>
        <v/>
      </c>
      <c r="L259" s="34" t="str">
        <f aca="false">IF(F259="","",2*F259+w_conv*$D$15/v_conv)</f>
        <v/>
      </c>
      <c r="M259" s="34" t="str">
        <f aca="false">IF(G259="","",2*G259+w_conv*$D$16/v_conv)</f>
        <v/>
      </c>
      <c r="N259" s="34" t="str">
        <f aca="false">IF(H259="","",2*H259+w_conv*$D$17/v_conv)</f>
        <v/>
      </c>
      <c r="O259" s="34" t="str">
        <f aca="false">IF(A259&gt;NL_b,"",MIN(I259:N259))</f>
        <v/>
      </c>
      <c r="P259" s="34" t="str">
        <f aca="false">IF(O259="","",INDEX(C259:H259,MATCH(O259,I259:N259,0)))</f>
        <v/>
      </c>
      <c r="Q259" s="34" t="str">
        <f aca="false">IF(O259="","",INDEX($D$12:$D$17,MATCH(O259,I259:N259,0)))</f>
        <v/>
      </c>
    </row>
    <row r="260" customFormat="false" ht="15" hidden="false" customHeight="true" outlineLevel="0" collapsed="false">
      <c r="A260" s="54" t="n">
        <v>240</v>
      </c>
      <c r="B260" s="34" t="n">
        <f aca="false">(A260-0.5)*u_w</f>
        <v>239.5</v>
      </c>
      <c r="C260" s="34" t="str">
        <f aca="false">IF(OR(A260&gt;NL_b,$B$12=""),"",IF((ABS(B260-$B$12)+lane_off)&lt;=0,0,IF((ABS(B260-$B$12)+lane_off)&gt;=v_sh^2/a_sh,(ABS(B260-$B$12)+lane_off)/v_sh+v_sh/a_sh,2*SQRT((ABS(B260-$B$12)+lane_off)/a_sh))))</f>
        <v/>
      </c>
      <c r="D260" s="34" t="str">
        <f aca="false">IF(OR(A260&gt;NL_b,$B$13=""),"",IF((ABS(B260-$B$13)+lane_off)&lt;=0,0,IF((ABS(B260-$B$13)+lane_off)&gt;=v_sh^2/a_sh,(ABS(B260-$B$13)+lane_off)/v_sh+v_sh/a_sh,2*SQRT((ABS(B260-$B$13)+lane_off)/a_sh))))</f>
        <v/>
      </c>
      <c r="E260" s="34" t="str">
        <f aca="false">IF(OR(A260&gt;NL_b,$B$14=""),"",IF((ABS(B260-$B$14)+lane_off)&lt;=0,0,IF((ABS(B260-$B$14)+lane_off)&gt;=v_sh^2/a_sh,(ABS(B260-$B$14)+lane_off)/v_sh+v_sh/a_sh,2*SQRT((ABS(B260-$B$14)+lane_off)/a_sh))))</f>
        <v/>
      </c>
      <c r="F260" s="34" t="str">
        <f aca="false">IF(OR(A260&gt;NL_b,$B$15=""),"",IF((ABS(B260-$B$15)+lane_off)&lt;=0,0,IF((ABS(B260-$B$15)+lane_off)&gt;=v_sh^2/a_sh,(ABS(B260-$B$15)+lane_off)/v_sh+v_sh/a_sh,2*SQRT((ABS(B260-$B$15)+lane_off)/a_sh))))</f>
        <v/>
      </c>
      <c r="G260" s="34" t="str">
        <f aca="false">IF(OR(A260&gt;NL_b,$B$16=""),"",IF((ABS(B260-$B$16)+lane_off)&lt;=0,0,IF((ABS(B260-$B$16)+lane_off)&gt;=v_sh^2/a_sh,(ABS(B260-$B$16)+lane_off)/v_sh+v_sh/a_sh,2*SQRT((ABS(B260-$B$16)+lane_off)/a_sh))))</f>
        <v/>
      </c>
      <c r="H260" s="34" t="str">
        <f aca="false">IF(OR(A260&gt;NL_b,$B$17=""),"",IF((ABS(B260-$B$17)+lane_off)&lt;=0,0,IF((ABS(B260-$B$17)+lane_off)&gt;=v_sh^2/a_sh,(ABS(B260-$B$17)+lane_off)/v_sh+v_sh/a_sh,2*SQRT((ABS(B260-$B$17)+lane_off)/a_sh))))</f>
        <v/>
      </c>
      <c r="I260" s="34" t="str">
        <f aca="false">IF(C260="","",2*C260+w_conv*$D$12/v_conv)</f>
        <v/>
      </c>
      <c r="J260" s="34" t="str">
        <f aca="false">IF(D260="","",2*D260+w_conv*$D$13/v_conv)</f>
        <v/>
      </c>
      <c r="K260" s="34" t="str">
        <f aca="false">IF(E260="","",2*E260+w_conv*$D$14/v_conv)</f>
        <v/>
      </c>
      <c r="L260" s="34" t="str">
        <f aca="false">IF(F260="","",2*F260+w_conv*$D$15/v_conv)</f>
        <v/>
      </c>
      <c r="M260" s="34" t="str">
        <f aca="false">IF(G260="","",2*G260+w_conv*$D$16/v_conv)</f>
        <v/>
      </c>
      <c r="N260" s="34" t="str">
        <f aca="false">IF(H260="","",2*H260+w_conv*$D$17/v_conv)</f>
        <v/>
      </c>
      <c r="O260" s="34" t="str">
        <f aca="false">IF(A260&gt;NL_b,"",MIN(I260:N260))</f>
        <v/>
      </c>
      <c r="P260" s="34" t="str">
        <f aca="false">IF(O260="","",INDEX(C260:H260,MATCH(O260,I260:N260,0)))</f>
        <v/>
      </c>
      <c r="Q260" s="34" t="str">
        <f aca="false">IF(O260="","",INDEX($D$12:$D$17,MATCH(O260,I260:N260,0)))</f>
        <v/>
      </c>
    </row>
    <row r="261" customFormat="false" ht="15" hidden="false" customHeight="true" outlineLevel="0" collapsed="false">
      <c r="A261" s="54" t="n">
        <v>241</v>
      </c>
      <c r="B261" s="34" t="n">
        <f aca="false">(A261-0.5)*u_w</f>
        <v>240.5</v>
      </c>
      <c r="C261" s="34" t="str">
        <f aca="false">IF(OR(A261&gt;NL_b,$B$12=""),"",IF((ABS(B261-$B$12)+lane_off)&lt;=0,0,IF((ABS(B261-$B$12)+lane_off)&gt;=v_sh^2/a_sh,(ABS(B261-$B$12)+lane_off)/v_sh+v_sh/a_sh,2*SQRT((ABS(B261-$B$12)+lane_off)/a_sh))))</f>
        <v/>
      </c>
      <c r="D261" s="34" t="str">
        <f aca="false">IF(OR(A261&gt;NL_b,$B$13=""),"",IF((ABS(B261-$B$13)+lane_off)&lt;=0,0,IF((ABS(B261-$B$13)+lane_off)&gt;=v_sh^2/a_sh,(ABS(B261-$B$13)+lane_off)/v_sh+v_sh/a_sh,2*SQRT((ABS(B261-$B$13)+lane_off)/a_sh))))</f>
        <v/>
      </c>
      <c r="E261" s="34" t="str">
        <f aca="false">IF(OR(A261&gt;NL_b,$B$14=""),"",IF((ABS(B261-$B$14)+lane_off)&lt;=0,0,IF((ABS(B261-$B$14)+lane_off)&gt;=v_sh^2/a_sh,(ABS(B261-$B$14)+lane_off)/v_sh+v_sh/a_sh,2*SQRT((ABS(B261-$B$14)+lane_off)/a_sh))))</f>
        <v/>
      </c>
      <c r="F261" s="34" t="str">
        <f aca="false">IF(OR(A261&gt;NL_b,$B$15=""),"",IF((ABS(B261-$B$15)+lane_off)&lt;=0,0,IF((ABS(B261-$B$15)+lane_off)&gt;=v_sh^2/a_sh,(ABS(B261-$B$15)+lane_off)/v_sh+v_sh/a_sh,2*SQRT((ABS(B261-$B$15)+lane_off)/a_sh))))</f>
        <v/>
      </c>
      <c r="G261" s="34" t="str">
        <f aca="false">IF(OR(A261&gt;NL_b,$B$16=""),"",IF((ABS(B261-$B$16)+lane_off)&lt;=0,0,IF((ABS(B261-$B$16)+lane_off)&gt;=v_sh^2/a_sh,(ABS(B261-$B$16)+lane_off)/v_sh+v_sh/a_sh,2*SQRT((ABS(B261-$B$16)+lane_off)/a_sh))))</f>
        <v/>
      </c>
      <c r="H261" s="34" t="str">
        <f aca="false">IF(OR(A261&gt;NL_b,$B$17=""),"",IF((ABS(B261-$B$17)+lane_off)&lt;=0,0,IF((ABS(B261-$B$17)+lane_off)&gt;=v_sh^2/a_sh,(ABS(B261-$B$17)+lane_off)/v_sh+v_sh/a_sh,2*SQRT((ABS(B261-$B$17)+lane_off)/a_sh))))</f>
        <v/>
      </c>
      <c r="I261" s="34" t="str">
        <f aca="false">IF(C261="","",2*C261+w_conv*$D$12/v_conv)</f>
        <v/>
      </c>
      <c r="J261" s="34" t="str">
        <f aca="false">IF(D261="","",2*D261+w_conv*$D$13/v_conv)</f>
        <v/>
      </c>
      <c r="K261" s="34" t="str">
        <f aca="false">IF(E261="","",2*E261+w_conv*$D$14/v_conv)</f>
        <v/>
      </c>
      <c r="L261" s="34" t="str">
        <f aca="false">IF(F261="","",2*F261+w_conv*$D$15/v_conv)</f>
        <v/>
      </c>
      <c r="M261" s="34" t="str">
        <f aca="false">IF(G261="","",2*G261+w_conv*$D$16/v_conv)</f>
        <v/>
      </c>
      <c r="N261" s="34" t="str">
        <f aca="false">IF(H261="","",2*H261+w_conv*$D$17/v_conv)</f>
        <v/>
      </c>
      <c r="O261" s="34" t="str">
        <f aca="false">IF(A261&gt;NL_b,"",MIN(I261:N261))</f>
        <v/>
      </c>
      <c r="P261" s="34" t="str">
        <f aca="false">IF(O261="","",INDEX(C261:H261,MATCH(O261,I261:N261,0)))</f>
        <v/>
      </c>
      <c r="Q261" s="34" t="str">
        <f aca="false">IF(O261="","",INDEX($D$12:$D$17,MATCH(O261,I261:N261,0)))</f>
        <v/>
      </c>
    </row>
    <row r="262" customFormat="false" ht="15" hidden="false" customHeight="true" outlineLevel="0" collapsed="false">
      <c r="A262" s="54" t="n">
        <v>242</v>
      </c>
      <c r="B262" s="34" t="n">
        <f aca="false">(A262-0.5)*u_w</f>
        <v>241.5</v>
      </c>
      <c r="C262" s="34" t="str">
        <f aca="false">IF(OR(A262&gt;NL_b,$B$12=""),"",IF((ABS(B262-$B$12)+lane_off)&lt;=0,0,IF((ABS(B262-$B$12)+lane_off)&gt;=v_sh^2/a_sh,(ABS(B262-$B$12)+lane_off)/v_sh+v_sh/a_sh,2*SQRT((ABS(B262-$B$12)+lane_off)/a_sh))))</f>
        <v/>
      </c>
      <c r="D262" s="34" t="str">
        <f aca="false">IF(OR(A262&gt;NL_b,$B$13=""),"",IF((ABS(B262-$B$13)+lane_off)&lt;=0,0,IF((ABS(B262-$B$13)+lane_off)&gt;=v_sh^2/a_sh,(ABS(B262-$B$13)+lane_off)/v_sh+v_sh/a_sh,2*SQRT((ABS(B262-$B$13)+lane_off)/a_sh))))</f>
        <v/>
      </c>
      <c r="E262" s="34" t="str">
        <f aca="false">IF(OR(A262&gt;NL_b,$B$14=""),"",IF((ABS(B262-$B$14)+lane_off)&lt;=0,0,IF((ABS(B262-$B$14)+lane_off)&gt;=v_sh^2/a_sh,(ABS(B262-$B$14)+lane_off)/v_sh+v_sh/a_sh,2*SQRT((ABS(B262-$B$14)+lane_off)/a_sh))))</f>
        <v/>
      </c>
      <c r="F262" s="34" t="str">
        <f aca="false">IF(OR(A262&gt;NL_b,$B$15=""),"",IF((ABS(B262-$B$15)+lane_off)&lt;=0,0,IF((ABS(B262-$B$15)+lane_off)&gt;=v_sh^2/a_sh,(ABS(B262-$B$15)+lane_off)/v_sh+v_sh/a_sh,2*SQRT((ABS(B262-$B$15)+lane_off)/a_sh))))</f>
        <v/>
      </c>
      <c r="G262" s="34" t="str">
        <f aca="false">IF(OR(A262&gt;NL_b,$B$16=""),"",IF((ABS(B262-$B$16)+lane_off)&lt;=0,0,IF((ABS(B262-$B$16)+lane_off)&gt;=v_sh^2/a_sh,(ABS(B262-$B$16)+lane_off)/v_sh+v_sh/a_sh,2*SQRT((ABS(B262-$B$16)+lane_off)/a_sh))))</f>
        <v/>
      </c>
      <c r="H262" s="34" t="str">
        <f aca="false">IF(OR(A262&gt;NL_b,$B$17=""),"",IF((ABS(B262-$B$17)+lane_off)&lt;=0,0,IF((ABS(B262-$B$17)+lane_off)&gt;=v_sh^2/a_sh,(ABS(B262-$B$17)+lane_off)/v_sh+v_sh/a_sh,2*SQRT((ABS(B262-$B$17)+lane_off)/a_sh))))</f>
        <v/>
      </c>
      <c r="I262" s="34" t="str">
        <f aca="false">IF(C262="","",2*C262+w_conv*$D$12/v_conv)</f>
        <v/>
      </c>
      <c r="J262" s="34" t="str">
        <f aca="false">IF(D262="","",2*D262+w_conv*$D$13/v_conv)</f>
        <v/>
      </c>
      <c r="K262" s="34" t="str">
        <f aca="false">IF(E262="","",2*E262+w_conv*$D$14/v_conv)</f>
        <v/>
      </c>
      <c r="L262" s="34" t="str">
        <f aca="false">IF(F262="","",2*F262+w_conv*$D$15/v_conv)</f>
        <v/>
      </c>
      <c r="M262" s="34" t="str">
        <f aca="false">IF(G262="","",2*G262+w_conv*$D$16/v_conv)</f>
        <v/>
      </c>
      <c r="N262" s="34" t="str">
        <f aca="false">IF(H262="","",2*H262+w_conv*$D$17/v_conv)</f>
        <v/>
      </c>
      <c r="O262" s="34" t="str">
        <f aca="false">IF(A262&gt;NL_b,"",MIN(I262:N262))</f>
        <v/>
      </c>
      <c r="P262" s="34" t="str">
        <f aca="false">IF(O262="","",INDEX(C262:H262,MATCH(O262,I262:N262,0)))</f>
        <v/>
      </c>
      <c r="Q262" s="34" t="str">
        <f aca="false">IF(O262="","",INDEX($D$12:$D$17,MATCH(O262,I262:N262,0)))</f>
        <v/>
      </c>
    </row>
    <row r="263" customFormat="false" ht="15" hidden="false" customHeight="true" outlineLevel="0" collapsed="false">
      <c r="A263" s="54" t="n">
        <v>243</v>
      </c>
      <c r="B263" s="34" t="n">
        <f aca="false">(A263-0.5)*u_w</f>
        <v>242.5</v>
      </c>
      <c r="C263" s="34" t="str">
        <f aca="false">IF(OR(A263&gt;NL_b,$B$12=""),"",IF((ABS(B263-$B$12)+lane_off)&lt;=0,0,IF((ABS(B263-$B$12)+lane_off)&gt;=v_sh^2/a_sh,(ABS(B263-$B$12)+lane_off)/v_sh+v_sh/a_sh,2*SQRT((ABS(B263-$B$12)+lane_off)/a_sh))))</f>
        <v/>
      </c>
      <c r="D263" s="34" t="str">
        <f aca="false">IF(OR(A263&gt;NL_b,$B$13=""),"",IF((ABS(B263-$B$13)+lane_off)&lt;=0,0,IF((ABS(B263-$B$13)+lane_off)&gt;=v_sh^2/a_sh,(ABS(B263-$B$13)+lane_off)/v_sh+v_sh/a_sh,2*SQRT((ABS(B263-$B$13)+lane_off)/a_sh))))</f>
        <v/>
      </c>
      <c r="E263" s="34" t="str">
        <f aca="false">IF(OR(A263&gt;NL_b,$B$14=""),"",IF((ABS(B263-$B$14)+lane_off)&lt;=0,0,IF((ABS(B263-$B$14)+lane_off)&gt;=v_sh^2/a_sh,(ABS(B263-$B$14)+lane_off)/v_sh+v_sh/a_sh,2*SQRT((ABS(B263-$B$14)+lane_off)/a_sh))))</f>
        <v/>
      </c>
      <c r="F263" s="34" t="str">
        <f aca="false">IF(OR(A263&gt;NL_b,$B$15=""),"",IF((ABS(B263-$B$15)+lane_off)&lt;=0,0,IF((ABS(B263-$B$15)+lane_off)&gt;=v_sh^2/a_sh,(ABS(B263-$B$15)+lane_off)/v_sh+v_sh/a_sh,2*SQRT((ABS(B263-$B$15)+lane_off)/a_sh))))</f>
        <v/>
      </c>
      <c r="G263" s="34" t="str">
        <f aca="false">IF(OR(A263&gt;NL_b,$B$16=""),"",IF((ABS(B263-$B$16)+lane_off)&lt;=0,0,IF((ABS(B263-$B$16)+lane_off)&gt;=v_sh^2/a_sh,(ABS(B263-$B$16)+lane_off)/v_sh+v_sh/a_sh,2*SQRT((ABS(B263-$B$16)+lane_off)/a_sh))))</f>
        <v/>
      </c>
      <c r="H263" s="34" t="str">
        <f aca="false">IF(OR(A263&gt;NL_b,$B$17=""),"",IF((ABS(B263-$B$17)+lane_off)&lt;=0,0,IF((ABS(B263-$B$17)+lane_off)&gt;=v_sh^2/a_sh,(ABS(B263-$B$17)+lane_off)/v_sh+v_sh/a_sh,2*SQRT((ABS(B263-$B$17)+lane_off)/a_sh))))</f>
        <v/>
      </c>
      <c r="I263" s="34" t="str">
        <f aca="false">IF(C263="","",2*C263+w_conv*$D$12/v_conv)</f>
        <v/>
      </c>
      <c r="J263" s="34" t="str">
        <f aca="false">IF(D263="","",2*D263+w_conv*$D$13/v_conv)</f>
        <v/>
      </c>
      <c r="K263" s="34" t="str">
        <f aca="false">IF(E263="","",2*E263+w_conv*$D$14/v_conv)</f>
        <v/>
      </c>
      <c r="L263" s="34" t="str">
        <f aca="false">IF(F263="","",2*F263+w_conv*$D$15/v_conv)</f>
        <v/>
      </c>
      <c r="M263" s="34" t="str">
        <f aca="false">IF(G263="","",2*G263+w_conv*$D$16/v_conv)</f>
        <v/>
      </c>
      <c r="N263" s="34" t="str">
        <f aca="false">IF(H263="","",2*H263+w_conv*$D$17/v_conv)</f>
        <v/>
      </c>
      <c r="O263" s="34" t="str">
        <f aca="false">IF(A263&gt;NL_b,"",MIN(I263:N263))</f>
        <v/>
      </c>
      <c r="P263" s="34" t="str">
        <f aca="false">IF(O263="","",INDEX(C263:H263,MATCH(O263,I263:N263,0)))</f>
        <v/>
      </c>
      <c r="Q263" s="34" t="str">
        <f aca="false">IF(O263="","",INDEX($D$12:$D$17,MATCH(O263,I263:N263,0)))</f>
        <v/>
      </c>
    </row>
    <row r="264" customFormat="false" ht="15" hidden="false" customHeight="true" outlineLevel="0" collapsed="false">
      <c r="A264" s="54" t="n">
        <v>244</v>
      </c>
      <c r="B264" s="34" t="n">
        <f aca="false">(A264-0.5)*u_w</f>
        <v>243.5</v>
      </c>
      <c r="C264" s="34" t="str">
        <f aca="false">IF(OR(A264&gt;NL_b,$B$12=""),"",IF((ABS(B264-$B$12)+lane_off)&lt;=0,0,IF((ABS(B264-$B$12)+lane_off)&gt;=v_sh^2/a_sh,(ABS(B264-$B$12)+lane_off)/v_sh+v_sh/a_sh,2*SQRT((ABS(B264-$B$12)+lane_off)/a_sh))))</f>
        <v/>
      </c>
      <c r="D264" s="34" t="str">
        <f aca="false">IF(OR(A264&gt;NL_b,$B$13=""),"",IF((ABS(B264-$B$13)+lane_off)&lt;=0,0,IF((ABS(B264-$B$13)+lane_off)&gt;=v_sh^2/a_sh,(ABS(B264-$B$13)+lane_off)/v_sh+v_sh/a_sh,2*SQRT((ABS(B264-$B$13)+lane_off)/a_sh))))</f>
        <v/>
      </c>
      <c r="E264" s="34" t="str">
        <f aca="false">IF(OR(A264&gt;NL_b,$B$14=""),"",IF((ABS(B264-$B$14)+lane_off)&lt;=0,0,IF((ABS(B264-$B$14)+lane_off)&gt;=v_sh^2/a_sh,(ABS(B264-$B$14)+lane_off)/v_sh+v_sh/a_sh,2*SQRT((ABS(B264-$B$14)+lane_off)/a_sh))))</f>
        <v/>
      </c>
      <c r="F264" s="34" t="str">
        <f aca="false">IF(OR(A264&gt;NL_b,$B$15=""),"",IF((ABS(B264-$B$15)+lane_off)&lt;=0,0,IF((ABS(B264-$B$15)+lane_off)&gt;=v_sh^2/a_sh,(ABS(B264-$B$15)+lane_off)/v_sh+v_sh/a_sh,2*SQRT((ABS(B264-$B$15)+lane_off)/a_sh))))</f>
        <v/>
      </c>
      <c r="G264" s="34" t="str">
        <f aca="false">IF(OR(A264&gt;NL_b,$B$16=""),"",IF((ABS(B264-$B$16)+lane_off)&lt;=0,0,IF((ABS(B264-$B$16)+lane_off)&gt;=v_sh^2/a_sh,(ABS(B264-$B$16)+lane_off)/v_sh+v_sh/a_sh,2*SQRT((ABS(B264-$B$16)+lane_off)/a_sh))))</f>
        <v/>
      </c>
      <c r="H264" s="34" t="str">
        <f aca="false">IF(OR(A264&gt;NL_b,$B$17=""),"",IF((ABS(B264-$B$17)+lane_off)&lt;=0,0,IF((ABS(B264-$B$17)+lane_off)&gt;=v_sh^2/a_sh,(ABS(B264-$B$17)+lane_off)/v_sh+v_sh/a_sh,2*SQRT((ABS(B264-$B$17)+lane_off)/a_sh))))</f>
        <v/>
      </c>
      <c r="I264" s="34" t="str">
        <f aca="false">IF(C264="","",2*C264+w_conv*$D$12/v_conv)</f>
        <v/>
      </c>
      <c r="J264" s="34" t="str">
        <f aca="false">IF(D264="","",2*D264+w_conv*$D$13/v_conv)</f>
        <v/>
      </c>
      <c r="K264" s="34" t="str">
        <f aca="false">IF(E264="","",2*E264+w_conv*$D$14/v_conv)</f>
        <v/>
      </c>
      <c r="L264" s="34" t="str">
        <f aca="false">IF(F264="","",2*F264+w_conv*$D$15/v_conv)</f>
        <v/>
      </c>
      <c r="M264" s="34" t="str">
        <f aca="false">IF(G264="","",2*G264+w_conv*$D$16/v_conv)</f>
        <v/>
      </c>
      <c r="N264" s="34" t="str">
        <f aca="false">IF(H264="","",2*H264+w_conv*$D$17/v_conv)</f>
        <v/>
      </c>
      <c r="O264" s="34" t="str">
        <f aca="false">IF(A264&gt;NL_b,"",MIN(I264:N264))</f>
        <v/>
      </c>
      <c r="P264" s="34" t="str">
        <f aca="false">IF(O264="","",INDEX(C264:H264,MATCH(O264,I264:N264,0)))</f>
        <v/>
      </c>
      <c r="Q264" s="34" t="str">
        <f aca="false">IF(O264="","",INDEX($D$12:$D$17,MATCH(O264,I264:N264,0)))</f>
        <v/>
      </c>
    </row>
    <row r="265" customFormat="false" ht="15" hidden="false" customHeight="true" outlineLevel="0" collapsed="false">
      <c r="A265" s="54" t="n">
        <v>245</v>
      </c>
      <c r="B265" s="34" t="n">
        <f aca="false">(A265-0.5)*u_w</f>
        <v>244.5</v>
      </c>
      <c r="C265" s="34" t="str">
        <f aca="false">IF(OR(A265&gt;NL_b,$B$12=""),"",IF((ABS(B265-$B$12)+lane_off)&lt;=0,0,IF((ABS(B265-$B$12)+lane_off)&gt;=v_sh^2/a_sh,(ABS(B265-$B$12)+lane_off)/v_sh+v_sh/a_sh,2*SQRT((ABS(B265-$B$12)+lane_off)/a_sh))))</f>
        <v/>
      </c>
      <c r="D265" s="34" t="str">
        <f aca="false">IF(OR(A265&gt;NL_b,$B$13=""),"",IF((ABS(B265-$B$13)+lane_off)&lt;=0,0,IF((ABS(B265-$B$13)+lane_off)&gt;=v_sh^2/a_sh,(ABS(B265-$B$13)+lane_off)/v_sh+v_sh/a_sh,2*SQRT((ABS(B265-$B$13)+lane_off)/a_sh))))</f>
        <v/>
      </c>
      <c r="E265" s="34" t="str">
        <f aca="false">IF(OR(A265&gt;NL_b,$B$14=""),"",IF((ABS(B265-$B$14)+lane_off)&lt;=0,0,IF((ABS(B265-$B$14)+lane_off)&gt;=v_sh^2/a_sh,(ABS(B265-$B$14)+lane_off)/v_sh+v_sh/a_sh,2*SQRT((ABS(B265-$B$14)+lane_off)/a_sh))))</f>
        <v/>
      </c>
      <c r="F265" s="34" t="str">
        <f aca="false">IF(OR(A265&gt;NL_b,$B$15=""),"",IF((ABS(B265-$B$15)+lane_off)&lt;=0,0,IF((ABS(B265-$B$15)+lane_off)&gt;=v_sh^2/a_sh,(ABS(B265-$B$15)+lane_off)/v_sh+v_sh/a_sh,2*SQRT((ABS(B265-$B$15)+lane_off)/a_sh))))</f>
        <v/>
      </c>
      <c r="G265" s="34" t="str">
        <f aca="false">IF(OR(A265&gt;NL_b,$B$16=""),"",IF((ABS(B265-$B$16)+lane_off)&lt;=0,0,IF((ABS(B265-$B$16)+lane_off)&gt;=v_sh^2/a_sh,(ABS(B265-$B$16)+lane_off)/v_sh+v_sh/a_sh,2*SQRT((ABS(B265-$B$16)+lane_off)/a_sh))))</f>
        <v/>
      </c>
      <c r="H265" s="34" t="str">
        <f aca="false">IF(OR(A265&gt;NL_b,$B$17=""),"",IF((ABS(B265-$B$17)+lane_off)&lt;=0,0,IF((ABS(B265-$B$17)+lane_off)&gt;=v_sh^2/a_sh,(ABS(B265-$B$17)+lane_off)/v_sh+v_sh/a_sh,2*SQRT((ABS(B265-$B$17)+lane_off)/a_sh))))</f>
        <v/>
      </c>
      <c r="I265" s="34" t="str">
        <f aca="false">IF(C265="","",2*C265+w_conv*$D$12/v_conv)</f>
        <v/>
      </c>
      <c r="J265" s="34" t="str">
        <f aca="false">IF(D265="","",2*D265+w_conv*$D$13/v_conv)</f>
        <v/>
      </c>
      <c r="K265" s="34" t="str">
        <f aca="false">IF(E265="","",2*E265+w_conv*$D$14/v_conv)</f>
        <v/>
      </c>
      <c r="L265" s="34" t="str">
        <f aca="false">IF(F265="","",2*F265+w_conv*$D$15/v_conv)</f>
        <v/>
      </c>
      <c r="M265" s="34" t="str">
        <f aca="false">IF(G265="","",2*G265+w_conv*$D$16/v_conv)</f>
        <v/>
      </c>
      <c r="N265" s="34" t="str">
        <f aca="false">IF(H265="","",2*H265+w_conv*$D$17/v_conv)</f>
        <v/>
      </c>
      <c r="O265" s="34" t="str">
        <f aca="false">IF(A265&gt;NL_b,"",MIN(I265:N265))</f>
        <v/>
      </c>
      <c r="P265" s="34" t="str">
        <f aca="false">IF(O265="","",INDEX(C265:H265,MATCH(O265,I265:N265,0)))</f>
        <v/>
      </c>
      <c r="Q265" s="34" t="str">
        <f aca="false">IF(O265="","",INDEX($D$12:$D$17,MATCH(O265,I265:N265,0)))</f>
        <v/>
      </c>
    </row>
    <row r="266" customFormat="false" ht="15" hidden="false" customHeight="true" outlineLevel="0" collapsed="false">
      <c r="A266" s="54" t="n">
        <v>246</v>
      </c>
      <c r="B266" s="34" t="n">
        <f aca="false">(A266-0.5)*u_w</f>
        <v>245.5</v>
      </c>
      <c r="C266" s="34" t="str">
        <f aca="false">IF(OR(A266&gt;NL_b,$B$12=""),"",IF((ABS(B266-$B$12)+lane_off)&lt;=0,0,IF((ABS(B266-$B$12)+lane_off)&gt;=v_sh^2/a_sh,(ABS(B266-$B$12)+lane_off)/v_sh+v_sh/a_sh,2*SQRT((ABS(B266-$B$12)+lane_off)/a_sh))))</f>
        <v/>
      </c>
      <c r="D266" s="34" t="str">
        <f aca="false">IF(OR(A266&gt;NL_b,$B$13=""),"",IF((ABS(B266-$B$13)+lane_off)&lt;=0,0,IF((ABS(B266-$B$13)+lane_off)&gt;=v_sh^2/a_sh,(ABS(B266-$B$13)+lane_off)/v_sh+v_sh/a_sh,2*SQRT((ABS(B266-$B$13)+lane_off)/a_sh))))</f>
        <v/>
      </c>
      <c r="E266" s="34" t="str">
        <f aca="false">IF(OR(A266&gt;NL_b,$B$14=""),"",IF((ABS(B266-$B$14)+lane_off)&lt;=0,0,IF((ABS(B266-$B$14)+lane_off)&gt;=v_sh^2/a_sh,(ABS(B266-$B$14)+lane_off)/v_sh+v_sh/a_sh,2*SQRT((ABS(B266-$B$14)+lane_off)/a_sh))))</f>
        <v/>
      </c>
      <c r="F266" s="34" t="str">
        <f aca="false">IF(OR(A266&gt;NL_b,$B$15=""),"",IF((ABS(B266-$B$15)+lane_off)&lt;=0,0,IF((ABS(B266-$B$15)+lane_off)&gt;=v_sh^2/a_sh,(ABS(B266-$B$15)+lane_off)/v_sh+v_sh/a_sh,2*SQRT((ABS(B266-$B$15)+lane_off)/a_sh))))</f>
        <v/>
      </c>
      <c r="G266" s="34" t="str">
        <f aca="false">IF(OR(A266&gt;NL_b,$B$16=""),"",IF((ABS(B266-$B$16)+lane_off)&lt;=0,0,IF((ABS(B266-$B$16)+lane_off)&gt;=v_sh^2/a_sh,(ABS(B266-$B$16)+lane_off)/v_sh+v_sh/a_sh,2*SQRT((ABS(B266-$B$16)+lane_off)/a_sh))))</f>
        <v/>
      </c>
      <c r="H266" s="34" t="str">
        <f aca="false">IF(OR(A266&gt;NL_b,$B$17=""),"",IF((ABS(B266-$B$17)+lane_off)&lt;=0,0,IF((ABS(B266-$B$17)+lane_off)&gt;=v_sh^2/a_sh,(ABS(B266-$B$17)+lane_off)/v_sh+v_sh/a_sh,2*SQRT((ABS(B266-$B$17)+lane_off)/a_sh))))</f>
        <v/>
      </c>
      <c r="I266" s="34" t="str">
        <f aca="false">IF(C266="","",2*C266+w_conv*$D$12/v_conv)</f>
        <v/>
      </c>
      <c r="J266" s="34" t="str">
        <f aca="false">IF(D266="","",2*D266+w_conv*$D$13/v_conv)</f>
        <v/>
      </c>
      <c r="K266" s="34" t="str">
        <f aca="false">IF(E266="","",2*E266+w_conv*$D$14/v_conv)</f>
        <v/>
      </c>
      <c r="L266" s="34" t="str">
        <f aca="false">IF(F266="","",2*F266+w_conv*$D$15/v_conv)</f>
        <v/>
      </c>
      <c r="M266" s="34" t="str">
        <f aca="false">IF(G266="","",2*G266+w_conv*$D$16/v_conv)</f>
        <v/>
      </c>
      <c r="N266" s="34" t="str">
        <f aca="false">IF(H266="","",2*H266+w_conv*$D$17/v_conv)</f>
        <v/>
      </c>
      <c r="O266" s="34" t="str">
        <f aca="false">IF(A266&gt;NL_b,"",MIN(I266:N266))</f>
        <v/>
      </c>
      <c r="P266" s="34" t="str">
        <f aca="false">IF(O266="","",INDEX(C266:H266,MATCH(O266,I266:N266,0)))</f>
        <v/>
      </c>
      <c r="Q266" s="34" t="str">
        <f aca="false">IF(O266="","",INDEX($D$12:$D$17,MATCH(O266,I266:N266,0)))</f>
        <v/>
      </c>
    </row>
    <row r="267" customFormat="false" ht="15" hidden="false" customHeight="true" outlineLevel="0" collapsed="false">
      <c r="A267" s="54" t="n">
        <v>247</v>
      </c>
      <c r="B267" s="34" t="n">
        <f aca="false">(A267-0.5)*u_w</f>
        <v>246.5</v>
      </c>
      <c r="C267" s="34" t="str">
        <f aca="false">IF(OR(A267&gt;NL_b,$B$12=""),"",IF((ABS(B267-$B$12)+lane_off)&lt;=0,0,IF((ABS(B267-$B$12)+lane_off)&gt;=v_sh^2/a_sh,(ABS(B267-$B$12)+lane_off)/v_sh+v_sh/a_sh,2*SQRT((ABS(B267-$B$12)+lane_off)/a_sh))))</f>
        <v/>
      </c>
      <c r="D267" s="34" t="str">
        <f aca="false">IF(OR(A267&gt;NL_b,$B$13=""),"",IF((ABS(B267-$B$13)+lane_off)&lt;=0,0,IF((ABS(B267-$B$13)+lane_off)&gt;=v_sh^2/a_sh,(ABS(B267-$B$13)+lane_off)/v_sh+v_sh/a_sh,2*SQRT((ABS(B267-$B$13)+lane_off)/a_sh))))</f>
        <v/>
      </c>
      <c r="E267" s="34" t="str">
        <f aca="false">IF(OR(A267&gt;NL_b,$B$14=""),"",IF((ABS(B267-$B$14)+lane_off)&lt;=0,0,IF((ABS(B267-$B$14)+lane_off)&gt;=v_sh^2/a_sh,(ABS(B267-$B$14)+lane_off)/v_sh+v_sh/a_sh,2*SQRT((ABS(B267-$B$14)+lane_off)/a_sh))))</f>
        <v/>
      </c>
      <c r="F267" s="34" t="str">
        <f aca="false">IF(OR(A267&gt;NL_b,$B$15=""),"",IF((ABS(B267-$B$15)+lane_off)&lt;=0,0,IF((ABS(B267-$B$15)+lane_off)&gt;=v_sh^2/a_sh,(ABS(B267-$B$15)+lane_off)/v_sh+v_sh/a_sh,2*SQRT((ABS(B267-$B$15)+lane_off)/a_sh))))</f>
        <v/>
      </c>
      <c r="G267" s="34" t="str">
        <f aca="false">IF(OR(A267&gt;NL_b,$B$16=""),"",IF((ABS(B267-$B$16)+lane_off)&lt;=0,0,IF((ABS(B267-$B$16)+lane_off)&gt;=v_sh^2/a_sh,(ABS(B267-$B$16)+lane_off)/v_sh+v_sh/a_sh,2*SQRT((ABS(B267-$B$16)+lane_off)/a_sh))))</f>
        <v/>
      </c>
      <c r="H267" s="34" t="str">
        <f aca="false">IF(OR(A267&gt;NL_b,$B$17=""),"",IF((ABS(B267-$B$17)+lane_off)&lt;=0,0,IF((ABS(B267-$B$17)+lane_off)&gt;=v_sh^2/a_sh,(ABS(B267-$B$17)+lane_off)/v_sh+v_sh/a_sh,2*SQRT((ABS(B267-$B$17)+lane_off)/a_sh))))</f>
        <v/>
      </c>
      <c r="I267" s="34" t="str">
        <f aca="false">IF(C267="","",2*C267+w_conv*$D$12/v_conv)</f>
        <v/>
      </c>
      <c r="J267" s="34" t="str">
        <f aca="false">IF(D267="","",2*D267+w_conv*$D$13/v_conv)</f>
        <v/>
      </c>
      <c r="K267" s="34" t="str">
        <f aca="false">IF(E267="","",2*E267+w_conv*$D$14/v_conv)</f>
        <v/>
      </c>
      <c r="L267" s="34" t="str">
        <f aca="false">IF(F267="","",2*F267+w_conv*$D$15/v_conv)</f>
        <v/>
      </c>
      <c r="M267" s="34" t="str">
        <f aca="false">IF(G267="","",2*G267+w_conv*$D$16/v_conv)</f>
        <v/>
      </c>
      <c r="N267" s="34" t="str">
        <f aca="false">IF(H267="","",2*H267+w_conv*$D$17/v_conv)</f>
        <v/>
      </c>
      <c r="O267" s="34" t="str">
        <f aca="false">IF(A267&gt;NL_b,"",MIN(I267:N267))</f>
        <v/>
      </c>
      <c r="P267" s="34" t="str">
        <f aca="false">IF(O267="","",INDEX(C267:H267,MATCH(O267,I267:N267,0)))</f>
        <v/>
      </c>
      <c r="Q267" s="34" t="str">
        <f aca="false">IF(O267="","",INDEX($D$12:$D$17,MATCH(O267,I267:N267,0)))</f>
        <v/>
      </c>
    </row>
    <row r="268" customFormat="false" ht="15" hidden="false" customHeight="true" outlineLevel="0" collapsed="false">
      <c r="A268" s="54" t="n">
        <v>248</v>
      </c>
      <c r="B268" s="34" t="n">
        <f aca="false">(A268-0.5)*u_w</f>
        <v>247.5</v>
      </c>
      <c r="C268" s="34" t="str">
        <f aca="false">IF(OR(A268&gt;NL_b,$B$12=""),"",IF((ABS(B268-$B$12)+lane_off)&lt;=0,0,IF((ABS(B268-$B$12)+lane_off)&gt;=v_sh^2/a_sh,(ABS(B268-$B$12)+lane_off)/v_sh+v_sh/a_sh,2*SQRT((ABS(B268-$B$12)+lane_off)/a_sh))))</f>
        <v/>
      </c>
      <c r="D268" s="34" t="str">
        <f aca="false">IF(OR(A268&gt;NL_b,$B$13=""),"",IF((ABS(B268-$B$13)+lane_off)&lt;=0,0,IF((ABS(B268-$B$13)+lane_off)&gt;=v_sh^2/a_sh,(ABS(B268-$B$13)+lane_off)/v_sh+v_sh/a_sh,2*SQRT((ABS(B268-$B$13)+lane_off)/a_sh))))</f>
        <v/>
      </c>
      <c r="E268" s="34" t="str">
        <f aca="false">IF(OR(A268&gt;NL_b,$B$14=""),"",IF((ABS(B268-$B$14)+lane_off)&lt;=0,0,IF((ABS(B268-$B$14)+lane_off)&gt;=v_sh^2/a_sh,(ABS(B268-$B$14)+lane_off)/v_sh+v_sh/a_sh,2*SQRT((ABS(B268-$B$14)+lane_off)/a_sh))))</f>
        <v/>
      </c>
      <c r="F268" s="34" t="str">
        <f aca="false">IF(OR(A268&gt;NL_b,$B$15=""),"",IF((ABS(B268-$B$15)+lane_off)&lt;=0,0,IF((ABS(B268-$B$15)+lane_off)&gt;=v_sh^2/a_sh,(ABS(B268-$B$15)+lane_off)/v_sh+v_sh/a_sh,2*SQRT((ABS(B268-$B$15)+lane_off)/a_sh))))</f>
        <v/>
      </c>
      <c r="G268" s="34" t="str">
        <f aca="false">IF(OR(A268&gt;NL_b,$B$16=""),"",IF((ABS(B268-$B$16)+lane_off)&lt;=0,0,IF((ABS(B268-$B$16)+lane_off)&gt;=v_sh^2/a_sh,(ABS(B268-$B$16)+lane_off)/v_sh+v_sh/a_sh,2*SQRT((ABS(B268-$B$16)+lane_off)/a_sh))))</f>
        <v/>
      </c>
      <c r="H268" s="34" t="str">
        <f aca="false">IF(OR(A268&gt;NL_b,$B$17=""),"",IF((ABS(B268-$B$17)+lane_off)&lt;=0,0,IF((ABS(B268-$B$17)+lane_off)&gt;=v_sh^2/a_sh,(ABS(B268-$B$17)+lane_off)/v_sh+v_sh/a_sh,2*SQRT((ABS(B268-$B$17)+lane_off)/a_sh))))</f>
        <v/>
      </c>
      <c r="I268" s="34" t="str">
        <f aca="false">IF(C268="","",2*C268+w_conv*$D$12/v_conv)</f>
        <v/>
      </c>
      <c r="J268" s="34" t="str">
        <f aca="false">IF(D268="","",2*D268+w_conv*$D$13/v_conv)</f>
        <v/>
      </c>
      <c r="K268" s="34" t="str">
        <f aca="false">IF(E268="","",2*E268+w_conv*$D$14/v_conv)</f>
        <v/>
      </c>
      <c r="L268" s="34" t="str">
        <f aca="false">IF(F268="","",2*F268+w_conv*$D$15/v_conv)</f>
        <v/>
      </c>
      <c r="M268" s="34" t="str">
        <f aca="false">IF(G268="","",2*G268+w_conv*$D$16/v_conv)</f>
        <v/>
      </c>
      <c r="N268" s="34" t="str">
        <f aca="false">IF(H268="","",2*H268+w_conv*$D$17/v_conv)</f>
        <v/>
      </c>
      <c r="O268" s="34" t="str">
        <f aca="false">IF(A268&gt;NL_b,"",MIN(I268:N268))</f>
        <v/>
      </c>
      <c r="P268" s="34" t="str">
        <f aca="false">IF(O268="","",INDEX(C268:H268,MATCH(O268,I268:N268,0)))</f>
        <v/>
      </c>
      <c r="Q268" s="34" t="str">
        <f aca="false">IF(O268="","",INDEX($D$12:$D$17,MATCH(O268,I268:N268,0)))</f>
        <v/>
      </c>
    </row>
    <row r="269" customFormat="false" ht="15" hidden="false" customHeight="true" outlineLevel="0" collapsed="false">
      <c r="A269" s="54" t="n">
        <v>249</v>
      </c>
      <c r="B269" s="34" t="n">
        <f aca="false">(A269-0.5)*u_w</f>
        <v>248.5</v>
      </c>
      <c r="C269" s="34" t="str">
        <f aca="false">IF(OR(A269&gt;NL_b,$B$12=""),"",IF((ABS(B269-$B$12)+lane_off)&lt;=0,0,IF((ABS(B269-$B$12)+lane_off)&gt;=v_sh^2/a_sh,(ABS(B269-$B$12)+lane_off)/v_sh+v_sh/a_sh,2*SQRT((ABS(B269-$B$12)+lane_off)/a_sh))))</f>
        <v/>
      </c>
      <c r="D269" s="34" t="str">
        <f aca="false">IF(OR(A269&gt;NL_b,$B$13=""),"",IF((ABS(B269-$B$13)+lane_off)&lt;=0,0,IF((ABS(B269-$B$13)+lane_off)&gt;=v_sh^2/a_sh,(ABS(B269-$B$13)+lane_off)/v_sh+v_sh/a_sh,2*SQRT((ABS(B269-$B$13)+lane_off)/a_sh))))</f>
        <v/>
      </c>
      <c r="E269" s="34" t="str">
        <f aca="false">IF(OR(A269&gt;NL_b,$B$14=""),"",IF((ABS(B269-$B$14)+lane_off)&lt;=0,0,IF((ABS(B269-$B$14)+lane_off)&gt;=v_sh^2/a_sh,(ABS(B269-$B$14)+lane_off)/v_sh+v_sh/a_sh,2*SQRT((ABS(B269-$B$14)+lane_off)/a_sh))))</f>
        <v/>
      </c>
      <c r="F269" s="34" t="str">
        <f aca="false">IF(OR(A269&gt;NL_b,$B$15=""),"",IF((ABS(B269-$B$15)+lane_off)&lt;=0,0,IF((ABS(B269-$B$15)+lane_off)&gt;=v_sh^2/a_sh,(ABS(B269-$B$15)+lane_off)/v_sh+v_sh/a_sh,2*SQRT((ABS(B269-$B$15)+lane_off)/a_sh))))</f>
        <v/>
      </c>
      <c r="G269" s="34" t="str">
        <f aca="false">IF(OR(A269&gt;NL_b,$B$16=""),"",IF((ABS(B269-$B$16)+lane_off)&lt;=0,0,IF((ABS(B269-$B$16)+lane_off)&gt;=v_sh^2/a_sh,(ABS(B269-$B$16)+lane_off)/v_sh+v_sh/a_sh,2*SQRT((ABS(B269-$B$16)+lane_off)/a_sh))))</f>
        <v/>
      </c>
      <c r="H269" s="34" t="str">
        <f aca="false">IF(OR(A269&gt;NL_b,$B$17=""),"",IF((ABS(B269-$B$17)+lane_off)&lt;=0,0,IF((ABS(B269-$B$17)+lane_off)&gt;=v_sh^2/a_sh,(ABS(B269-$B$17)+lane_off)/v_sh+v_sh/a_sh,2*SQRT((ABS(B269-$B$17)+lane_off)/a_sh))))</f>
        <v/>
      </c>
      <c r="I269" s="34" t="str">
        <f aca="false">IF(C269="","",2*C269+w_conv*$D$12/v_conv)</f>
        <v/>
      </c>
      <c r="J269" s="34" t="str">
        <f aca="false">IF(D269="","",2*D269+w_conv*$D$13/v_conv)</f>
        <v/>
      </c>
      <c r="K269" s="34" t="str">
        <f aca="false">IF(E269="","",2*E269+w_conv*$D$14/v_conv)</f>
        <v/>
      </c>
      <c r="L269" s="34" t="str">
        <f aca="false">IF(F269="","",2*F269+w_conv*$D$15/v_conv)</f>
        <v/>
      </c>
      <c r="M269" s="34" t="str">
        <f aca="false">IF(G269="","",2*G269+w_conv*$D$16/v_conv)</f>
        <v/>
      </c>
      <c r="N269" s="34" t="str">
        <f aca="false">IF(H269="","",2*H269+w_conv*$D$17/v_conv)</f>
        <v/>
      </c>
      <c r="O269" s="34" t="str">
        <f aca="false">IF(A269&gt;NL_b,"",MIN(I269:N269))</f>
        <v/>
      </c>
      <c r="P269" s="34" t="str">
        <f aca="false">IF(O269="","",INDEX(C269:H269,MATCH(O269,I269:N269,0)))</f>
        <v/>
      </c>
      <c r="Q269" s="34" t="str">
        <f aca="false">IF(O269="","",INDEX($D$12:$D$17,MATCH(O269,I269:N269,0)))</f>
        <v/>
      </c>
    </row>
    <row r="270" customFormat="false" ht="15" hidden="false" customHeight="true" outlineLevel="0" collapsed="false">
      <c r="A270" s="54" t="n">
        <v>250</v>
      </c>
      <c r="B270" s="34" t="n">
        <f aca="false">(A270-0.5)*u_w</f>
        <v>249.5</v>
      </c>
      <c r="C270" s="34" t="str">
        <f aca="false">IF(OR(A270&gt;NL_b,$B$12=""),"",IF((ABS(B270-$B$12)+lane_off)&lt;=0,0,IF((ABS(B270-$B$12)+lane_off)&gt;=v_sh^2/a_sh,(ABS(B270-$B$12)+lane_off)/v_sh+v_sh/a_sh,2*SQRT((ABS(B270-$B$12)+lane_off)/a_sh))))</f>
        <v/>
      </c>
      <c r="D270" s="34" t="str">
        <f aca="false">IF(OR(A270&gt;NL_b,$B$13=""),"",IF((ABS(B270-$B$13)+lane_off)&lt;=0,0,IF((ABS(B270-$B$13)+lane_off)&gt;=v_sh^2/a_sh,(ABS(B270-$B$13)+lane_off)/v_sh+v_sh/a_sh,2*SQRT((ABS(B270-$B$13)+lane_off)/a_sh))))</f>
        <v/>
      </c>
      <c r="E270" s="34" t="str">
        <f aca="false">IF(OR(A270&gt;NL_b,$B$14=""),"",IF((ABS(B270-$B$14)+lane_off)&lt;=0,0,IF((ABS(B270-$B$14)+lane_off)&gt;=v_sh^2/a_sh,(ABS(B270-$B$14)+lane_off)/v_sh+v_sh/a_sh,2*SQRT((ABS(B270-$B$14)+lane_off)/a_sh))))</f>
        <v/>
      </c>
      <c r="F270" s="34" t="str">
        <f aca="false">IF(OR(A270&gt;NL_b,$B$15=""),"",IF((ABS(B270-$B$15)+lane_off)&lt;=0,0,IF((ABS(B270-$B$15)+lane_off)&gt;=v_sh^2/a_sh,(ABS(B270-$B$15)+lane_off)/v_sh+v_sh/a_sh,2*SQRT((ABS(B270-$B$15)+lane_off)/a_sh))))</f>
        <v/>
      </c>
      <c r="G270" s="34" t="str">
        <f aca="false">IF(OR(A270&gt;NL_b,$B$16=""),"",IF((ABS(B270-$B$16)+lane_off)&lt;=0,0,IF((ABS(B270-$B$16)+lane_off)&gt;=v_sh^2/a_sh,(ABS(B270-$B$16)+lane_off)/v_sh+v_sh/a_sh,2*SQRT((ABS(B270-$B$16)+lane_off)/a_sh))))</f>
        <v/>
      </c>
      <c r="H270" s="34" t="str">
        <f aca="false">IF(OR(A270&gt;NL_b,$B$17=""),"",IF((ABS(B270-$B$17)+lane_off)&lt;=0,0,IF((ABS(B270-$B$17)+lane_off)&gt;=v_sh^2/a_sh,(ABS(B270-$B$17)+lane_off)/v_sh+v_sh/a_sh,2*SQRT((ABS(B270-$B$17)+lane_off)/a_sh))))</f>
        <v/>
      </c>
      <c r="I270" s="34" t="str">
        <f aca="false">IF(C270="","",2*C270+w_conv*$D$12/v_conv)</f>
        <v/>
      </c>
      <c r="J270" s="34" t="str">
        <f aca="false">IF(D270="","",2*D270+w_conv*$D$13/v_conv)</f>
        <v/>
      </c>
      <c r="K270" s="34" t="str">
        <f aca="false">IF(E270="","",2*E270+w_conv*$D$14/v_conv)</f>
        <v/>
      </c>
      <c r="L270" s="34" t="str">
        <f aca="false">IF(F270="","",2*F270+w_conv*$D$15/v_conv)</f>
        <v/>
      </c>
      <c r="M270" s="34" t="str">
        <f aca="false">IF(G270="","",2*G270+w_conv*$D$16/v_conv)</f>
        <v/>
      </c>
      <c r="N270" s="34" t="str">
        <f aca="false">IF(H270="","",2*H270+w_conv*$D$17/v_conv)</f>
        <v/>
      </c>
      <c r="O270" s="34" t="str">
        <f aca="false">IF(A270&gt;NL_b,"",MIN(I270:N270))</f>
        <v/>
      </c>
      <c r="P270" s="34" t="str">
        <f aca="false">IF(O270="","",INDEX(C270:H270,MATCH(O270,I270:N270,0)))</f>
        <v/>
      </c>
      <c r="Q270" s="34" t="str">
        <f aca="false">IF(O270="","",INDEX($D$12:$D$17,MATCH(O270,I270:N270,0)))</f>
        <v/>
      </c>
    </row>
    <row r="271" customFormat="false" ht="15" hidden="false" customHeight="true" outlineLevel="0" collapsed="false">
      <c r="A271" s="54" t="n">
        <v>251</v>
      </c>
      <c r="B271" s="34" t="n">
        <f aca="false">(A271-0.5)*u_w</f>
        <v>250.5</v>
      </c>
      <c r="C271" s="34" t="str">
        <f aca="false">IF(OR(A271&gt;NL_b,$B$12=""),"",IF((ABS(B271-$B$12)+lane_off)&lt;=0,0,IF((ABS(B271-$B$12)+lane_off)&gt;=v_sh^2/a_sh,(ABS(B271-$B$12)+lane_off)/v_sh+v_sh/a_sh,2*SQRT((ABS(B271-$B$12)+lane_off)/a_sh))))</f>
        <v/>
      </c>
      <c r="D271" s="34" t="str">
        <f aca="false">IF(OR(A271&gt;NL_b,$B$13=""),"",IF((ABS(B271-$B$13)+lane_off)&lt;=0,0,IF((ABS(B271-$B$13)+lane_off)&gt;=v_sh^2/a_sh,(ABS(B271-$B$13)+lane_off)/v_sh+v_sh/a_sh,2*SQRT((ABS(B271-$B$13)+lane_off)/a_sh))))</f>
        <v/>
      </c>
      <c r="E271" s="34" t="str">
        <f aca="false">IF(OR(A271&gt;NL_b,$B$14=""),"",IF((ABS(B271-$B$14)+lane_off)&lt;=0,0,IF((ABS(B271-$B$14)+lane_off)&gt;=v_sh^2/a_sh,(ABS(B271-$B$14)+lane_off)/v_sh+v_sh/a_sh,2*SQRT((ABS(B271-$B$14)+lane_off)/a_sh))))</f>
        <v/>
      </c>
      <c r="F271" s="34" t="str">
        <f aca="false">IF(OR(A271&gt;NL_b,$B$15=""),"",IF((ABS(B271-$B$15)+lane_off)&lt;=0,0,IF((ABS(B271-$B$15)+lane_off)&gt;=v_sh^2/a_sh,(ABS(B271-$B$15)+lane_off)/v_sh+v_sh/a_sh,2*SQRT((ABS(B271-$B$15)+lane_off)/a_sh))))</f>
        <v/>
      </c>
      <c r="G271" s="34" t="str">
        <f aca="false">IF(OR(A271&gt;NL_b,$B$16=""),"",IF((ABS(B271-$B$16)+lane_off)&lt;=0,0,IF((ABS(B271-$B$16)+lane_off)&gt;=v_sh^2/a_sh,(ABS(B271-$B$16)+lane_off)/v_sh+v_sh/a_sh,2*SQRT((ABS(B271-$B$16)+lane_off)/a_sh))))</f>
        <v/>
      </c>
      <c r="H271" s="34" t="str">
        <f aca="false">IF(OR(A271&gt;NL_b,$B$17=""),"",IF((ABS(B271-$B$17)+lane_off)&lt;=0,0,IF((ABS(B271-$B$17)+lane_off)&gt;=v_sh^2/a_sh,(ABS(B271-$B$17)+lane_off)/v_sh+v_sh/a_sh,2*SQRT((ABS(B271-$B$17)+lane_off)/a_sh))))</f>
        <v/>
      </c>
      <c r="I271" s="34" t="str">
        <f aca="false">IF(C271="","",2*C271+w_conv*$D$12/v_conv)</f>
        <v/>
      </c>
      <c r="J271" s="34" t="str">
        <f aca="false">IF(D271="","",2*D271+w_conv*$D$13/v_conv)</f>
        <v/>
      </c>
      <c r="K271" s="34" t="str">
        <f aca="false">IF(E271="","",2*E271+w_conv*$D$14/v_conv)</f>
        <v/>
      </c>
      <c r="L271" s="34" t="str">
        <f aca="false">IF(F271="","",2*F271+w_conv*$D$15/v_conv)</f>
        <v/>
      </c>
      <c r="M271" s="34" t="str">
        <f aca="false">IF(G271="","",2*G271+w_conv*$D$16/v_conv)</f>
        <v/>
      </c>
      <c r="N271" s="34" t="str">
        <f aca="false">IF(H271="","",2*H271+w_conv*$D$17/v_conv)</f>
        <v/>
      </c>
      <c r="O271" s="34" t="str">
        <f aca="false">IF(A271&gt;NL_b,"",MIN(I271:N271))</f>
        <v/>
      </c>
      <c r="P271" s="34" t="str">
        <f aca="false">IF(O271="","",INDEX(C271:H271,MATCH(O271,I271:N271,0)))</f>
        <v/>
      </c>
      <c r="Q271" s="34" t="str">
        <f aca="false">IF(O271="","",INDEX($D$12:$D$17,MATCH(O271,I271:N271,0)))</f>
        <v/>
      </c>
    </row>
    <row r="272" customFormat="false" ht="15" hidden="false" customHeight="true" outlineLevel="0" collapsed="false">
      <c r="A272" s="54" t="n">
        <v>252</v>
      </c>
      <c r="B272" s="34" t="n">
        <f aca="false">(A272-0.5)*u_w</f>
        <v>251.5</v>
      </c>
      <c r="C272" s="34" t="str">
        <f aca="false">IF(OR(A272&gt;NL_b,$B$12=""),"",IF((ABS(B272-$B$12)+lane_off)&lt;=0,0,IF((ABS(B272-$B$12)+lane_off)&gt;=v_sh^2/a_sh,(ABS(B272-$B$12)+lane_off)/v_sh+v_sh/a_sh,2*SQRT((ABS(B272-$B$12)+lane_off)/a_sh))))</f>
        <v/>
      </c>
      <c r="D272" s="34" t="str">
        <f aca="false">IF(OR(A272&gt;NL_b,$B$13=""),"",IF((ABS(B272-$B$13)+lane_off)&lt;=0,0,IF((ABS(B272-$B$13)+lane_off)&gt;=v_sh^2/a_sh,(ABS(B272-$B$13)+lane_off)/v_sh+v_sh/a_sh,2*SQRT((ABS(B272-$B$13)+lane_off)/a_sh))))</f>
        <v/>
      </c>
      <c r="E272" s="34" t="str">
        <f aca="false">IF(OR(A272&gt;NL_b,$B$14=""),"",IF((ABS(B272-$B$14)+lane_off)&lt;=0,0,IF((ABS(B272-$B$14)+lane_off)&gt;=v_sh^2/a_sh,(ABS(B272-$B$14)+lane_off)/v_sh+v_sh/a_sh,2*SQRT((ABS(B272-$B$14)+lane_off)/a_sh))))</f>
        <v/>
      </c>
      <c r="F272" s="34" t="str">
        <f aca="false">IF(OR(A272&gt;NL_b,$B$15=""),"",IF((ABS(B272-$B$15)+lane_off)&lt;=0,0,IF((ABS(B272-$B$15)+lane_off)&gt;=v_sh^2/a_sh,(ABS(B272-$B$15)+lane_off)/v_sh+v_sh/a_sh,2*SQRT((ABS(B272-$B$15)+lane_off)/a_sh))))</f>
        <v/>
      </c>
      <c r="G272" s="34" t="str">
        <f aca="false">IF(OR(A272&gt;NL_b,$B$16=""),"",IF((ABS(B272-$B$16)+lane_off)&lt;=0,0,IF((ABS(B272-$B$16)+lane_off)&gt;=v_sh^2/a_sh,(ABS(B272-$B$16)+lane_off)/v_sh+v_sh/a_sh,2*SQRT((ABS(B272-$B$16)+lane_off)/a_sh))))</f>
        <v/>
      </c>
      <c r="H272" s="34" t="str">
        <f aca="false">IF(OR(A272&gt;NL_b,$B$17=""),"",IF((ABS(B272-$B$17)+lane_off)&lt;=0,0,IF((ABS(B272-$B$17)+lane_off)&gt;=v_sh^2/a_sh,(ABS(B272-$B$17)+lane_off)/v_sh+v_sh/a_sh,2*SQRT((ABS(B272-$B$17)+lane_off)/a_sh))))</f>
        <v/>
      </c>
      <c r="I272" s="34" t="str">
        <f aca="false">IF(C272="","",2*C272+w_conv*$D$12/v_conv)</f>
        <v/>
      </c>
      <c r="J272" s="34" t="str">
        <f aca="false">IF(D272="","",2*D272+w_conv*$D$13/v_conv)</f>
        <v/>
      </c>
      <c r="K272" s="34" t="str">
        <f aca="false">IF(E272="","",2*E272+w_conv*$D$14/v_conv)</f>
        <v/>
      </c>
      <c r="L272" s="34" t="str">
        <f aca="false">IF(F272="","",2*F272+w_conv*$D$15/v_conv)</f>
        <v/>
      </c>
      <c r="M272" s="34" t="str">
        <f aca="false">IF(G272="","",2*G272+w_conv*$D$16/v_conv)</f>
        <v/>
      </c>
      <c r="N272" s="34" t="str">
        <f aca="false">IF(H272="","",2*H272+w_conv*$D$17/v_conv)</f>
        <v/>
      </c>
      <c r="O272" s="34" t="str">
        <f aca="false">IF(A272&gt;NL_b,"",MIN(I272:N272))</f>
        <v/>
      </c>
      <c r="P272" s="34" t="str">
        <f aca="false">IF(O272="","",INDEX(C272:H272,MATCH(O272,I272:N272,0)))</f>
        <v/>
      </c>
      <c r="Q272" s="34" t="str">
        <f aca="false">IF(O272="","",INDEX($D$12:$D$17,MATCH(O272,I272:N272,0)))</f>
        <v/>
      </c>
    </row>
    <row r="273" customFormat="false" ht="15" hidden="false" customHeight="true" outlineLevel="0" collapsed="false">
      <c r="A273" s="54" t="n">
        <v>253</v>
      </c>
      <c r="B273" s="34" t="n">
        <f aca="false">(A273-0.5)*u_w</f>
        <v>252.5</v>
      </c>
      <c r="C273" s="34" t="str">
        <f aca="false">IF(OR(A273&gt;NL_b,$B$12=""),"",IF((ABS(B273-$B$12)+lane_off)&lt;=0,0,IF((ABS(B273-$B$12)+lane_off)&gt;=v_sh^2/a_sh,(ABS(B273-$B$12)+lane_off)/v_sh+v_sh/a_sh,2*SQRT((ABS(B273-$B$12)+lane_off)/a_sh))))</f>
        <v/>
      </c>
      <c r="D273" s="34" t="str">
        <f aca="false">IF(OR(A273&gt;NL_b,$B$13=""),"",IF((ABS(B273-$B$13)+lane_off)&lt;=0,0,IF((ABS(B273-$B$13)+lane_off)&gt;=v_sh^2/a_sh,(ABS(B273-$B$13)+lane_off)/v_sh+v_sh/a_sh,2*SQRT((ABS(B273-$B$13)+lane_off)/a_sh))))</f>
        <v/>
      </c>
      <c r="E273" s="34" t="str">
        <f aca="false">IF(OR(A273&gt;NL_b,$B$14=""),"",IF((ABS(B273-$B$14)+lane_off)&lt;=0,0,IF((ABS(B273-$B$14)+lane_off)&gt;=v_sh^2/a_sh,(ABS(B273-$B$14)+lane_off)/v_sh+v_sh/a_sh,2*SQRT((ABS(B273-$B$14)+lane_off)/a_sh))))</f>
        <v/>
      </c>
      <c r="F273" s="34" t="str">
        <f aca="false">IF(OR(A273&gt;NL_b,$B$15=""),"",IF((ABS(B273-$B$15)+lane_off)&lt;=0,0,IF((ABS(B273-$B$15)+lane_off)&gt;=v_sh^2/a_sh,(ABS(B273-$B$15)+lane_off)/v_sh+v_sh/a_sh,2*SQRT((ABS(B273-$B$15)+lane_off)/a_sh))))</f>
        <v/>
      </c>
      <c r="G273" s="34" t="str">
        <f aca="false">IF(OR(A273&gt;NL_b,$B$16=""),"",IF((ABS(B273-$B$16)+lane_off)&lt;=0,0,IF((ABS(B273-$B$16)+lane_off)&gt;=v_sh^2/a_sh,(ABS(B273-$B$16)+lane_off)/v_sh+v_sh/a_sh,2*SQRT((ABS(B273-$B$16)+lane_off)/a_sh))))</f>
        <v/>
      </c>
      <c r="H273" s="34" t="str">
        <f aca="false">IF(OR(A273&gt;NL_b,$B$17=""),"",IF((ABS(B273-$B$17)+lane_off)&lt;=0,0,IF((ABS(B273-$B$17)+lane_off)&gt;=v_sh^2/a_sh,(ABS(B273-$B$17)+lane_off)/v_sh+v_sh/a_sh,2*SQRT((ABS(B273-$B$17)+lane_off)/a_sh))))</f>
        <v/>
      </c>
      <c r="I273" s="34" t="str">
        <f aca="false">IF(C273="","",2*C273+w_conv*$D$12/v_conv)</f>
        <v/>
      </c>
      <c r="J273" s="34" t="str">
        <f aca="false">IF(D273="","",2*D273+w_conv*$D$13/v_conv)</f>
        <v/>
      </c>
      <c r="K273" s="34" t="str">
        <f aca="false">IF(E273="","",2*E273+w_conv*$D$14/v_conv)</f>
        <v/>
      </c>
      <c r="L273" s="34" t="str">
        <f aca="false">IF(F273="","",2*F273+w_conv*$D$15/v_conv)</f>
        <v/>
      </c>
      <c r="M273" s="34" t="str">
        <f aca="false">IF(G273="","",2*G273+w_conv*$D$16/v_conv)</f>
        <v/>
      </c>
      <c r="N273" s="34" t="str">
        <f aca="false">IF(H273="","",2*H273+w_conv*$D$17/v_conv)</f>
        <v/>
      </c>
      <c r="O273" s="34" t="str">
        <f aca="false">IF(A273&gt;NL_b,"",MIN(I273:N273))</f>
        <v/>
      </c>
      <c r="P273" s="34" t="str">
        <f aca="false">IF(O273="","",INDEX(C273:H273,MATCH(O273,I273:N273,0)))</f>
        <v/>
      </c>
      <c r="Q273" s="34" t="str">
        <f aca="false">IF(O273="","",INDEX($D$12:$D$17,MATCH(O273,I273:N273,0)))</f>
        <v/>
      </c>
    </row>
    <row r="274" customFormat="false" ht="15" hidden="false" customHeight="true" outlineLevel="0" collapsed="false">
      <c r="A274" s="54" t="n">
        <v>254</v>
      </c>
      <c r="B274" s="34" t="n">
        <f aca="false">(A274-0.5)*u_w</f>
        <v>253.5</v>
      </c>
      <c r="C274" s="34" t="str">
        <f aca="false">IF(OR(A274&gt;NL_b,$B$12=""),"",IF((ABS(B274-$B$12)+lane_off)&lt;=0,0,IF((ABS(B274-$B$12)+lane_off)&gt;=v_sh^2/a_sh,(ABS(B274-$B$12)+lane_off)/v_sh+v_sh/a_sh,2*SQRT((ABS(B274-$B$12)+lane_off)/a_sh))))</f>
        <v/>
      </c>
      <c r="D274" s="34" t="str">
        <f aca="false">IF(OR(A274&gt;NL_b,$B$13=""),"",IF((ABS(B274-$B$13)+lane_off)&lt;=0,0,IF((ABS(B274-$B$13)+lane_off)&gt;=v_sh^2/a_sh,(ABS(B274-$B$13)+lane_off)/v_sh+v_sh/a_sh,2*SQRT((ABS(B274-$B$13)+lane_off)/a_sh))))</f>
        <v/>
      </c>
      <c r="E274" s="34" t="str">
        <f aca="false">IF(OR(A274&gt;NL_b,$B$14=""),"",IF((ABS(B274-$B$14)+lane_off)&lt;=0,0,IF((ABS(B274-$B$14)+lane_off)&gt;=v_sh^2/a_sh,(ABS(B274-$B$14)+lane_off)/v_sh+v_sh/a_sh,2*SQRT((ABS(B274-$B$14)+lane_off)/a_sh))))</f>
        <v/>
      </c>
      <c r="F274" s="34" t="str">
        <f aca="false">IF(OR(A274&gt;NL_b,$B$15=""),"",IF((ABS(B274-$B$15)+lane_off)&lt;=0,0,IF((ABS(B274-$B$15)+lane_off)&gt;=v_sh^2/a_sh,(ABS(B274-$B$15)+lane_off)/v_sh+v_sh/a_sh,2*SQRT((ABS(B274-$B$15)+lane_off)/a_sh))))</f>
        <v/>
      </c>
      <c r="G274" s="34" t="str">
        <f aca="false">IF(OR(A274&gt;NL_b,$B$16=""),"",IF((ABS(B274-$B$16)+lane_off)&lt;=0,0,IF((ABS(B274-$B$16)+lane_off)&gt;=v_sh^2/a_sh,(ABS(B274-$B$16)+lane_off)/v_sh+v_sh/a_sh,2*SQRT((ABS(B274-$B$16)+lane_off)/a_sh))))</f>
        <v/>
      </c>
      <c r="H274" s="34" t="str">
        <f aca="false">IF(OR(A274&gt;NL_b,$B$17=""),"",IF((ABS(B274-$B$17)+lane_off)&lt;=0,0,IF((ABS(B274-$B$17)+lane_off)&gt;=v_sh^2/a_sh,(ABS(B274-$B$17)+lane_off)/v_sh+v_sh/a_sh,2*SQRT((ABS(B274-$B$17)+lane_off)/a_sh))))</f>
        <v/>
      </c>
      <c r="I274" s="34" t="str">
        <f aca="false">IF(C274="","",2*C274+w_conv*$D$12/v_conv)</f>
        <v/>
      </c>
      <c r="J274" s="34" t="str">
        <f aca="false">IF(D274="","",2*D274+w_conv*$D$13/v_conv)</f>
        <v/>
      </c>
      <c r="K274" s="34" t="str">
        <f aca="false">IF(E274="","",2*E274+w_conv*$D$14/v_conv)</f>
        <v/>
      </c>
      <c r="L274" s="34" t="str">
        <f aca="false">IF(F274="","",2*F274+w_conv*$D$15/v_conv)</f>
        <v/>
      </c>
      <c r="M274" s="34" t="str">
        <f aca="false">IF(G274="","",2*G274+w_conv*$D$16/v_conv)</f>
        <v/>
      </c>
      <c r="N274" s="34" t="str">
        <f aca="false">IF(H274="","",2*H274+w_conv*$D$17/v_conv)</f>
        <v/>
      </c>
      <c r="O274" s="34" t="str">
        <f aca="false">IF(A274&gt;NL_b,"",MIN(I274:N274))</f>
        <v/>
      </c>
      <c r="P274" s="34" t="str">
        <f aca="false">IF(O274="","",INDEX(C274:H274,MATCH(O274,I274:N274,0)))</f>
        <v/>
      </c>
      <c r="Q274" s="34" t="str">
        <f aca="false">IF(O274="","",INDEX($D$12:$D$17,MATCH(O274,I274:N274,0)))</f>
        <v/>
      </c>
    </row>
    <row r="275" customFormat="false" ht="15" hidden="false" customHeight="true" outlineLevel="0" collapsed="false">
      <c r="A275" s="54" t="n">
        <v>255</v>
      </c>
      <c r="B275" s="34" t="n">
        <f aca="false">(A275-0.5)*u_w</f>
        <v>254.5</v>
      </c>
      <c r="C275" s="34" t="str">
        <f aca="false">IF(OR(A275&gt;NL_b,$B$12=""),"",IF((ABS(B275-$B$12)+lane_off)&lt;=0,0,IF((ABS(B275-$B$12)+lane_off)&gt;=v_sh^2/a_sh,(ABS(B275-$B$12)+lane_off)/v_sh+v_sh/a_sh,2*SQRT((ABS(B275-$B$12)+lane_off)/a_sh))))</f>
        <v/>
      </c>
      <c r="D275" s="34" t="str">
        <f aca="false">IF(OR(A275&gt;NL_b,$B$13=""),"",IF((ABS(B275-$B$13)+lane_off)&lt;=0,0,IF((ABS(B275-$B$13)+lane_off)&gt;=v_sh^2/a_sh,(ABS(B275-$B$13)+lane_off)/v_sh+v_sh/a_sh,2*SQRT((ABS(B275-$B$13)+lane_off)/a_sh))))</f>
        <v/>
      </c>
      <c r="E275" s="34" t="str">
        <f aca="false">IF(OR(A275&gt;NL_b,$B$14=""),"",IF((ABS(B275-$B$14)+lane_off)&lt;=0,0,IF((ABS(B275-$B$14)+lane_off)&gt;=v_sh^2/a_sh,(ABS(B275-$B$14)+lane_off)/v_sh+v_sh/a_sh,2*SQRT((ABS(B275-$B$14)+lane_off)/a_sh))))</f>
        <v/>
      </c>
      <c r="F275" s="34" t="str">
        <f aca="false">IF(OR(A275&gt;NL_b,$B$15=""),"",IF((ABS(B275-$B$15)+lane_off)&lt;=0,0,IF((ABS(B275-$B$15)+lane_off)&gt;=v_sh^2/a_sh,(ABS(B275-$B$15)+lane_off)/v_sh+v_sh/a_sh,2*SQRT((ABS(B275-$B$15)+lane_off)/a_sh))))</f>
        <v/>
      </c>
      <c r="G275" s="34" t="str">
        <f aca="false">IF(OR(A275&gt;NL_b,$B$16=""),"",IF((ABS(B275-$B$16)+lane_off)&lt;=0,0,IF((ABS(B275-$B$16)+lane_off)&gt;=v_sh^2/a_sh,(ABS(B275-$B$16)+lane_off)/v_sh+v_sh/a_sh,2*SQRT((ABS(B275-$B$16)+lane_off)/a_sh))))</f>
        <v/>
      </c>
      <c r="H275" s="34" t="str">
        <f aca="false">IF(OR(A275&gt;NL_b,$B$17=""),"",IF((ABS(B275-$B$17)+lane_off)&lt;=0,0,IF((ABS(B275-$B$17)+lane_off)&gt;=v_sh^2/a_sh,(ABS(B275-$B$17)+lane_off)/v_sh+v_sh/a_sh,2*SQRT((ABS(B275-$B$17)+lane_off)/a_sh))))</f>
        <v/>
      </c>
      <c r="I275" s="34" t="str">
        <f aca="false">IF(C275="","",2*C275+w_conv*$D$12/v_conv)</f>
        <v/>
      </c>
      <c r="J275" s="34" t="str">
        <f aca="false">IF(D275="","",2*D275+w_conv*$D$13/v_conv)</f>
        <v/>
      </c>
      <c r="K275" s="34" t="str">
        <f aca="false">IF(E275="","",2*E275+w_conv*$D$14/v_conv)</f>
        <v/>
      </c>
      <c r="L275" s="34" t="str">
        <f aca="false">IF(F275="","",2*F275+w_conv*$D$15/v_conv)</f>
        <v/>
      </c>
      <c r="M275" s="34" t="str">
        <f aca="false">IF(G275="","",2*G275+w_conv*$D$16/v_conv)</f>
        <v/>
      </c>
      <c r="N275" s="34" t="str">
        <f aca="false">IF(H275="","",2*H275+w_conv*$D$17/v_conv)</f>
        <v/>
      </c>
      <c r="O275" s="34" t="str">
        <f aca="false">IF(A275&gt;NL_b,"",MIN(I275:N275))</f>
        <v/>
      </c>
      <c r="P275" s="34" t="str">
        <f aca="false">IF(O275="","",INDEX(C275:H275,MATCH(O275,I275:N275,0)))</f>
        <v/>
      </c>
      <c r="Q275" s="34" t="str">
        <f aca="false">IF(O275="","",INDEX($D$12:$D$17,MATCH(O275,I275:N275,0)))</f>
        <v/>
      </c>
    </row>
    <row r="276" customFormat="false" ht="15" hidden="false" customHeight="true" outlineLevel="0" collapsed="false">
      <c r="A276" s="54" t="n">
        <v>256</v>
      </c>
      <c r="B276" s="34" t="n">
        <f aca="false">(A276-0.5)*u_w</f>
        <v>255.5</v>
      </c>
      <c r="C276" s="34" t="str">
        <f aca="false">IF(OR(A276&gt;NL_b,$B$12=""),"",IF((ABS(B276-$B$12)+lane_off)&lt;=0,0,IF((ABS(B276-$B$12)+lane_off)&gt;=v_sh^2/a_sh,(ABS(B276-$B$12)+lane_off)/v_sh+v_sh/a_sh,2*SQRT((ABS(B276-$B$12)+lane_off)/a_sh))))</f>
        <v/>
      </c>
      <c r="D276" s="34" t="str">
        <f aca="false">IF(OR(A276&gt;NL_b,$B$13=""),"",IF((ABS(B276-$B$13)+lane_off)&lt;=0,0,IF((ABS(B276-$B$13)+lane_off)&gt;=v_sh^2/a_sh,(ABS(B276-$B$13)+lane_off)/v_sh+v_sh/a_sh,2*SQRT((ABS(B276-$B$13)+lane_off)/a_sh))))</f>
        <v/>
      </c>
      <c r="E276" s="34" t="str">
        <f aca="false">IF(OR(A276&gt;NL_b,$B$14=""),"",IF((ABS(B276-$B$14)+lane_off)&lt;=0,0,IF((ABS(B276-$B$14)+lane_off)&gt;=v_sh^2/a_sh,(ABS(B276-$B$14)+lane_off)/v_sh+v_sh/a_sh,2*SQRT((ABS(B276-$B$14)+lane_off)/a_sh))))</f>
        <v/>
      </c>
      <c r="F276" s="34" t="str">
        <f aca="false">IF(OR(A276&gt;NL_b,$B$15=""),"",IF((ABS(B276-$B$15)+lane_off)&lt;=0,0,IF((ABS(B276-$B$15)+lane_off)&gt;=v_sh^2/a_sh,(ABS(B276-$B$15)+lane_off)/v_sh+v_sh/a_sh,2*SQRT((ABS(B276-$B$15)+lane_off)/a_sh))))</f>
        <v/>
      </c>
      <c r="G276" s="34" t="str">
        <f aca="false">IF(OR(A276&gt;NL_b,$B$16=""),"",IF((ABS(B276-$B$16)+lane_off)&lt;=0,0,IF((ABS(B276-$B$16)+lane_off)&gt;=v_sh^2/a_sh,(ABS(B276-$B$16)+lane_off)/v_sh+v_sh/a_sh,2*SQRT((ABS(B276-$B$16)+lane_off)/a_sh))))</f>
        <v/>
      </c>
      <c r="H276" s="34" t="str">
        <f aca="false">IF(OR(A276&gt;NL_b,$B$17=""),"",IF((ABS(B276-$B$17)+lane_off)&lt;=0,0,IF((ABS(B276-$B$17)+lane_off)&gt;=v_sh^2/a_sh,(ABS(B276-$B$17)+lane_off)/v_sh+v_sh/a_sh,2*SQRT((ABS(B276-$B$17)+lane_off)/a_sh))))</f>
        <v/>
      </c>
      <c r="I276" s="34" t="str">
        <f aca="false">IF(C276="","",2*C276+w_conv*$D$12/v_conv)</f>
        <v/>
      </c>
      <c r="J276" s="34" t="str">
        <f aca="false">IF(D276="","",2*D276+w_conv*$D$13/v_conv)</f>
        <v/>
      </c>
      <c r="K276" s="34" t="str">
        <f aca="false">IF(E276="","",2*E276+w_conv*$D$14/v_conv)</f>
        <v/>
      </c>
      <c r="L276" s="34" t="str">
        <f aca="false">IF(F276="","",2*F276+w_conv*$D$15/v_conv)</f>
        <v/>
      </c>
      <c r="M276" s="34" t="str">
        <f aca="false">IF(G276="","",2*G276+w_conv*$D$16/v_conv)</f>
        <v/>
      </c>
      <c r="N276" s="34" t="str">
        <f aca="false">IF(H276="","",2*H276+w_conv*$D$17/v_conv)</f>
        <v/>
      </c>
      <c r="O276" s="34" t="str">
        <f aca="false">IF(A276&gt;NL_b,"",MIN(I276:N276))</f>
        <v/>
      </c>
      <c r="P276" s="34" t="str">
        <f aca="false">IF(O276="","",INDEX(C276:H276,MATCH(O276,I276:N276,0)))</f>
        <v/>
      </c>
      <c r="Q276" s="34" t="str">
        <f aca="false">IF(O276="","",INDEX($D$12:$D$17,MATCH(O276,I276:N276,0)))</f>
        <v/>
      </c>
    </row>
    <row r="277" customFormat="false" ht="15" hidden="false" customHeight="true" outlineLevel="0" collapsed="false">
      <c r="A277" s="54" t="n">
        <v>257</v>
      </c>
      <c r="B277" s="34" t="n">
        <f aca="false">(A277-0.5)*u_w</f>
        <v>256.5</v>
      </c>
      <c r="C277" s="34" t="str">
        <f aca="false">IF(OR(A277&gt;NL_b,$B$12=""),"",IF((ABS(B277-$B$12)+lane_off)&lt;=0,0,IF((ABS(B277-$B$12)+lane_off)&gt;=v_sh^2/a_sh,(ABS(B277-$B$12)+lane_off)/v_sh+v_sh/a_sh,2*SQRT((ABS(B277-$B$12)+lane_off)/a_sh))))</f>
        <v/>
      </c>
      <c r="D277" s="34" t="str">
        <f aca="false">IF(OR(A277&gt;NL_b,$B$13=""),"",IF((ABS(B277-$B$13)+lane_off)&lt;=0,0,IF((ABS(B277-$B$13)+lane_off)&gt;=v_sh^2/a_sh,(ABS(B277-$B$13)+lane_off)/v_sh+v_sh/a_sh,2*SQRT((ABS(B277-$B$13)+lane_off)/a_sh))))</f>
        <v/>
      </c>
      <c r="E277" s="34" t="str">
        <f aca="false">IF(OR(A277&gt;NL_b,$B$14=""),"",IF((ABS(B277-$B$14)+lane_off)&lt;=0,0,IF((ABS(B277-$B$14)+lane_off)&gt;=v_sh^2/a_sh,(ABS(B277-$B$14)+lane_off)/v_sh+v_sh/a_sh,2*SQRT((ABS(B277-$B$14)+lane_off)/a_sh))))</f>
        <v/>
      </c>
      <c r="F277" s="34" t="str">
        <f aca="false">IF(OR(A277&gt;NL_b,$B$15=""),"",IF((ABS(B277-$B$15)+lane_off)&lt;=0,0,IF((ABS(B277-$B$15)+lane_off)&gt;=v_sh^2/a_sh,(ABS(B277-$B$15)+lane_off)/v_sh+v_sh/a_sh,2*SQRT((ABS(B277-$B$15)+lane_off)/a_sh))))</f>
        <v/>
      </c>
      <c r="G277" s="34" t="str">
        <f aca="false">IF(OR(A277&gt;NL_b,$B$16=""),"",IF((ABS(B277-$B$16)+lane_off)&lt;=0,0,IF((ABS(B277-$B$16)+lane_off)&gt;=v_sh^2/a_sh,(ABS(B277-$B$16)+lane_off)/v_sh+v_sh/a_sh,2*SQRT((ABS(B277-$B$16)+lane_off)/a_sh))))</f>
        <v/>
      </c>
      <c r="H277" s="34" t="str">
        <f aca="false">IF(OR(A277&gt;NL_b,$B$17=""),"",IF((ABS(B277-$B$17)+lane_off)&lt;=0,0,IF((ABS(B277-$B$17)+lane_off)&gt;=v_sh^2/a_sh,(ABS(B277-$B$17)+lane_off)/v_sh+v_sh/a_sh,2*SQRT((ABS(B277-$B$17)+lane_off)/a_sh))))</f>
        <v/>
      </c>
      <c r="I277" s="34" t="str">
        <f aca="false">IF(C277="","",2*C277+w_conv*$D$12/v_conv)</f>
        <v/>
      </c>
      <c r="J277" s="34" t="str">
        <f aca="false">IF(D277="","",2*D277+w_conv*$D$13/v_conv)</f>
        <v/>
      </c>
      <c r="K277" s="34" t="str">
        <f aca="false">IF(E277="","",2*E277+w_conv*$D$14/v_conv)</f>
        <v/>
      </c>
      <c r="L277" s="34" t="str">
        <f aca="false">IF(F277="","",2*F277+w_conv*$D$15/v_conv)</f>
        <v/>
      </c>
      <c r="M277" s="34" t="str">
        <f aca="false">IF(G277="","",2*G277+w_conv*$D$16/v_conv)</f>
        <v/>
      </c>
      <c r="N277" s="34" t="str">
        <f aca="false">IF(H277="","",2*H277+w_conv*$D$17/v_conv)</f>
        <v/>
      </c>
      <c r="O277" s="34" t="str">
        <f aca="false">IF(A277&gt;NL_b,"",MIN(I277:N277))</f>
        <v/>
      </c>
      <c r="P277" s="34" t="str">
        <f aca="false">IF(O277="","",INDEX(C277:H277,MATCH(O277,I277:N277,0)))</f>
        <v/>
      </c>
      <c r="Q277" s="34" t="str">
        <f aca="false">IF(O277="","",INDEX($D$12:$D$17,MATCH(O277,I277:N277,0)))</f>
        <v/>
      </c>
    </row>
    <row r="278" customFormat="false" ht="15" hidden="false" customHeight="true" outlineLevel="0" collapsed="false">
      <c r="A278" s="54" t="n">
        <v>258</v>
      </c>
      <c r="B278" s="34" t="n">
        <f aca="false">(A278-0.5)*u_w</f>
        <v>257.5</v>
      </c>
      <c r="C278" s="34" t="str">
        <f aca="false">IF(OR(A278&gt;NL_b,$B$12=""),"",IF((ABS(B278-$B$12)+lane_off)&lt;=0,0,IF((ABS(B278-$B$12)+lane_off)&gt;=v_sh^2/a_sh,(ABS(B278-$B$12)+lane_off)/v_sh+v_sh/a_sh,2*SQRT((ABS(B278-$B$12)+lane_off)/a_sh))))</f>
        <v/>
      </c>
      <c r="D278" s="34" t="str">
        <f aca="false">IF(OR(A278&gt;NL_b,$B$13=""),"",IF((ABS(B278-$B$13)+lane_off)&lt;=0,0,IF((ABS(B278-$B$13)+lane_off)&gt;=v_sh^2/a_sh,(ABS(B278-$B$13)+lane_off)/v_sh+v_sh/a_sh,2*SQRT((ABS(B278-$B$13)+lane_off)/a_sh))))</f>
        <v/>
      </c>
      <c r="E278" s="34" t="str">
        <f aca="false">IF(OR(A278&gt;NL_b,$B$14=""),"",IF((ABS(B278-$B$14)+lane_off)&lt;=0,0,IF((ABS(B278-$B$14)+lane_off)&gt;=v_sh^2/a_sh,(ABS(B278-$B$14)+lane_off)/v_sh+v_sh/a_sh,2*SQRT((ABS(B278-$B$14)+lane_off)/a_sh))))</f>
        <v/>
      </c>
      <c r="F278" s="34" t="str">
        <f aca="false">IF(OR(A278&gt;NL_b,$B$15=""),"",IF((ABS(B278-$B$15)+lane_off)&lt;=0,0,IF((ABS(B278-$B$15)+lane_off)&gt;=v_sh^2/a_sh,(ABS(B278-$B$15)+lane_off)/v_sh+v_sh/a_sh,2*SQRT((ABS(B278-$B$15)+lane_off)/a_sh))))</f>
        <v/>
      </c>
      <c r="G278" s="34" t="str">
        <f aca="false">IF(OR(A278&gt;NL_b,$B$16=""),"",IF((ABS(B278-$B$16)+lane_off)&lt;=0,0,IF((ABS(B278-$B$16)+lane_off)&gt;=v_sh^2/a_sh,(ABS(B278-$B$16)+lane_off)/v_sh+v_sh/a_sh,2*SQRT((ABS(B278-$B$16)+lane_off)/a_sh))))</f>
        <v/>
      </c>
      <c r="H278" s="34" t="str">
        <f aca="false">IF(OR(A278&gt;NL_b,$B$17=""),"",IF((ABS(B278-$B$17)+lane_off)&lt;=0,0,IF((ABS(B278-$B$17)+lane_off)&gt;=v_sh^2/a_sh,(ABS(B278-$B$17)+lane_off)/v_sh+v_sh/a_sh,2*SQRT((ABS(B278-$B$17)+lane_off)/a_sh))))</f>
        <v/>
      </c>
      <c r="I278" s="34" t="str">
        <f aca="false">IF(C278="","",2*C278+w_conv*$D$12/v_conv)</f>
        <v/>
      </c>
      <c r="J278" s="34" t="str">
        <f aca="false">IF(D278="","",2*D278+w_conv*$D$13/v_conv)</f>
        <v/>
      </c>
      <c r="K278" s="34" t="str">
        <f aca="false">IF(E278="","",2*E278+w_conv*$D$14/v_conv)</f>
        <v/>
      </c>
      <c r="L278" s="34" t="str">
        <f aca="false">IF(F278="","",2*F278+w_conv*$D$15/v_conv)</f>
        <v/>
      </c>
      <c r="M278" s="34" t="str">
        <f aca="false">IF(G278="","",2*G278+w_conv*$D$16/v_conv)</f>
        <v/>
      </c>
      <c r="N278" s="34" t="str">
        <f aca="false">IF(H278="","",2*H278+w_conv*$D$17/v_conv)</f>
        <v/>
      </c>
      <c r="O278" s="34" t="str">
        <f aca="false">IF(A278&gt;NL_b,"",MIN(I278:N278))</f>
        <v/>
      </c>
      <c r="P278" s="34" t="str">
        <f aca="false">IF(O278="","",INDEX(C278:H278,MATCH(O278,I278:N278,0)))</f>
        <v/>
      </c>
      <c r="Q278" s="34" t="str">
        <f aca="false">IF(O278="","",INDEX($D$12:$D$17,MATCH(O278,I278:N278,0)))</f>
        <v/>
      </c>
    </row>
    <row r="279" customFormat="false" ht="15" hidden="false" customHeight="true" outlineLevel="0" collapsed="false">
      <c r="A279" s="54" t="n">
        <v>259</v>
      </c>
      <c r="B279" s="34" t="n">
        <f aca="false">(A279-0.5)*u_w</f>
        <v>258.5</v>
      </c>
      <c r="C279" s="34" t="str">
        <f aca="false">IF(OR(A279&gt;NL_b,$B$12=""),"",IF((ABS(B279-$B$12)+lane_off)&lt;=0,0,IF((ABS(B279-$B$12)+lane_off)&gt;=v_sh^2/a_sh,(ABS(B279-$B$12)+lane_off)/v_sh+v_sh/a_sh,2*SQRT((ABS(B279-$B$12)+lane_off)/a_sh))))</f>
        <v/>
      </c>
      <c r="D279" s="34" t="str">
        <f aca="false">IF(OR(A279&gt;NL_b,$B$13=""),"",IF((ABS(B279-$B$13)+lane_off)&lt;=0,0,IF((ABS(B279-$B$13)+lane_off)&gt;=v_sh^2/a_sh,(ABS(B279-$B$13)+lane_off)/v_sh+v_sh/a_sh,2*SQRT((ABS(B279-$B$13)+lane_off)/a_sh))))</f>
        <v/>
      </c>
      <c r="E279" s="34" t="str">
        <f aca="false">IF(OR(A279&gt;NL_b,$B$14=""),"",IF((ABS(B279-$B$14)+lane_off)&lt;=0,0,IF((ABS(B279-$B$14)+lane_off)&gt;=v_sh^2/a_sh,(ABS(B279-$B$14)+lane_off)/v_sh+v_sh/a_sh,2*SQRT((ABS(B279-$B$14)+lane_off)/a_sh))))</f>
        <v/>
      </c>
      <c r="F279" s="34" t="str">
        <f aca="false">IF(OR(A279&gt;NL_b,$B$15=""),"",IF((ABS(B279-$B$15)+lane_off)&lt;=0,0,IF((ABS(B279-$B$15)+lane_off)&gt;=v_sh^2/a_sh,(ABS(B279-$B$15)+lane_off)/v_sh+v_sh/a_sh,2*SQRT((ABS(B279-$B$15)+lane_off)/a_sh))))</f>
        <v/>
      </c>
      <c r="G279" s="34" t="str">
        <f aca="false">IF(OR(A279&gt;NL_b,$B$16=""),"",IF((ABS(B279-$B$16)+lane_off)&lt;=0,0,IF((ABS(B279-$B$16)+lane_off)&gt;=v_sh^2/a_sh,(ABS(B279-$B$16)+lane_off)/v_sh+v_sh/a_sh,2*SQRT((ABS(B279-$B$16)+lane_off)/a_sh))))</f>
        <v/>
      </c>
      <c r="H279" s="34" t="str">
        <f aca="false">IF(OR(A279&gt;NL_b,$B$17=""),"",IF((ABS(B279-$B$17)+lane_off)&lt;=0,0,IF((ABS(B279-$B$17)+lane_off)&gt;=v_sh^2/a_sh,(ABS(B279-$B$17)+lane_off)/v_sh+v_sh/a_sh,2*SQRT((ABS(B279-$B$17)+lane_off)/a_sh))))</f>
        <v/>
      </c>
      <c r="I279" s="34" t="str">
        <f aca="false">IF(C279="","",2*C279+w_conv*$D$12/v_conv)</f>
        <v/>
      </c>
      <c r="J279" s="34" t="str">
        <f aca="false">IF(D279="","",2*D279+w_conv*$D$13/v_conv)</f>
        <v/>
      </c>
      <c r="K279" s="34" t="str">
        <f aca="false">IF(E279="","",2*E279+w_conv*$D$14/v_conv)</f>
        <v/>
      </c>
      <c r="L279" s="34" t="str">
        <f aca="false">IF(F279="","",2*F279+w_conv*$D$15/v_conv)</f>
        <v/>
      </c>
      <c r="M279" s="34" t="str">
        <f aca="false">IF(G279="","",2*G279+w_conv*$D$16/v_conv)</f>
        <v/>
      </c>
      <c r="N279" s="34" t="str">
        <f aca="false">IF(H279="","",2*H279+w_conv*$D$17/v_conv)</f>
        <v/>
      </c>
      <c r="O279" s="34" t="str">
        <f aca="false">IF(A279&gt;NL_b,"",MIN(I279:N279))</f>
        <v/>
      </c>
      <c r="P279" s="34" t="str">
        <f aca="false">IF(O279="","",INDEX(C279:H279,MATCH(O279,I279:N279,0)))</f>
        <v/>
      </c>
      <c r="Q279" s="34" t="str">
        <f aca="false">IF(O279="","",INDEX($D$12:$D$17,MATCH(O279,I279:N279,0)))</f>
        <v/>
      </c>
    </row>
    <row r="280" customFormat="false" ht="15" hidden="false" customHeight="true" outlineLevel="0" collapsed="false">
      <c r="A280" s="54" t="n">
        <v>260</v>
      </c>
      <c r="B280" s="34" t="n">
        <f aca="false">(A280-0.5)*u_w</f>
        <v>259.5</v>
      </c>
      <c r="C280" s="34" t="str">
        <f aca="false">IF(OR(A280&gt;NL_b,$B$12=""),"",IF((ABS(B280-$B$12)+lane_off)&lt;=0,0,IF((ABS(B280-$B$12)+lane_off)&gt;=v_sh^2/a_sh,(ABS(B280-$B$12)+lane_off)/v_sh+v_sh/a_sh,2*SQRT((ABS(B280-$B$12)+lane_off)/a_sh))))</f>
        <v/>
      </c>
      <c r="D280" s="34" t="str">
        <f aca="false">IF(OR(A280&gt;NL_b,$B$13=""),"",IF((ABS(B280-$B$13)+lane_off)&lt;=0,0,IF((ABS(B280-$B$13)+lane_off)&gt;=v_sh^2/a_sh,(ABS(B280-$B$13)+lane_off)/v_sh+v_sh/a_sh,2*SQRT((ABS(B280-$B$13)+lane_off)/a_sh))))</f>
        <v/>
      </c>
      <c r="E280" s="34" t="str">
        <f aca="false">IF(OR(A280&gt;NL_b,$B$14=""),"",IF((ABS(B280-$B$14)+lane_off)&lt;=0,0,IF((ABS(B280-$B$14)+lane_off)&gt;=v_sh^2/a_sh,(ABS(B280-$B$14)+lane_off)/v_sh+v_sh/a_sh,2*SQRT((ABS(B280-$B$14)+lane_off)/a_sh))))</f>
        <v/>
      </c>
      <c r="F280" s="34" t="str">
        <f aca="false">IF(OR(A280&gt;NL_b,$B$15=""),"",IF((ABS(B280-$B$15)+lane_off)&lt;=0,0,IF((ABS(B280-$B$15)+lane_off)&gt;=v_sh^2/a_sh,(ABS(B280-$B$15)+lane_off)/v_sh+v_sh/a_sh,2*SQRT((ABS(B280-$B$15)+lane_off)/a_sh))))</f>
        <v/>
      </c>
      <c r="G280" s="34" t="str">
        <f aca="false">IF(OR(A280&gt;NL_b,$B$16=""),"",IF((ABS(B280-$B$16)+lane_off)&lt;=0,0,IF((ABS(B280-$B$16)+lane_off)&gt;=v_sh^2/a_sh,(ABS(B280-$B$16)+lane_off)/v_sh+v_sh/a_sh,2*SQRT((ABS(B280-$B$16)+lane_off)/a_sh))))</f>
        <v/>
      </c>
      <c r="H280" s="34" t="str">
        <f aca="false">IF(OR(A280&gt;NL_b,$B$17=""),"",IF((ABS(B280-$B$17)+lane_off)&lt;=0,0,IF((ABS(B280-$B$17)+lane_off)&gt;=v_sh^2/a_sh,(ABS(B280-$B$17)+lane_off)/v_sh+v_sh/a_sh,2*SQRT((ABS(B280-$B$17)+lane_off)/a_sh))))</f>
        <v/>
      </c>
      <c r="I280" s="34" t="str">
        <f aca="false">IF(C280="","",2*C280+w_conv*$D$12/v_conv)</f>
        <v/>
      </c>
      <c r="J280" s="34" t="str">
        <f aca="false">IF(D280="","",2*D280+w_conv*$D$13/v_conv)</f>
        <v/>
      </c>
      <c r="K280" s="34" t="str">
        <f aca="false">IF(E280="","",2*E280+w_conv*$D$14/v_conv)</f>
        <v/>
      </c>
      <c r="L280" s="34" t="str">
        <f aca="false">IF(F280="","",2*F280+w_conv*$D$15/v_conv)</f>
        <v/>
      </c>
      <c r="M280" s="34" t="str">
        <f aca="false">IF(G280="","",2*G280+w_conv*$D$16/v_conv)</f>
        <v/>
      </c>
      <c r="N280" s="34" t="str">
        <f aca="false">IF(H280="","",2*H280+w_conv*$D$17/v_conv)</f>
        <v/>
      </c>
      <c r="O280" s="34" t="str">
        <f aca="false">IF(A280&gt;NL_b,"",MIN(I280:N280))</f>
        <v/>
      </c>
      <c r="P280" s="34" t="str">
        <f aca="false">IF(O280="","",INDEX(C280:H280,MATCH(O280,I280:N280,0)))</f>
        <v/>
      </c>
      <c r="Q280" s="34" t="str">
        <f aca="false">IF(O280="","",INDEX($D$12:$D$17,MATCH(O280,I280:N280,0)))</f>
        <v/>
      </c>
    </row>
    <row r="281" customFormat="false" ht="15" hidden="false" customHeight="true" outlineLevel="0" collapsed="false">
      <c r="A281" s="54" t="n">
        <v>261</v>
      </c>
      <c r="B281" s="34" t="n">
        <f aca="false">(A281-0.5)*u_w</f>
        <v>260.5</v>
      </c>
      <c r="C281" s="34" t="str">
        <f aca="false">IF(OR(A281&gt;NL_b,$B$12=""),"",IF((ABS(B281-$B$12)+lane_off)&lt;=0,0,IF((ABS(B281-$B$12)+lane_off)&gt;=v_sh^2/a_sh,(ABS(B281-$B$12)+lane_off)/v_sh+v_sh/a_sh,2*SQRT((ABS(B281-$B$12)+lane_off)/a_sh))))</f>
        <v/>
      </c>
      <c r="D281" s="34" t="str">
        <f aca="false">IF(OR(A281&gt;NL_b,$B$13=""),"",IF((ABS(B281-$B$13)+lane_off)&lt;=0,0,IF((ABS(B281-$B$13)+lane_off)&gt;=v_sh^2/a_sh,(ABS(B281-$B$13)+lane_off)/v_sh+v_sh/a_sh,2*SQRT((ABS(B281-$B$13)+lane_off)/a_sh))))</f>
        <v/>
      </c>
      <c r="E281" s="34" t="str">
        <f aca="false">IF(OR(A281&gt;NL_b,$B$14=""),"",IF((ABS(B281-$B$14)+lane_off)&lt;=0,0,IF((ABS(B281-$B$14)+lane_off)&gt;=v_sh^2/a_sh,(ABS(B281-$B$14)+lane_off)/v_sh+v_sh/a_sh,2*SQRT((ABS(B281-$B$14)+lane_off)/a_sh))))</f>
        <v/>
      </c>
      <c r="F281" s="34" t="str">
        <f aca="false">IF(OR(A281&gt;NL_b,$B$15=""),"",IF((ABS(B281-$B$15)+lane_off)&lt;=0,0,IF((ABS(B281-$B$15)+lane_off)&gt;=v_sh^2/a_sh,(ABS(B281-$B$15)+lane_off)/v_sh+v_sh/a_sh,2*SQRT((ABS(B281-$B$15)+lane_off)/a_sh))))</f>
        <v/>
      </c>
      <c r="G281" s="34" t="str">
        <f aca="false">IF(OR(A281&gt;NL_b,$B$16=""),"",IF((ABS(B281-$B$16)+lane_off)&lt;=0,0,IF((ABS(B281-$B$16)+lane_off)&gt;=v_sh^2/a_sh,(ABS(B281-$B$16)+lane_off)/v_sh+v_sh/a_sh,2*SQRT((ABS(B281-$B$16)+lane_off)/a_sh))))</f>
        <v/>
      </c>
      <c r="H281" s="34" t="str">
        <f aca="false">IF(OR(A281&gt;NL_b,$B$17=""),"",IF((ABS(B281-$B$17)+lane_off)&lt;=0,0,IF((ABS(B281-$B$17)+lane_off)&gt;=v_sh^2/a_sh,(ABS(B281-$B$17)+lane_off)/v_sh+v_sh/a_sh,2*SQRT((ABS(B281-$B$17)+lane_off)/a_sh))))</f>
        <v/>
      </c>
      <c r="I281" s="34" t="str">
        <f aca="false">IF(C281="","",2*C281+w_conv*$D$12/v_conv)</f>
        <v/>
      </c>
      <c r="J281" s="34" t="str">
        <f aca="false">IF(D281="","",2*D281+w_conv*$D$13/v_conv)</f>
        <v/>
      </c>
      <c r="K281" s="34" t="str">
        <f aca="false">IF(E281="","",2*E281+w_conv*$D$14/v_conv)</f>
        <v/>
      </c>
      <c r="L281" s="34" t="str">
        <f aca="false">IF(F281="","",2*F281+w_conv*$D$15/v_conv)</f>
        <v/>
      </c>
      <c r="M281" s="34" t="str">
        <f aca="false">IF(G281="","",2*G281+w_conv*$D$16/v_conv)</f>
        <v/>
      </c>
      <c r="N281" s="34" t="str">
        <f aca="false">IF(H281="","",2*H281+w_conv*$D$17/v_conv)</f>
        <v/>
      </c>
      <c r="O281" s="34" t="str">
        <f aca="false">IF(A281&gt;NL_b,"",MIN(I281:N281))</f>
        <v/>
      </c>
      <c r="P281" s="34" t="str">
        <f aca="false">IF(O281="","",INDEX(C281:H281,MATCH(O281,I281:N281,0)))</f>
        <v/>
      </c>
      <c r="Q281" s="34" t="str">
        <f aca="false">IF(O281="","",INDEX($D$12:$D$17,MATCH(O281,I281:N281,0)))</f>
        <v/>
      </c>
    </row>
    <row r="282" customFormat="false" ht="15" hidden="false" customHeight="true" outlineLevel="0" collapsed="false">
      <c r="A282" s="54" t="n">
        <v>262</v>
      </c>
      <c r="B282" s="34" t="n">
        <f aca="false">(A282-0.5)*u_w</f>
        <v>261.5</v>
      </c>
      <c r="C282" s="34" t="str">
        <f aca="false">IF(OR(A282&gt;NL_b,$B$12=""),"",IF((ABS(B282-$B$12)+lane_off)&lt;=0,0,IF((ABS(B282-$B$12)+lane_off)&gt;=v_sh^2/a_sh,(ABS(B282-$B$12)+lane_off)/v_sh+v_sh/a_sh,2*SQRT((ABS(B282-$B$12)+lane_off)/a_sh))))</f>
        <v/>
      </c>
      <c r="D282" s="34" t="str">
        <f aca="false">IF(OR(A282&gt;NL_b,$B$13=""),"",IF((ABS(B282-$B$13)+lane_off)&lt;=0,0,IF((ABS(B282-$B$13)+lane_off)&gt;=v_sh^2/a_sh,(ABS(B282-$B$13)+lane_off)/v_sh+v_sh/a_sh,2*SQRT((ABS(B282-$B$13)+lane_off)/a_sh))))</f>
        <v/>
      </c>
      <c r="E282" s="34" t="str">
        <f aca="false">IF(OR(A282&gt;NL_b,$B$14=""),"",IF((ABS(B282-$B$14)+lane_off)&lt;=0,0,IF((ABS(B282-$B$14)+lane_off)&gt;=v_sh^2/a_sh,(ABS(B282-$B$14)+lane_off)/v_sh+v_sh/a_sh,2*SQRT((ABS(B282-$B$14)+lane_off)/a_sh))))</f>
        <v/>
      </c>
      <c r="F282" s="34" t="str">
        <f aca="false">IF(OR(A282&gt;NL_b,$B$15=""),"",IF((ABS(B282-$B$15)+lane_off)&lt;=0,0,IF((ABS(B282-$B$15)+lane_off)&gt;=v_sh^2/a_sh,(ABS(B282-$B$15)+lane_off)/v_sh+v_sh/a_sh,2*SQRT((ABS(B282-$B$15)+lane_off)/a_sh))))</f>
        <v/>
      </c>
      <c r="G282" s="34" t="str">
        <f aca="false">IF(OR(A282&gt;NL_b,$B$16=""),"",IF((ABS(B282-$B$16)+lane_off)&lt;=0,0,IF((ABS(B282-$B$16)+lane_off)&gt;=v_sh^2/a_sh,(ABS(B282-$B$16)+lane_off)/v_sh+v_sh/a_sh,2*SQRT((ABS(B282-$B$16)+lane_off)/a_sh))))</f>
        <v/>
      </c>
      <c r="H282" s="34" t="str">
        <f aca="false">IF(OR(A282&gt;NL_b,$B$17=""),"",IF((ABS(B282-$B$17)+lane_off)&lt;=0,0,IF((ABS(B282-$B$17)+lane_off)&gt;=v_sh^2/a_sh,(ABS(B282-$B$17)+lane_off)/v_sh+v_sh/a_sh,2*SQRT((ABS(B282-$B$17)+lane_off)/a_sh))))</f>
        <v/>
      </c>
      <c r="I282" s="34" t="str">
        <f aca="false">IF(C282="","",2*C282+w_conv*$D$12/v_conv)</f>
        <v/>
      </c>
      <c r="J282" s="34" t="str">
        <f aca="false">IF(D282="","",2*D282+w_conv*$D$13/v_conv)</f>
        <v/>
      </c>
      <c r="K282" s="34" t="str">
        <f aca="false">IF(E282="","",2*E282+w_conv*$D$14/v_conv)</f>
        <v/>
      </c>
      <c r="L282" s="34" t="str">
        <f aca="false">IF(F282="","",2*F282+w_conv*$D$15/v_conv)</f>
        <v/>
      </c>
      <c r="M282" s="34" t="str">
        <f aca="false">IF(G282="","",2*G282+w_conv*$D$16/v_conv)</f>
        <v/>
      </c>
      <c r="N282" s="34" t="str">
        <f aca="false">IF(H282="","",2*H282+w_conv*$D$17/v_conv)</f>
        <v/>
      </c>
      <c r="O282" s="34" t="str">
        <f aca="false">IF(A282&gt;NL_b,"",MIN(I282:N282))</f>
        <v/>
      </c>
      <c r="P282" s="34" t="str">
        <f aca="false">IF(O282="","",INDEX(C282:H282,MATCH(O282,I282:N282,0)))</f>
        <v/>
      </c>
      <c r="Q282" s="34" t="str">
        <f aca="false">IF(O282="","",INDEX($D$12:$D$17,MATCH(O282,I282:N282,0)))</f>
        <v/>
      </c>
    </row>
    <row r="283" customFormat="false" ht="15" hidden="false" customHeight="true" outlineLevel="0" collapsed="false">
      <c r="A283" s="54" t="n">
        <v>263</v>
      </c>
      <c r="B283" s="34" t="n">
        <f aca="false">(A283-0.5)*u_w</f>
        <v>262.5</v>
      </c>
      <c r="C283" s="34" t="str">
        <f aca="false">IF(OR(A283&gt;NL_b,$B$12=""),"",IF((ABS(B283-$B$12)+lane_off)&lt;=0,0,IF((ABS(B283-$B$12)+lane_off)&gt;=v_sh^2/a_sh,(ABS(B283-$B$12)+lane_off)/v_sh+v_sh/a_sh,2*SQRT((ABS(B283-$B$12)+lane_off)/a_sh))))</f>
        <v/>
      </c>
      <c r="D283" s="34" t="str">
        <f aca="false">IF(OR(A283&gt;NL_b,$B$13=""),"",IF((ABS(B283-$B$13)+lane_off)&lt;=0,0,IF((ABS(B283-$B$13)+lane_off)&gt;=v_sh^2/a_sh,(ABS(B283-$B$13)+lane_off)/v_sh+v_sh/a_sh,2*SQRT((ABS(B283-$B$13)+lane_off)/a_sh))))</f>
        <v/>
      </c>
      <c r="E283" s="34" t="str">
        <f aca="false">IF(OR(A283&gt;NL_b,$B$14=""),"",IF((ABS(B283-$B$14)+lane_off)&lt;=0,0,IF((ABS(B283-$B$14)+lane_off)&gt;=v_sh^2/a_sh,(ABS(B283-$B$14)+lane_off)/v_sh+v_sh/a_sh,2*SQRT((ABS(B283-$B$14)+lane_off)/a_sh))))</f>
        <v/>
      </c>
      <c r="F283" s="34" t="str">
        <f aca="false">IF(OR(A283&gt;NL_b,$B$15=""),"",IF((ABS(B283-$B$15)+lane_off)&lt;=0,0,IF((ABS(B283-$B$15)+lane_off)&gt;=v_sh^2/a_sh,(ABS(B283-$B$15)+lane_off)/v_sh+v_sh/a_sh,2*SQRT((ABS(B283-$B$15)+lane_off)/a_sh))))</f>
        <v/>
      </c>
      <c r="G283" s="34" t="str">
        <f aca="false">IF(OR(A283&gt;NL_b,$B$16=""),"",IF((ABS(B283-$B$16)+lane_off)&lt;=0,0,IF((ABS(B283-$B$16)+lane_off)&gt;=v_sh^2/a_sh,(ABS(B283-$B$16)+lane_off)/v_sh+v_sh/a_sh,2*SQRT((ABS(B283-$B$16)+lane_off)/a_sh))))</f>
        <v/>
      </c>
      <c r="H283" s="34" t="str">
        <f aca="false">IF(OR(A283&gt;NL_b,$B$17=""),"",IF((ABS(B283-$B$17)+lane_off)&lt;=0,0,IF((ABS(B283-$B$17)+lane_off)&gt;=v_sh^2/a_sh,(ABS(B283-$B$17)+lane_off)/v_sh+v_sh/a_sh,2*SQRT((ABS(B283-$B$17)+lane_off)/a_sh))))</f>
        <v/>
      </c>
      <c r="I283" s="34" t="str">
        <f aca="false">IF(C283="","",2*C283+w_conv*$D$12/v_conv)</f>
        <v/>
      </c>
      <c r="J283" s="34" t="str">
        <f aca="false">IF(D283="","",2*D283+w_conv*$D$13/v_conv)</f>
        <v/>
      </c>
      <c r="K283" s="34" t="str">
        <f aca="false">IF(E283="","",2*E283+w_conv*$D$14/v_conv)</f>
        <v/>
      </c>
      <c r="L283" s="34" t="str">
        <f aca="false">IF(F283="","",2*F283+w_conv*$D$15/v_conv)</f>
        <v/>
      </c>
      <c r="M283" s="34" t="str">
        <f aca="false">IF(G283="","",2*G283+w_conv*$D$16/v_conv)</f>
        <v/>
      </c>
      <c r="N283" s="34" t="str">
        <f aca="false">IF(H283="","",2*H283+w_conv*$D$17/v_conv)</f>
        <v/>
      </c>
      <c r="O283" s="34" t="str">
        <f aca="false">IF(A283&gt;NL_b,"",MIN(I283:N283))</f>
        <v/>
      </c>
      <c r="P283" s="34" t="str">
        <f aca="false">IF(O283="","",INDEX(C283:H283,MATCH(O283,I283:N283,0)))</f>
        <v/>
      </c>
      <c r="Q283" s="34" t="str">
        <f aca="false">IF(O283="","",INDEX($D$12:$D$17,MATCH(O283,I283:N283,0)))</f>
        <v/>
      </c>
    </row>
    <row r="284" customFormat="false" ht="15" hidden="false" customHeight="true" outlineLevel="0" collapsed="false">
      <c r="A284" s="54" t="n">
        <v>264</v>
      </c>
      <c r="B284" s="34" t="n">
        <f aca="false">(A284-0.5)*u_w</f>
        <v>263.5</v>
      </c>
      <c r="C284" s="34" t="str">
        <f aca="false">IF(OR(A284&gt;NL_b,$B$12=""),"",IF((ABS(B284-$B$12)+lane_off)&lt;=0,0,IF((ABS(B284-$B$12)+lane_off)&gt;=v_sh^2/a_sh,(ABS(B284-$B$12)+lane_off)/v_sh+v_sh/a_sh,2*SQRT((ABS(B284-$B$12)+lane_off)/a_sh))))</f>
        <v/>
      </c>
      <c r="D284" s="34" t="str">
        <f aca="false">IF(OR(A284&gt;NL_b,$B$13=""),"",IF((ABS(B284-$B$13)+lane_off)&lt;=0,0,IF((ABS(B284-$B$13)+lane_off)&gt;=v_sh^2/a_sh,(ABS(B284-$B$13)+lane_off)/v_sh+v_sh/a_sh,2*SQRT((ABS(B284-$B$13)+lane_off)/a_sh))))</f>
        <v/>
      </c>
      <c r="E284" s="34" t="str">
        <f aca="false">IF(OR(A284&gt;NL_b,$B$14=""),"",IF((ABS(B284-$B$14)+lane_off)&lt;=0,0,IF((ABS(B284-$B$14)+lane_off)&gt;=v_sh^2/a_sh,(ABS(B284-$B$14)+lane_off)/v_sh+v_sh/a_sh,2*SQRT((ABS(B284-$B$14)+lane_off)/a_sh))))</f>
        <v/>
      </c>
      <c r="F284" s="34" t="str">
        <f aca="false">IF(OR(A284&gt;NL_b,$B$15=""),"",IF((ABS(B284-$B$15)+lane_off)&lt;=0,0,IF((ABS(B284-$B$15)+lane_off)&gt;=v_sh^2/a_sh,(ABS(B284-$B$15)+lane_off)/v_sh+v_sh/a_sh,2*SQRT((ABS(B284-$B$15)+lane_off)/a_sh))))</f>
        <v/>
      </c>
      <c r="G284" s="34" t="str">
        <f aca="false">IF(OR(A284&gt;NL_b,$B$16=""),"",IF((ABS(B284-$B$16)+lane_off)&lt;=0,0,IF((ABS(B284-$B$16)+lane_off)&gt;=v_sh^2/a_sh,(ABS(B284-$B$16)+lane_off)/v_sh+v_sh/a_sh,2*SQRT((ABS(B284-$B$16)+lane_off)/a_sh))))</f>
        <v/>
      </c>
      <c r="H284" s="34" t="str">
        <f aca="false">IF(OR(A284&gt;NL_b,$B$17=""),"",IF((ABS(B284-$B$17)+lane_off)&lt;=0,0,IF((ABS(B284-$B$17)+lane_off)&gt;=v_sh^2/a_sh,(ABS(B284-$B$17)+lane_off)/v_sh+v_sh/a_sh,2*SQRT((ABS(B284-$B$17)+lane_off)/a_sh))))</f>
        <v/>
      </c>
      <c r="I284" s="34" t="str">
        <f aca="false">IF(C284="","",2*C284+w_conv*$D$12/v_conv)</f>
        <v/>
      </c>
      <c r="J284" s="34" t="str">
        <f aca="false">IF(D284="","",2*D284+w_conv*$D$13/v_conv)</f>
        <v/>
      </c>
      <c r="K284" s="34" t="str">
        <f aca="false">IF(E284="","",2*E284+w_conv*$D$14/v_conv)</f>
        <v/>
      </c>
      <c r="L284" s="34" t="str">
        <f aca="false">IF(F284="","",2*F284+w_conv*$D$15/v_conv)</f>
        <v/>
      </c>
      <c r="M284" s="34" t="str">
        <f aca="false">IF(G284="","",2*G284+w_conv*$D$16/v_conv)</f>
        <v/>
      </c>
      <c r="N284" s="34" t="str">
        <f aca="false">IF(H284="","",2*H284+w_conv*$D$17/v_conv)</f>
        <v/>
      </c>
      <c r="O284" s="34" t="str">
        <f aca="false">IF(A284&gt;NL_b,"",MIN(I284:N284))</f>
        <v/>
      </c>
      <c r="P284" s="34" t="str">
        <f aca="false">IF(O284="","",INDEX(C284:H284,MATCH(O284,I284:N284,0)))</f>
        <v/>
      </c>
      <c r="Q284" s="34" t="str">
        <f aca="false">IF(O284="","",INDEX($D$12:$D$17,MATCH(O284,I284:N284,0)))</f>
        <v/>
      </c>
    </row>
    <row r="285" customFormat="false" ht="15" hidden="false" customHeight="true" outlineLevel="0" collapsed="false">
      <c r="A285" s="54" t="n">
        <v>265</v>
      </c>
      <c r="B285" s="34" t="n">
        <f aca="false">(A285-0.5)*u_w</f>
        <v>264.5</v>
      </c>
      <c r="C285" s="34" t="str">
        <f aca="false">IF(OR(A285&gt;NL_b,$B$12=""),"",IF((ABS(B285-$B$12)+lane_off)&lt;=0,0,IF((ABS(B285-$B$12)+lane_off)&gt;=v_sh^2/a_sh,(ABS(B285-$B$12)+lane_off)/v_sh+v_sh/a_sh,2*SQRT((ABS(B285-$B$12)+lane_off)/a_sh))))</f>
        <v/>
      </c>
      <c r="D285" s="34" t="str">
        <f aca="false">IF(OR(A285&gt;NL_b,$B$13=""),"",IF((ABS(B285-$B$13)+lane_off)&lt;=0,0,IF((ABS(B285-$B$13)+lane_off)&gt;=v_sh^2/a_sh,(ABS(B285-$B$13)+lane_off)/v_sh+v_sh/a_sh,2*SQRT((ABS(B285-$B$13)+lane_off)/a_sh))))</f>
        <v/>
      </c>
      <c r="E285" s="34" t="str">
        <f aca="false">IF(OR(A285&gt;NL_b,$B$14=""),"",IF((ABS(B285-$B$14)+lane_off)&lt;=0,0,IF((ABS(B285-$B$14)+lane_off)&gt;=v_sh^2/a_sh,(ABS(B285-$B$14)+lane_off)/v_sh+v_sh/a_sh,2*SQRT((ABS(B285-$B$14)+lane_off)/a_sh))))</f>
        <v/>
      </c>
      <c r="F285" s="34" t="str">
        <f aca="false">IF(OR(A285&gt;NL_b,$B$15=""),"",IF((ABS(B285-$B$15)+lane_off)&lt;=0,0,IF((ABS(B285-$B$15)+lane_off)&gt;=v_sh^2/a_sh,(ABS(B285-$B$15)+lane_off)/v_sh+v_sh/a_sh,2*SQRT((ABS(B285-$B$15)+lane_off)/a_sh))))</f>
        <v/>
      </c>
      <c r="G285" s="34" t="str">
        <f aca="false">IF(OR(A285&gt;NL_b,$B$16=""),"",IF((ABS(B285-$B$16)+lane_off)&lt;=0,0,IF((ABS(B285-$B$16)+lane_off)&gt;=v_sh^2/a_sh,(ABS(B285-$B$16)+lane_off)/v_sh+v_sh/a_sh,2*SQRT((ABS(B285-$B$16)+lane_off)/a_sh))))</f>
        <v/>
      </c>
      <c r="H285" s="34" t="str">
        <f aca="false">IF(OR(A285&gt;NL_b,$B$17=""),"",IF((ABS(B285-$B$17)+lane_off)&lt;=0,0,IF((ABS(B285-$B$17)+lane_off)&gt;=v_sh^2/a_sh,(ABS(B285-$B$17)+lane_off)/v_sh+v_sh/a_sh,2*SQRT((ABS(B285-$B$17)+lane_off)/a_sh))))</f>
        <v/>
      </c>
      <c r="I285" s="34" t="str">
        <f aca="false">IF(C285="","",2*C285+w_conv*$D$12/v_conv)</f>
        <v/>
      </c>
      <c r="J285" s="34" t="str">
        <f aca="false">IF(D285="","",2*D285+w_conv*$D$13/v_conv)</f>
        <v/>
      </c>
      <c r="K285" s="34" t="str">
        <f aca="false">IF(E285="","",2*E285+w_conv*$D$14/v_conv)</f>
        <v/>
      </c>
      <c r="L285" s="34" t="str">
        <f aca="false">IF(F285="","",2*F285+w_conv*$D$15/v_conv)</f>
        <v/>
      </c>
      <c r="M285" s="34" t="str">
        <f aca="false">IF(G285="","",2*G285+w_conv*$D$16/v_conv)</f>
        <v/>
      </c>
      <c r="N285" s="34" t="str">
        <f aca="false">IF(H285="","",2*H285+w_conv*$D$17/v_conv)</f>
        <v/>
      </c>
      <c r="O285" s="34" t="str">
        <f aca="false">IF(A285&gt;NL_b,"",MIN(I285:N285))</f>
        <v/>
      </c>
      <c r="P285" s="34" t="str">
        <f aca="false">IF(O285="","",INDEX(C285:H285,MATCH(O285,I285:N285,0)))</f>
        <v/>
      </c>
      <c r="Q285" s="34" t="str">
        <f aca="false">IF(O285="","",INDEX($D$12:$D$17,MATCH(O285,I285:N285,0)))</f>
        <v/>
      </c>
    </row>
    <row r="286" customFormat="false" ht="15" hidden="false" customHeight="true" outlineLevel="0" collapsed="false">
      <c r="A286" s="54" t="n">
        <v>266</v>
      </c>
      <c r="B286" s="34" t="n">
        <f aca="false">(A286-0.5)*u_w</f>
        <v>265.5</v>
      </c>
      <c r="C286" s="34" t="str">
        <f aca="false">IF(OR(A286&gt;NL_b,$B$12=""),"",IF((ABS(B286-$B$12)+lane_off)&lt;=0,0,IF((ABS(B286-$B$12)+lane_off)&gt;=v_sh^2/a_sh,(ABS(B286-$B$12)+lane_off)/v_sh+v_sh/a_sh,2*SQRT((ABS(B286-$B$12)+lane_off)/a_sh))))</f>
        <v/>
      </c>
      <c r="D286" s="34" t="str">
        <f aca="false">IF(OR(A286&gt;NL_b,$B$13=""),"",IF((ABS(B286-$B$13)+lane_off)&lt;=0,0,IF((ABS(B286-$B$13)+lane_off)&gt;=v_sh^2/a_sh,(ABS(B286-$B$13)+lane_off)/v_sh+v_sh/a_sh,2*SQRT((ABS(B286-$B$13)+lane_off)/a_sh))))</f>
        <v/>
      </c>
      <c r="E286" s="34" t="str">
        <f aca="false">IF(OR(A286&gt;NL_b,$B$14=""),"",IF((ABS(B286-$B$14)+lane_off)&lt;=0,0,IF((ABS(B286-$B$14)+lane_off)&gt;=v_sh^2/a_sh,(ABS(B286-$B$14)+lane_off)/v_sh+v_sh/a_sh,2*SQRT((ABS(B286-$B$14)+lane_off)/a_sh))))</f>
        <v/>
      </c>
      <c r="F286" s="34" t="str">
        <f aca="false">IF(OR(A286&gt;NL_b,$B$15=""),"",IF((ABS(B286-$B$15)+lane_off)&lt;=0,0,IF((ABS(B286-$B$15)+lane_off)&gt;=v_sh^2/a_sh,(ABS(B286-$B$15)+lane_off)/v_sh+v_sh/a_sh,2*SQRT((ABS(B286-$B$15)+lane_off)/a_sh))))</f>
        <v/>
      </c>
      <c r="G286" s="34" t="str">
        <f aca="false">IF(OR(A286&gt;NL_b,$B$16=""),"",IF((ABS(B286-$B$16)+lane_off)&lt;=0,0,IF((ABS(B286-$B$16)+lane_off)&gt;=v_sh^2/a_sh,(ABS(B286-$B$16)+lane_off)/v_sh+v_sh/a_sh,2*SQRT((ABS(B286-$B$16)+lane_off)/a_sh))))</f>
        <v/>
      </c>
      <c r="H286" s="34" t="str">
        <f aca="false">IF(OR(A286&gt;NL_b,$B$17=""),"",IF((ABS(B286-$B$17)+lane_off)&lt;=0,0,IF((ABS(B286-$B$17)+lane_off)&gt;=v_sh^2/a_sh,(ABS(B286-$B$17)+lane_off)/v_sh+v_sh/a_sh,2*SQRT((ABS(B286-$B$17)+lane_off)/a_sh))))</f>
        <v/>
      </c>
      <c r="I286" s="34" t="str">
        <f aca="false">IF(C286="","",2*C286+w_conv*$D$12/v_conv)</f>
        <v/>
      </c>
      <c r="J286" s="34" t="str">
        <f aca="false">IF(D286="","",2*D286+w_conv*$D$13/v_conv)</f>
        <v/>
      </c>
      <c r="K286" s="34" t="str">
        <f aca="false">IF(E286="","",2*E286+w_conv*$D$14/v_conv)</f>
        <v/>
      </c>
      <c r="L286" s="34" t="str">
        <f aca="false">IF(F286="","",2*F286+w_conv*$D$15/v_conv)</f>
        <v/>
      </c>
      <c r="M286" s="34" t="str">
        <f aca="false">IF(G286="","",2*G286+w_conv*$D$16/v_conv)</f>
        <v/>
      </c>
      <c r="N286" s="34" t="str">
        <f aca="false">IF(H286="","",2*H286+w_conv*$D$17/v_conv)</f>
        <v/>
      </c>
      <c r="O286" s="34" t="str">
        <f aca="false">IF(A286&gt;NL_b,"",MIN(I286:N286))</f>
        <v/>
      </c>
      <c r="P286" s="34" t="str">
        <f aca="false">IF(O286="","",INDEX(C286:H286,MATCH(O286,I286:N286,0)))</f>
        <v/>
      </c>
      <c r="Q286" s="34" t="str">
        <f aca="false">IF(O286="","",INDEX($D$12:$D$17,MATCH(O286,I286:N286,0)))</f>
        <v/>
      </c>
    </row>
    <row r="287" customFormat="false" ht="15" hidden="false" customHeight="true" outlineLevel="0" collapsed="false">
      <c r="A287" s="54" t="n">
        <v>267</v>
      </c>
      <c r="B287" s="34" t="n">
        <f aca="false">(A287-0.5)*u_w</f>
        <v>266.5</v>
      </c>
      <c r="C287" s="34" t="str">
        <f aca="false">IF(OR(A287&gt;NL_b,$B$12=""),"",IF((ABS(B287-$B$12)+lane_off)&lt;=0,0,IF((ABS(B287-$B$12)+lane_off)&gt;=v_sh^2/a_sh,(ABS(B287-$B$12)+lane_off)/v_sh+v_sh/a_sh,2*SQRT((ABS(B287-$B$12)+lane_off)/a_sh))))</f>
        <v/>
      </c>
      <c r="D287" s="34" t="str">
        <f aca="false">IF(OR(A287&gt;NL_b,$B$13=""),"",IF((ABS(B287-$B$13)+lane_off)&lt;=0,0,IF((ABS(B287-$B$13)+lane_off)&gt;=v_sh^2/a_sh,(ABS(B287-$B$13)+lane_off)/v_sh+v_sh/a_sh,2*SQRT((ABS(B287-$B$13)+lane_off)/a_sh))))</f>
        <v/>
      </c>
      <c r="E287" s="34" t="str">
        <f aca="false">IF(OR(A287&gt;NL_b,$B$14=""),"",IF((ABS(B287-$B$14)+lane_off)&lt;=0,0,IF((ABS(B287-$B$14)+lane_off)&gt;=v_sh^2/a_sh,(ABS(B287-$B$14)+lane_off)/v_sh+v_sh/a_sh,2*SQRT((ABS(B287-$B$14)+lane_off)/a_sh))))</f>
        <v/>
      </c>
      <c r="F287" s="34" t="str">
        <f aca="false">IF(OR(A287&gt;NL_b,$B$15=""),"",IF((ABS(B287-$B$15)+lane_off)&lt;=0,0,IF((ABS(B287-$B$15)+lane_off)&gt;=v_sh^2/a_sh,(ABS(B287-$B$15)+lane_off)/v_sh+v_sh/a_sh,2*SQRT((ABS(B287-$B$15)+lane_off)/a_sh))))</f>
        <v/>
      </c>
      <c r="G287" s="34" t="str">
        <f aca="false">IF(OR(A287&gt;NL_b,$B$16=""),"",IF((ABS(B287-$B$16)+lane_off)&lt;=0,0,IF((ABS(B287-$B$16)+lane_off)&gt;=v_sh^2/a_sh,(ABS(B287-$B$16)+lane_off)/v_sh+v_sh/a_sh,2*SQRT((ABS(B287-$B$16)+lane_off)/a_sh))))</f>
        <v/>
      </c>
      <c r="H287" s="34" t="str">
        <f aca="false">IF(OR(A287&gt;NL_b,$B$17=""),"",IF((ABS(B287-$B$17)+lane_off)&lt;=0,0,IF((ABS(B287-$B$17)+lane_off)&gt;=v_sh^2/a_sh,(ABS(B287-$B$17)+lane_off)/v_sh+v_sh/a_sh,2*SQRT((ABS(B287-$B$17)+lane_off)/a_sh))))</f>
        <v/>
      </c>
      <c r="I287" s="34" t="str">
        <f aca="false">IF(C287="","",2*C287+w_conv*$D$12/v_conv)</f>
        <v/>
      </c>
      <c r="J287" s="34" t="str">
        <f aca="false">IF(D287="","",2*D287+w_conv*$D$13/v_conv)</f>
        <v/>
      </c>
      <c r="K287" s="34" t="str">
        <f aca="false">IF(E287="","",2*E287+w_conv*$D$14/v_conv)</f>
        <v/>
      </c>
      <c r="L287" s="34" t="str">
        <f aca="false">IF(F287="","",2*F287+w_conv*$D$15/v_conv)</f>
        <v/>
      </c>
      <c r="M287" s="34" t="str">
        <f aca="false">IF(G287="","",2*G287+w_conv*$D$16/v_conv)</f>
        <v/>
      </c>
      <c r="N287" s="34" t="str">
        <f aca="false">IF(H287="","",2*H287+w_conv*$D$17/v_conv)</f>
        <v/>
      </c>
      <c r="O287" s="34" t="str">
        <f aca="false">IF(A287&gt;NL_b,"",MIN(I287:N287))</f>
        <v/>
      </c>
      <c r="P287" s="34" t="str">
        <f aca="false">IF(O287="","",INDEX(C287:H287,MATCH(O287,I287:N287,0)))</f>
        <v/>
      </c>
      <c r="Q287" s="34" t="str">
        <f aca="false">IF(O287="","",INDEX($D$12:$D$17,MATCH(O287,I287:N287,0)))</f>
        <v/>
      </c>
    </row>
    <row r="288" customFormat="false" ht="15" hidden="false" customHeight="true" outlineLevel="0" collapsed="false">
      <c r="A288" s="54" t="n">
        <v>268</v>
      </c>
      <c r="B288" s="34" t="n">
        <f aca="false">(A288-0.5)*u_w</f>
        <v>267.5</v>
      </c>
      <c r="C288" s="34" t="str">
        <f aca="false">IF(OR(A288&gt;NL_b,$B$12=""),"",IF((ABS(B288-$B$12)+lane_off)&lt;=0,0,IF((ABS(B288-$B$12)+lane_off)&gt;=v_sh^2/a_sh,(ABS(B288-$B$12)+lane_off)/v_sh+v_sh/a_sh,2*SQRT((ABS(B288-$B$12)+lane_off)/a_sh))))</f>
        <v/>
      </c>
      <c r="D288" s="34" t="str">
        <f aca="false">IF(OR(A288&gt;NL_b,$B$13=""),"",IF((ABS(B288-$B$13)+lane_off)&lt;=0,0,IF((ABS(B288-$B$13)+lane_off)&gt;=v_sh^2/a_sh,(ABS(B288-$B$13)+lane_off)/v_sh+v_sh/a_sh,2*SQRT((ABS(B288-$B$13)+lane_off)/a_sh))))</f>
        <v/>
      </c>
      <c r="E288" s="34" t="str">
        <f aca="false">IF(OR(A288&gt;NL_b,$B$14=""),"",IF((ABS(B288-$B$14)+lane_off)&lt;=0,0,IF((ABS(B288-$B$14)+lane_off)&gt;=v_sh^2/a_sh,(ABS(B288-$B$14)+lane_off)/v_sh+v_sh/a_sh,2*SQRT((ABS(B288-$B$14)+lane_off)/a_sh))))</f>
        <v/>
      </c>
      <c r="F288" s="34" t="str">
        <f aca="false">IF(OR(A288&gt;NL_b,$B$15=""),"",IF((ABS(B288-$B$15)+lane_off)&lt;=0,0,IF((ABS(B288-$B$15)+lane_off)&gt;=v_sh^2/a_sh,(ABS(B288-$B$15)+lane_off)/v_sh+v_sh/a_sh,2*SQRT((ABS(B288-$B$15)+lane_off)/a_sh))))</f>
        <v/>
      </c>
      <c r="G288" s="34" t="str">
        <f aca="false">IF(OR(A288&gt;NL_b,$B$16=""),"",IF((ABS(B288-$B$16)+lane_off)&lt;=0,0,IF((ABS(B288-$B$16)+lane_off)&gt;=v_sh^2/a_sh,(ABS(B288-$B$16)+lane_off)/v_sh+v_sh/a_sh,2*SQRT((ABS(B288-$B$16)+lane_off)/a_sh))))</f>
        <v/>
      </c>
      <c r="H288" s="34" t="str">
        <f aca="false">IF(OR(A288&gt;NL_b,$B$17=""),"",IF((ABS(B288-$B$17)+lane_off)&lt;=0,0,IF((ABS(B288-$B$17)+lane_off)&gt;=v_sh^2/a_sh,(ABS(B288-$B$17)+lane_off)/v_sh+v_sh/a_sh,2*SQRT((ABS(B288-$B$17)+lane_off)/a_sh))))</f>
        <v/>
      </c>
      <c r="I288" s="34" t="str">
        <f aca="false">IF(C288="","",2*C288+w_conv*$D$12/v_conv)</f>
        <v/>
      </c>
      <c r="J288" s="34" t="str">
        <f aca="false">IF(D288="","",2*D288+w_conv*$D$13/v_conv)</f>
        <v/>
      </c>
      <c r="K288" s="34" t="str">
        <f aca="false">IF(E288="","",2*E288+w_conv*$D$14/v_conv)</f>
        <v/>
      </c>
      <c r="L288" s="34" t="str">
        <f aca="false">IF(F288="","",2*F288+w_conv*$D$15/v_conv)</f>
        <v/>
      </c>
      <c r="M288" s="34" t="str">
        <f aca="false">IF(G288="","",2*G288+w_conv*$D$16/v_conv)</f>
        <v/>
      </c>
      <c r="N288" s="34" t="str">
        <f aca="false">IF(H288="","",2*H288+w_conv*$D$17/v_conv)</f>
        <v/>
      </c>
      <c r="O288" s="34" t="str">
        <f aca="false">IF(A288&gt;NL_b,"",MIN(I288:N288))</f>
        <v/>
      </c>
      <c r="P288" s="34" t="str">
        <f aca="false">IF(O288="","",INDEX(C288:H288,MATCH(O288,I288:N288,0)))</f>
        <v/>
      </c>
      <c r="Q288" s="34" t="str">
        <f aca="false">IF(O288="","",INDEX($D$12:$D$17,MATCH(O288,I288:N288,0)))</f>
        <v/>
      </c>
    </row>
    <row r="289" customFormat="false" ht="15" hidden="false" customHeight="true" outlineLevel="0" collapsed="false">
      <c r="A289" s="54" t="n">
        <v>269</v>
      </c>
      <c r="B289" s="34" t="n">
        <f aca="false">(A289-0.5)*u_w</f>
        <v>268.5</v>
      </c>
      <c r="C289" s="34" t="str">
        <f aca="false">IF(OR(A289&gt;NL_b,$B$12=""),"",IF((ABS(B289-$B$12)+lane_off)&lt;=0,0,IF((ABS(B289-$B$12)+lane_off)&gt;=v_sh^2/a_sh,(ABS(B289-$B$12)+lane_off)/v_sh+v_sh/a_sh,2*SQRT((ABS(B289-$B$12)+lane_off)/a_sh))))</f>
        <v/>
      </c>
      <c r="D289" s="34" t="str">
        <f aca="false">IF(OR(A289&gt;NL_b,$B$13=""),"",IF((ABS(B289-$B$13)+lane_off)&lt;=0,0,IF((ABS(B289-$B$13)+lane_off)&gt;=v_sh^2/a_sh,(ABS(B289-$B$13)+lane_off)/v_sh+v_sh/a_sh,2*SQRT((ABS(B289-$B$13)+lane_off)/a_sh))))</f>
        <v/>
      </c>
      <c r="E289" s="34" t="str">
        <f aca="false">IF(OR(A289&gt;NL_b,$B$14=""),"",IF((ABS(B289-$B$14)+lane_off)&lt;=0,0,IF((ABS(B289-$B$14)+lane_off)&gt;=v_sh^2/a_sh,(ABS(B289-$B$14)+lane_off)/v_sh+v_sh/a_sh,2*SQRT((ABS(B289-$B$14)+lane_off)/a_sh))))</f>
        <v/>
      </c>
      <c r="F289" s="34" t="str">
        <f aca="false">IF(OR(A289&gt;NL_b,$B$15=""),"",IF((ABS(B289-$B$15)+lane_off)&lt;=0,0,IF((ABS(B289-$B$15)+lane_off)&gt;=v_sh^2/a_sh,(ABS(B289-$B$15)+lane_off)/v_sh+v_sh/a_sh,2*SQRT((ABS(B289-$B$15)+lane_off)/a_sh))))</f>
        <v/>
      </c>
      <c r="G289" s="34" t="str">
        <f aca="false">IF(OR(A289&gt;NL_b,$B$16=""),"",IF((ABS(B289-$B$16)+lane_off)&lt;=0,0,IF((ABS(B289-$B$16)+lane_off)&gt;=v_sh^2/a_sh,(ABS(B289-$B$16)+lane_off)/v_sh+v_sh/a_sh,2*SQRT((ABS(B289-$B$16)+lane_off)/a_sh))))</f>
        <v/>
      </c>
      <c r="H289" s="34" t="str">
        <f aca="false">IF(OR(A289&gt;NL_b,$B$17=""),"",IF((ABS(B289-$B$17)+lane_off)&lt;=0,0,IF((ABS(B289-$B$17)+lane_off)&gt;=v_sh^2/a_sh,(ABS(B289-$B$17)+lane_off)/v_sh+v_sh/a_sh,2*SQRT((ABS(B289-$B$17)+lane_off)/a_sh))))</f>
        <v/>
      </c>
      <c r="I289" s="34" t="str">
        <f aca="false">IF(C289="","",2*C289+w_conv*$D$12/v_conv)</f>
        <v/>
      </c>
      <c r="J289" s="34" t="str">
        <f aca="false">IF(D289="","",2*D289+w_conv*$D$13/v_conv)</f>
        <v/>
      </c>
      <c r="K289" s="34" t="str">
        <f aca="false">IF(E289="","",2*E289+w_conv*$D$14/v_conv)</f>
        <v/>
      </c>
      <c r="L289" s="34" t="str">
        <f aca="false">IF(F289="","",2*F289+w_conv*$D$15/v_conv)</f>
        <v/>
      </c>
      <c r="M289" s="34" t="str">
        <f aca="false">IF(G289="","",2*G289+w_conv*$D$16/v_conv)</f>
        <v/>
      </c>
      <c r="N289" s="34" t="str">
        <f aca="false">IF(H289="","",2*H289+w_conv*$D$17/v_conv)</f>
        <v/>
      </c>
      <c r="O289" s="34" t="str">
        <f aca="false">IF(A289&gt;NL_b,"",MIN(I289:N289))</f>
        <v/>
      </c>
      <c r="P289" s="34" t="str">
        <f aca="false">IF(O289="","",INDEX(C289:H289,MATCH(O289,I289:N289,0)))</f>
        <v/>
      </c>
      <c r="Q289" s="34" t="str">
        <f aca="false">IF(O289="","",INDEX($D$12:$D$17,MATCH(O289,I289:N289,0)))</f>
        <v/>
      </c>
    </row>
    <row r="290" customFormat="false" ht="15" hidden="false" customHeight="true" outlineLevel="0" collapsed="false">
      <c r="A290" s="54" t="n">
        <v>270</v>
      </c>
      <c r="B290" s="34" t="n">
        <f aca="false">(A290-0.5)*u_w</f>
        <v>269.5</v>
      </c>
      <c r="C290" s="34" t="str">
        <f aca="false">IF(OR(A290&gt;NL_b,$B$12=""),"",IF((ABS(B290-$B$12)+lane_off)&lt;=0,0,IF((ABS(B290-$B$12)+lane_off)&gt;=v_sh^2/a_sh,(ABS(B290-$B$12)+lane_off)/v_sh+v_sh/a_sh,2*SQRT((ABS(B290-$B$12)+lane_off)/a_sh))))</f>
        <v/>
      </c>
      <c r="D290" s="34" t="str">
        <f aca="false">IF(OR(A290&gt;NL_b,$B$13=""),"",IF((ABS(B290-$B$13)+lane_off)&lt;=0,0,IF((ABS(B290-$B$13)+lane_off)&gt;=v_sh^2/a_sh,(ABS(B290-$B$13)+lane_off)/v_sh+v_sh/a_sh,2*SQRT((ABS(B290-$B$13)+lane_off)/a_sh))))</f>
        <v/>
      </c>
      <c r="E290" s="34" t="str">
        <f aca="false">IF(OR(A290&gt;NL_b,$B$14=""),"",IF((ABS(B290-$B$14)+lane_off)&lt;=0,0,IF((ABS(B290-$B$14)+lane_off)&gt;=v_sh^2/a_sh,(ABS(B290-$B$14)+lane_off)/v_sh+v_sh/a_sh,2*SQRT((ABS(B290-$B$14)+lane_off)/a_sh))))</f>
        <v/>
      </c>
      <c r="F290" s="34" t="str">
        <f aca="false">IF(OR(A290&gt;NL_b,$B$15=""),"",IF((ABS(B290-$B$15)+lane_off)&lt;=0,0,IF((ABS(B290-$B$15)+lane_off)&gt;=v_sh^2/a_sh,(ABS(B290-$B$15)+lane_off)/v_sh+v_sh/a_sh,2*SQRT((ABS(B290-$B$15)+lane_off)/a_sh))))</f>
        <v/>
      </c>
      <c r="G290" s="34" t="str">
        <f aca="false">IF(OR(A290&gt;NL_b,$B$16=""),"",IF((ABS(B290-$B$16)+lane_off)&lt;=0,0,IF((ABS(B290-$B$16)+lane_off)&gt;=v_sh^2/a_sh,(ABS(B290-$B$16)+lane_off)/v_sh+v_sh/a_sh,2*SQRT((ABS(B290-$B$16)+lane_off)/a_sh))))</f>
        <v/>
      </c>
      <c r="H290" s="34" t="str">
        <f aca="false">IF(OR(A290&gt;NL_b,$B$17=""),"",IF((ABS(B290-$B$17)+lane_off)&lt;=0,0,IF((ABS(B290-$B$17)+lane_off)&gt;=v_sh^2/a_sh,(ABS(B290-$B$17)+lane_off)/v_sh+v_sh/a_sh,2*SQRT((ABS(B290-$B$17)+lane_off)/a_sh))))</f>
        <v/>
      </c>
      <c r="I290" s="34" t="str">
        <f aca="false">IF(C290="","",2*C290+w_conv*$D$12/v_conv)</f>
        <v/>
      </c>
      <c r="J290" s="34" t="str">
        <f aca="false">IF(D290="","",2*D290+w_conv*$D$13/v_conv)</f>
        <v/>
      </c>
      <c r="K290" s="34" t="str">
        <f aca="false">IF(E290="","",2*E290+w_conv*$D$14/v_conv)</f>
        <v/>
      </c>
      <c r="L290" s="34" t="str">
        <f aca="false">IF(F290="","",2*F290+w_conv*$D$15/v_conv)</f>
        <v/>
      </c>
      <c r="M290" s="34" t="str">
        <f aca="false">IF(G290="","",2*G290+w_conv*$D$16/v_conv)</f>
        <v/>
      </c>
      <c r="N290" s="34" t="str">
        <f aca="false">IF(H290="","",2*H290+w_conv*$D$17/v_conv)</f>
        <v/>
      </c>
      <c r="O290" s="34" t="str">
        <f aca="false">IF(A290&gt;NL_b,"",MIN(I290:N290))</f>
        <v/>
      </c>
      <c r="P290" s="34" t="str">
        <f aca="false">IF(O290="","",INDEX(C290:H290,MATCH(O290,I290:N290,0)))</f>
        <v/>
      </c>
      <c r="Q290" s="34" t="str">
        <f aca="false">IF(O290="","",INDEX($D$12:$D$17,MATCH(O290,I290:N290,0)))</f>
        <v/>
      </c>
    </row>
    <row r="291" customFormat="false" ht="15" hidden="false" customHeight="true" outlineLevel="0" collapsed="false">
      <c r="A291" s="54" t="n">
        <v>271</v>
      </c>
      <c r="B291" s="34" t="n">
        <f aca="false">(A291-0.5)*u_w</f>
        <v>270.5</v>
      </c>
      <c r="C291" s="34" t="str">
        <f aca="false">IF(OR(A291&gt;NL_b,$B$12=""),"",IF((ABS(B291-$B$12)+lane_off)&lt;=0,0,IF((ABS(B291-$B$12)+lane_off)&gt;=v_sh^2/a_sh,(ABS(B291-$B$12)+lane_off)/v_sh+v_sh/a_sh,2*SQRT((ABS(B291-$B$12)+lane_off)/a_sh))))</f>
        <v/>
      </c>
      <c r="D291" s="34" t="str">
        <f aca="false">IF(OR(A291&gt;NL_b,$B$13=""),"",IF((ABS(B291-$B$13)+lane_off)&lt;=0,0,IF((ABS(B291-$B$13)+lane_off)&gt;=v_sh^2/a_sh,(ABS(B291-$B$13)+lane_off)/v_sh+v_sh/a_sh,2*SQRT((ABS(B291-$B$13)+lane_off)/a_sh))))</f>
        <v/>
      </c>
      <c r="E291" s="34" t="str">
        <f aca="false">IF(OR(A291&gt;NL_b,$B$14=""),"",IF((ABS(B291-$B$14)+lane_off)&lt;=0,0,IF((ABS(B291-$B$14)+lane_off)&gt;=v_sh^2/a_sh,(ABS(B291-$B$14)+lane_off)/v_sh+v_sh/a_sh,2*SQRT((ABS(B291-$B$14)+lane_off)/a_sh))))</f>
        <v/>
      </c>
      <c r="F291" s="34" t="str">
        <f aca="false">IF(OR(A291&gt;NL_b,$B$15=""),"",IF((ABS(B291-$B$15)+lane_off)&lt;=0,0,IF((ABS(B291-$B$15)+lane_off)&gt;=v_sh^2/a_sh,(ABS(B291-$B$15)+lane_off)/v_sh+v_sh/a_sh,2*SQRT((ABS(B291-$B$15)+lane_off)/a_sh))))</f>
        <v/>
      </c>
      <c r="G291" s="34" t="str">
        <f aca="false">IF(OR(A291&gt;NL_b,$B$16=""),"",IF((ABS(B291-$B$16)+lane_off)&lt;=0,0,IF((ABS(B291-$B$16)+lane_off)&gt;=v_sh^2/a_sh,(ABS(B291-$B$16)+lane_off)/v_sh+v_sh/a_sh,2*SQRT((ABS(B291-$B$16)+lane_off)/a_sh))))</f>
        <v/>
      </c>
      <c r="H291" s="34" t="str">
        <f aca="false">IF(OR(A291&gt;NL_b,$B$17=""),"",IF((ABS(B291-$B$17)+lane_off)&lt;=0,0,IF((ABS(B291-$B$17)+lane_off)&gt;=v_sh^2/a_sh,(ABS(B291-$B$17)+lane_off)/v_sh+v_sh/a_sh,2*SQRT((ABS(B291-$B$17)+lane_off)/a_sh))))</f>
        <v/>
      </c>
      <c r="I291" s="34" t="str">
        <f aca="false">IF(C291="","",2*C291+w_conv*$D$12/v_conv)</f>
        <v/>
      </c>
      <c r="J291" s="34" t="str">
        <f aca="false">IF(D291="","",2*D291+w_conv*$D$13/v_conv)</f>
        <v/>
      </c>
      <c r="K291" s="34" t="str">
        <f aca="false">IF(E291="","",2*E291+w_conv*$D$14/v_conv)</f>
        <v/>
      </c>
      <c r="L291" s="34" t="str">
        <f aca="false">IF(F291="","",2*F291+w_conv*$D$15/v_conv)</f>
        <v/>
      </c>
      <c r="M291" s="34" t="str">
        <f aca="false">IF(G291="","",2*G291+w_conv*$D$16/v_conv)</f>
        <v/>
      </c>
      <c r="N291" s="34" t="str">
        <f aca="false">IF(H291="","",2*H291+w_conv*$D$17/v_conv)</f>
        <v/>
      </c>
      <c r="O291" s="34" t="str">
        <f aca="false">IF(A291&gt;NL_b,"",MIN(I291:N291))</f>
        <v/>
      </c>
      <c r="P291" s="34" t="str">
        <f aca="false">IF(O291="","",INDEX(C291:H291,MATCH(O291,I291:N291,0)))</f>
        <v/>
      </c>
      <c r="Q291" s="34" t="str">
        <f aca="false">IF(O291="","",INDEX($D$12:$D$17,MATCH(O291,I291:N291,0)))</f>
        <v/>
      </c>
    </row>
    <row r="292" customFormat="false" ht="15" hidden="false" customHeight="true" outlineLevel="0" collapsed="false">
      <c r="A292" s="54" t="n">
        <v>272</v>
      </c>
      <c r="B292" s="34" t="n">
        <f aca="false">(A292-0.5)*u_w</f>
        <v>271.5</v>
      </c>
      <c r="C292" s="34" t="str">
        <f aca="false">IF(OR(A292&gt;NL_b,$B$12=""),"",IF((ABS(B292-$B$12)+lane_off)&lt;=0,0,IF((ABS(B292-$B$12)+lane_off)&gt;=v_sh^2/a_sh,(ABS(B292-$B$12)+lane_off)/v_sh+v_sh/a_sh,2*SQRT((ABS(B292-$B$12)+lane_off)/a_sh))))</f>
        <v/>
      </c>
      <c r="D292" s="34" t="str">
        <f aca="false">IF(OR(A292&gt;NL_b,$B$13=""),"",IF((ABS(B292-$B$13)+lane_off)&lt;=0,0,IF((ABS(B292-$B$13)+lane_off)&gt;=v_sh^2/a_sh,(ABS(B292-$B$13)+lane_off)/v_sh+v_sh/a_sh,2*SQRT((ABS(B292-$B$13)+lane_off)/a_sh))))</f>
        <v/>
      </c>
      <c r="E292" s="34" t="str">
        <f aca="false">IF(OR(A292&gt;NL_b,$B$14=""),"",IF((ABS(B292-$B$14)+lane_off)&lt;=0,0,IF((ABS(B292-$B$14)+lane_off)&gt;=v_sh^2/a_sh,(ABS(B292-$B$14)+lane_off)/v_sh+v_sh/a_sh,2*SQRT((ABS(B292-$B$14)+lane_off)/a_sh))))</f>
        <v/>
      </c>
      <c r="F292" s="34" t="str">
        <f aca="false">IF(OR(A292&gt;NL_b,$B$15=""),"",IF((ABS(B292-$B$15)+lane_off)&lt;=0,0,IF((ABS(B292-$B$15)+lane_off)&gt;=v_sh^2/a_sh,(ABS(B292-$B$15)+lane_off)/v_sh+v_sh/a_sh,2*SQRT((ABS(B292-$B$15)+lane_off)/a_sh))))</f>
        <v/>
      </c>
      <c r="G292" s="34" t="str">
        <f aca="false">IF(OR(A292&gt;NL_b,$B$16=""),"",IF((ABS(B292-$B$16)+lane_off)&lt;=0,0,IF((ABS(B292-$B$16)+lane_off)&gt;=v_sh^2/a_sh,(ABS(B292-$B$16)+lane_off)/v_sh+v_sh/a_sh,2*SQRT((ABS(B292-$B$16)+lane_off)/a_sh))))</f>
        <v/>
      </c>
      <c r="H292" s="34" t="str">
        <f aca="false">IF(OR(A292&gt;NL_b,$B$17=""),"",IF((ABS(B292-$B$17)+lane_off)&lt;=0,0,IF((ABS(B292-$B$17)+lane_off)&gt;=v_sh^2/a_sh,(ABS(B292-$B$17)+lane_off)/v_sh+v_sh/a_sh,2*SQRT((ABS(B292-$B$17)+lane_off)/a_sh))))</f>
        <v/>
      </c>
      <c r="I292" s="34" t="str">
        <f aca="false">IF(C292="","",2*C292+w_conv*$D$12/v_conv)</f>
        <v/>
      </c>
      <c r="J292" s="34" t="str">
        <f aca="false">IF(D292="","",2*D292+w_conv*$D$13/v_conv)</f>
        <v/>
      </c>
      <c r="K292" s="34" t="str">
        <f aca="false">IF(E292="","",2*E292+w_conv*$D$14/v_conv)</f>
        <v/>
      </c>
      <c r="L292" s="34" t="str">
        <f aca="false">IF(F292="","",2*F292+w_conv*$D$15/v_conv)</f>
        <v/>
      </c>
      <c r="M292" s="34" t="str">
        <f aca="false">IF(G292="","",2*G292+w_conv*$D$16/v_conv)</f>
        <v/>
      </c>
      <c r="N292" s="34" t="str">
        <f aca="false">IF(H292="","",2*H292+w_conv*$D$17/v_conv)</f>
        <v/>
      </c>
      <c r="O292" s="34" t="str">
        <f aca="false">IF(A292&gt;NL_b,"",MIN(I292:N292))</f>
        <v/>
      </c>
      <c r="P292" s="34" t="str">
        <f aca="false">IF(O292="","",INDEX(C292:H292,MATCH(O292,I292:N292,0)))</f>
        <v/>
      </c>
      <c r="Q292" s="34" t="str">
        <f aca="false">IF(O292="","",INDEX($D$12:$D$17,MATCH(O292,I292:N292,0)))</f>
        <v/>
      </c>
    </row>
    <row r="293" customFormat="false" ht="15" hidden="false" customHeight="true" outlineLevel="0" collapsed="false">
      <c r="A293" s="54" t="n">
        <v>273</v>
      </c>
      <c r="B293" s="34" t="n">
        <f aca="false">(A293-0.5)*u_w</f>
        <v>272.5</v>
      </c>
      <c r="C293" s="34" t="str">
        <f aca="false">IF(OR(A293&gt;NL_b,$B$12=""),"",IF((ABS(B293-$B$12)+lane_off)&lt;=0,0,IF((ABS(B293-$B$12)+lane_off)&gt;=v_sh^2/a_sh,(ABS(B293-$B$12)+lane_off)/v_sh+v_sh/a_sh,2*SQRT((ABS(B293-$B$12)+lane_off)/a_sh))))</f>
        <v/>
      </c>
      <c r="D293" s="34" t="str">
        <f aca="false">IF(OR(A293&gt;NL_b,$B$13=""),"",IF((ABS(B293-$B$13)+lane_off)&lt;=0,0,IF((ABS(B293-$B$13)+lane_off)&gt;=v_sh^2/a_sh,(ABS(B293-$B$13)+lane_off)/v_sh+v_sh/a_sh,2*SQRT((ABS(B293-$B$13)+lane_off)/a_sh))))</f>
        <v/>
      </c>
      <c r="E293" s="34" t="str">
        <f aca="false">IF(OR(A293&gt;NL_b,$B$14=""),"",IF((ABS(B293-$B$14)+lane_off)&lt;=0,0,IF((ABS(B293-$B$14)+lane_off)&gt;=v_sh^2/a_sh,(ABS(B293-$B$14)+lane_off)/v_sh+v_sh/a_sh,2*SQRT((ABS(B293-$B$14)+lane_off)/a_sh))))</f>
        <v/>
      </c>
      <c r="F293" s="34" t="str">
        <f aca="false">IF(OR(A293&gt;NL_b,$B$15=""),"",IF((ABS(B293-$B$15)+lane_off)&lt;=0,0,IF((ABS(B293-$B$15)+lane_off)&gt;=v_sh^2/a_sh,(ABS(B293-$B$15)+lane_off)/v_sh+v_sh/a_sh,2*SQRT((ABS(B293-$B$15)+lane_off)/a_sh))))</f>
        <v/>
      </c>
      <c r="G293" s="34" t="str">
        <f aca="false">IF(OR(A293&gt;NL_b,$B$16=""),"",IF((ABS(B293-$B$16)+lane_off)&lt;=0,0,IF((ABS(B293-$B$16)+lane_off)&gt;=v_sh^2/a_sh,(ABS(B293-$B$16)+lane_off)/v_sh+v_sh/a_sh,2*SQRT((ABS(B293-$B$16)+lane_off)/a_sh))))</f>
        <v/>
      </c>
      <c r="H293" s="34" t="str">
        <f aca="false">IF(OR(A293&gt;NL_b,$B$17=""),"",IF((ABS(B293-$B$17)+lane_off)&lt;=0,0,IF((ABS(B293-$B$17)+lane_off)&gt;=v_sh^2/a_sh,(ABS(B293-$B$17)+lane_off)/v_sh+v_sh/a_sh,2*SQRT((ABS(B293-$B$17)+lane_off)/a_sh))))</f>
        <v/>
      </c>
      <c r="I293" s="34" t="str">
        <f aca="false">IF(C293="","",2*C293+w_conv*$D$12/v_conv)</f>
        <v/>
      </c>
      <c r="J293" s="34" t="str">
        <f aca="false">IF(D293="","",2*D293+w_conv*$D$13/v_conv)</f>
        <v/>
      </c>
      <c r="K293" s="34" t="str">
        <f aca="false">IF(E293="","",2*E293+w_conv*$D$14/v_conv)</f>
        <v/>
      </c>
      <c r="L293" s="34" t="str">
        <f aca="false">IF(F293="","",2*F293+w_conv*$D$15/v_conv)</f>
        <v/>
      </c>
      <c r="M293" s="34" t="str">
        <f aca="false">IF(G293="","",2*G293+w_conv*$D$16/v_conv)</f>
        <v/>
      </c>
      <c r="N293" s="34" t="str">
        <f aca="false">IF(H293="","",2*H293+w_conv*$D$17/v_conv)</f>
        <v/>
      </c>
      <c r="O293" s="34" t="str">
        <f aca="false">IF(A293&gt;NL_b,"",MIN(I293:N293))</f>
        <v/>
      </c>
      <c r="P293" s="34" t="str">
        <f aca="false">IF(O293="","",INDEX(C293:H293,MATCH(O293,I293:N293,0)))</f>
        <v/>
      </c>
      <c r="Q293" s="34" t="str">
        <f aca="false">IF(O293="","",INDEX($D$12:$D$17,MATCH(O293,I293:N293,0)))</f>
        <v/>
      </c>
    </row>
    <row r="294" customFormat="false" ht="15" hidden="false" customHeight="true" outlineLevel="0" collapsed="false">
      <c r="A294" s="54" t="n">
        <v>274</v>
      </c>
      <c r="B294" s="34" t="n">
        <f aca="false">(A294-0.5)*u_w</f>
        <v>273.5</v>
      </c>
      <c r="C294" s="34" t="str">
        <f aca="false">IF(OR(A294&gt;NL_b,$B$12=""),"",IF((ABS(B294-$B$12)+lane_off)&lt;=0,0,IF((ABS(B294-$B$12)+lane_off)&gt;=v_sh^2/a_sh,(ABS(B294-$B$12)+lane_off)/v_sh+v_sh/a_sh,2*SQRT((ABS(B294-$B$12)+lane_off)/a_sh))))</f>
        <v/>
      </c>
      <c r="D294" s="34" t="str">
        <f aca="false">IF(OR(A294&gt;NL_b,$B$13=""),"",IF((ABS(B294-$B$13)+lane_off)&lt;=0,0,IF((ABS(B294-$B$13)+lane_off)&gt;=v_sh^2/a_sh,(ABS(B294-$B$13)+lane_off)/v_sh+v_sh/a_sh,2*SQRT((ABS(B294-$B$13)+lane_off)/a_sh))))</f>
        <v/>
      </c>
      <c r="E294" s="34" t="str">
        <f aca="false">IF(OR(A294&gt;NL_b,$B$14=""),"",IF((ABS(B294-$B$14)+lane_off)&lt;=0,0,IF((ABS(B294-$B$14)+lane_off)&gt;=v_sh^2/a_sh,(ABS(B294-$B$14)+lane_off)/v_sh+v_sh/a_sh,2*SQRT((ABS(B294-$B$14)+lane_off)/a_sh))))</f>
        <v/>
      </c>
      <c r="F294" s="34" t="str">
        <f aca="false">IF(OR(A294&gt;NL_b,$B$15=""),"",IF((ABS(B294-$B$15)+lane_off)&lt;=0,0,IF((ABS(B294-$B$15)+lane_off)&gt;=v_sh^2/a_sh,(ABS(B294-$B$15)+lane_off)/v_sh+v_sh/a_sh,2*SQRT((ABS(B294-$B$15)+lane_off)/a_sh))))</f>
        <v/>
      </c>
      <c r="G294" s="34" t="str">
        <f aca="false">IF(OR(A294&gt;NL_b,$B$16=""),"",IF((ABS(B294-$B$16)+lane_off)&lt;=0,0,IF((ABS(B294-$B$16)+lane_off)&gt;=v_sh^2/a_sh,(ABS(B294-$B$16)+lane_off)/v_sh+v_sh/a_sh,2*SQRT((ABS(B294-$B$16)+lane_off)/a_sh))))</f>
        <v/>
      </c>
      <c r="H294" s="34" t="str">
        <f aca="false">IF(OR(A294&gt;NL_b,$B$17=""),"",IF((ABS(B294-$B$17)+lane_off)&lt;=0,0,IF((ABS(B294-$B$17)+lane_off)&gt;=v_sh^2/a_sh,(ABS(B294-$B$17)+lane_off)/v_sh+v_sh/a_sh,2*SQRT((ABS(B294-$B$17)+lane_off)/a_sh))))</f>
        <v/>
      </c>
      <c r="I294" s="34" t="str">
        <f aca="false">IF(C294="","",2*C294+w_conv*$D$12/v_conv)</f>
        <v/>
      </c>
      <c r="J294" s="34" t="str">
        <f aca="false">IF(D294="","",2*D294+w_conv*$D$13/v_conv)</f>
        <v/>
      </c>
      <c r="K294" s="34" t="str">
        <f aca="false">IF(E294="","",2*E294+w_conv*$D$14/v_conv)</f>
        <v/>
      </c>
      <c r="L294" s="34" t="str">
        <f aca="false">IF(F294="","",2*F294+w_conv*$D$15/v_conv)</f>
        <v/>
      </c>
      <c r="M294" s="34" t="str">
        <f aca="false">IF(G294="","",2*G294+w_conv*$D$16/v_conv)</f>
        <v/>
      </c>
      <c r="N294" s="34" t="str">
        <f aca="false">IF(H294="","",2*H294+w_conv*$D$17/v_conv)</f>
        <v/>
      </c>
      <c r="O294" s="34" t="str">
        <f aca="false">IF(A294&gt;NL_b,"",MIN(I294:N294))</f>
        <v/>
      </c>
      <c r="P294" s="34" t="str">
        <f aca="false">IF(O294="","",INDEX(C294:H294,MATCH(O294,I294:N294,0)))</f>
        <v/>
      </c>
      <c r="Q294" s="34" t="str">
        <f aca="false">IF(O294="","",INDEX($D$12:$D$17,MATCH(O294,I294:N294,0)))</f>
        <v/>
      </c>
    </row>
    <row r="295" customFormat="false" ht="15" hidden="false" customHeight="true" outlineLevel="0" collapsed="false">
      <c r="A295" s="54" t="n">
        <v>275</v>
      </c>
      <c r="B295" s="34" t="n">
        <f aca="false">(A295-0.5)*u_w</f>
        <v>274.5</v>
      </c>
      <c r="C295" s="34" t="str">
        <f aca="false">IF(OR(A295&gt;NL_b,$B$12=""),"",IF((ABS(B295-$B$12)+lane_off)&lt;=0,0,IF((ABS(B295-$B$12)+lane_off)&gt;=v_sh^2/a_sh,(ABS(B295-$B$12)+lane_off)/v_sh+v_sh/a_sh,2*SQRT((ABS(B295-$B$12)+lane_off)/a_sh))))</f>
        <v/>
      </c>
      <c r="D295" s="34" t="str">
        <f aca="false">IF(OR(A295&gt;NL_b,$B$13=""),"",IF((ABS(B295-$B$13)+lane_off)&lt;=0,0,IF((ABS(B295-$B$13)+lane_off)&gt;=v_sh^2/a_sh,(ABS(B295-$B$13)+lane_off)/v_sh+v_sh/a_sh,2*SQRT((ABS(B295-$B$13)+lane_off)/a_sh))))</f>
        <v/>
      </c>
      <c r="E295" s="34" t="str">
        <f aca="false">IF(OR(A295&gt;NL_b,$B$14=""),"",IF((ABS(B295-$B$14)+lane_off)&lt;=0,0,IF((ABS(B295-$B$14)+lane_off)&gt;=v_sh^2/a_sh,(ABS(B295-$B$14)+lane_off)/v_sh+v_sh/a_sh,2*SQRT((ABS(B295-$B$14)+lane_off)/a_sh))))</f>
        <v/>
      </c>
      <c r="F295" s="34" t="str">
        <f aca="false">IF(OR(A295&gt;NL_b,$B$15=""),"",IF((ABS(B295-$B$15)+lane_off)&lt;=0,0,IF((ABS(B295-$B$15)+lane_off)&gt;=v_sh^2/a_sh,(ABS(B295-$B$15)+lane_off)/v_sh+v_sh/a_sh,2*SQRT((ABS(B295-$B$15)+lane_off)/a_sh))))</f>
        <v/>
      </c>
      <c r="G295" s="34" t="str">
        <f aca="false">IF(OR(A295&gt;NL_b,$B$16=""),"",IF((ABS(B295-$B$16)+lane_off)&lt;=0,0,IF((ABS(B295-$B$16)+lane_off)&gt;=v_sh^2/a_sh,(ABS(B295-$B$16)+lane_off)/v_sh+v_sh/a_sh,2*SQRT((ABS(B295-$B$16)+lane_off)/a_sh))))</f>
        <v/>
      </c>
      <c r="H295" s="34" t="str">
        <f aca="false">IF(OR(A295&gt;NL_b,$B$17=""),"",IF((ABS(B295-$B$17)+lane_off)&lt;=0,0,IF((ABS(B295-$B$17)+lane_off)&gt;=v_sh^2/a_sh,(ABS(B295-$B$17)+lane_off)/v_sh+v_sh/a_sh,2*SQRT((ABS(B295-$B$17)+lane_off)/a_sh))))</f>
        <v/>
      </c>
      <c r="I295" s="34" t="str">
        <f aca="false">IF(C295="","",2*C295+w_conv*$D$12/v_conv)</f>
        <v/>
      </c>
      <c r="J295" s="34" t="str">
        <f aca="false">IF(D295="","",2*D295+w_conv*$D$13/v_conv)</f>
        <v/>
      </c>
      <c r="K295" s="34" t="str">
        <f aca="false">IF(E295="","",2*E295+w_conv*$D$14/v_conv)</f>
        <v/>
      </c>
      <c r="L295" s="34" t="str">
        <f aca="false">IF(F295="","",2*F295+w_conv*$D$15/v_conv)</f>
        <v/>
      </c>
      <c r="M295" s="34" t="str">
        <f aca="false">IF(G295="","",2*G295+w_conv*$D$16/v_conv)</f>
        <v/>
      </c>
      <c r="N295" s="34" t="str">
        <f aca="false">IF(H295="","",2*H295+w_conv*$D$17/v_conv)</f>
        <v/>
      </c>
      <c r="O295" s="34" t="str">
        <f aca="false">IF(A295&gt;NL_b,"",MIN(I295:N295))</f>
        <v/>
      </c>
      <c r="P295" s="34" t="str">
        <f aca="false">IF(O295="","",INDEX(C295:H295,MATCH(O295,I295:N295,0)))</f>
        <v/>
      </c>
      <c r="Q295" s="34" t="str">
        <f aca="false">IF(O295="","",INDEX($D$12:$D$17,MATCH(O295,I295:N295,0)))</f>
        <v/>
      </c>
    </row>
    <row r="296" customFormat="false" ht="15" hidden="false" customHeight="true" outlineLevel="0" collapsed="false">
      <c r="A296" s="54" t="n">
        <v>276</v>
      </c>
      <c r="B296" s="34" t="n">
        <f aca="false">(A296-0.5)*u_w</f>
        <v>275.5</v>
      </c>
      <c r="C296" s="34" t="str">
        <f aca="false">IF(OR(A296&gt;NL_b,$B$12=""),"",IF((ABS(B296-$B$12)+lane_off)&lt;=0,0,IF((ABS(B296-$B$12)+lane_off)&gt;=v_sh^2/a_sh,(ABS(B296-$B$12)+lane_off)/v_sh+v_sh/a_sh,2*SQRT((ABS(B296-$B$12)+lane_off)/a_sh))))</f>
        <v/>
      </c>
      <c r="D296" s="34" t="str">
        <f aca="false">IF(OR(A296&gt;NL_b,$B$13=""),"",IF((ABS(B296-$B$13)+lane_off)&lt;=0,0,IF((ABS(B296-$B$13)+lane_off)&gt;=v_sh^2/a_sh,(ABS(B296-$B$13)+lane_off)/v_sh+v_sh/a_sh,2*SQRT((ABS(B296-$B$13)+lane_off)/a_sh))))</f>
        <v/>
      </c>
      <c r="E296" s="34" t="str">
        <f aca="false">IF(OR(A296&gt;NL_b,$B$14=""),"",IF((ABS(B296-$B$14)+lane_off)&lt;=0,0,IF((ABS(B296-$B$14)+lane_off)&gt;=v_sh^2/a_sh,(ABS(B296-$B$14)+lane_off)/v_sh+v_sh/a_sh,2*SQRT((ABS(B296-$B$14)+lane_off)/a_sh))))</f>
        <v/>
      </c>
      <c r="F296" s="34" t="str">
        <f aca="false">IF(OR(A296&gt;NL_b,$B$15=""),"",IF((ABS(B296-$B$15)+lane_off)&lt;=0,0,IF((ABS(B296-$B$15)+lane_off)&gt;=v_sh^2/a_sh,(ABS(B296-$B$15)+lane_off)/v_sh+v_sh/a_sh,2*SQRT((ABS(B296-$B$15)+lane_off)/a_sh))))</f>
        <v/>
      </c>
      <c r="G296" s="34" t="str">
        <f aca="false">IF(OR(A296&gt;NL_b,$B$16=""),"",IF((ABS(B296-$B$16)+lane_off)&lt;=0,0,IF((ABS(B296-$B$16)+lane_off)&gt;=v_sh^2/a_sh,(ABS(B296-$B$16)+lane_off)/v_sh+v_sh/a_sh,2*SQRT((ABS(B296-$B$16)+lane_off)/a_sh))))</f>
        <v/>
      </c>
      <c r="H296" s="34" t="str">
        <f aca="false">IF(OR(A296&gt;NL_b,$B$17=""),"",IF((ABS(B296-$B$17)+lane_off)&lt;=0,0,IF((ABS(B296-$B$17)+lane_off)&gt;=v_sh^2/a_sh,(ABS(B296-$B$17)+lane_off)/v_sh+v_sh/a_sh,2*SQRT((ABS(B296-$B$17)+lane_off)/a_sh))))</f>
        <v/>
      </c>
      <c r="I296" s="34" t="str">
        <f aca="false">IF(C296="","",2*C296+w_conv*$D$12/v_conv)</f>
        <v/>
      </c>
      <c r="J296" s="34" t="str">
        <f aca="false">IF(D296="","",2*D296+w_conv*$D$13/v_conv)</f>
        <v/>
      </c>
      <c r="K296" s="34" t="str">
        <f aca="false">IF(E296="","",2*E296+w_conv*$D$14/v_conv)</f>
        <v/>
      </c>
      <c r="L296" s="34" t="str">
        <f aca="false">IF(F296="","",2*F296+w_conv*$D$15/v_conv)</f>
        <v/>
      </c>
      <c r="M296" s="34" t="str">
        <f aca="false">IF(G296="","",2*G296+w_conv*$D$16/v_conv)</f>
        <v/>
      </c>
      <c r="N296" s="34" t="str">
        <f aca="false">IF(H296="","",2*H296+w_conv*$D$17/v_conv)</f>
        <v/>
      </c>
      <c r="O296" s="34" t="str">
        <f aca="false">IF(A296&gt;NL_b,"",MIN(I296:N296))</f>
        <v/>
      </c>
      <c r="P296" s="34" t="str">
        <f aca="false">IF(O296="","",INDEX(C296:H296,MATCH(O296,I296:N296,0)))</f>
        <v/>
      </c>
      <c r="Q296" s="34" t="str">
        <f aca="false">IF(O296="","",INDEX($D$12:$D$17,MATCH(O296,I296:N296,0)))</f>
        <v/>
      </c>
    </row>
    <row r="297" customFormat="false" ht="15" hidden="false" customHeight="true" outlineLevel="0" collapsed="false">
      <c r="A297" s="54" t="n">
        <v>277</v>
      </c>
      <c r="B297" s="34" t="n">
        <f aca="false">(A297-0.5)*u_w</f>
        <v>276.5</v>
      </c>
      <c r="C297" s="34" t="str">
        <f aca="false">IF(OR(A297&gt;NL_b,$B$12=""),"",IF((ABS(B297-$B$12)+lane_off)&lt;=0,0,IF((ABS(B297-$B$12)+lane_off)&gt;=v_sh^2/a_sh,(ABS(B297-$B$12)+lane_off)/v_sh+v_sh/a_sh,2*SQRT((ABS(B297-$B$12)+lane_off)/a_sh))))</f>
        <v/>
      </c>
      <c r="D297" s="34" t="str">
        <f aca="false">IF(OR(A297&gt;NL_b,$B$13=""),"",IF((ABS(B297-$B$13)+lane_off)&lt;=0,0,IF((ABS(B297-$B$13)+lane_off)&gt;=v_sh^2/a_sh,(ABS(B297-$B$13)+lane_off)/v_sh+v_sh/a_sh,2*SQRT((ABS(B297-$B$13)+lane_off)/a_sh))))</f>
        <v/>
      </c>
      <c r="E297" s="34" t="str">
        <f aca="false">IF(OR(A297&gt;NL_b,$B$14=""),"",IF((ABS(B297-$B$14)+lane_off)&lt;=0,0,IF((ABS(B297-$B$14)+lane_off)&gt;=v_sh^2/a_sh,(ABS(B297-$B$14)+lane_off)/v_sh+v_sh/a_sh,2*SQRT((ABS(B297-$B$14)+lane_off)/a_sh))))</f>
        <v/>
      </c>
      <c r="F297" s="34" t="str">
        <f aca="false">IF(OR(A297&gt;NL_b,$B$15=""),"",IF((ABS(B297-$B$15)+lane_off)&lt;=0,0,IF((ABS(B297-$B$15)+lane_off)&gt;=v_sh^2/a_sh,(ABS(B297-$B$15)+lane_off)/v_sh+v_sh/a_sh,2*SQRT((ABS(B297-$B$15)+lane_off)/a_sh))))</f>
        <v/>
      </c>
      <c r="G297" s="34" t="str">
        <f aca="false">IF(OR(A297&gt;NL_b,$B$16=""),"",IF((ABS(B297-$B$16)+lane_off)&lt;=0,0,IF((ABS(B297-$B$16)+lane_off)&gt;=v_sh^2/a_sh,(ABS(B297-$B$16)+lane_off)/v_sh+v_sh/a_sh,2*SQRT((ABS(B297-$B$16)+lane_off)/a_sh))))</f>
        <v/>
      </c>
      <c r="H297" s="34" t="str">
        <f aca="false">IF(OR(A297&gt;NL_b,$B$17=""),"",IF((ABS(B297-$B$17)+lane_off)&lt;=0,0,IF((ABS(B297-$B$17)+lane_off)&gt;=v_sh^2/a_sh,(ABS(B297-$B$17)+lane_off)/v_sh+v_sh/a_sh,2*SQRT((ABS(B297-$B$17)+lane_off)/a_sh))))</f>
        <v/>
      </c>
      <c r="I297" s="34" t="str">
        <f aca="false">IF(C297="","",2*C297+w_conv*$D$12/v_conv)</f>
        <v/>
      </c>
      <c r="J297" s="34" t="str">
        <f aca="false">IF(D297="","",2*D297+w_conv*$D$13/v_conv)</f>
        <v/>
      </c>
      <c r="K297" s="34" t="str">
        <f aca="false">IF(E297="","",2*E297+w_conv*$D$14/v_conv)</f>
        <v/>
      </c>
      <c r="L297" s="34" t="str">
        <f aca="false">IF(F297="","",2*F297+w_conv*$D$15/v_conv)</f>
        <v/>
      </c>
      <c r="M297" s="34" t="str">
        <f aca="false">IF(G297="","",2*G297+w_conv*$D$16/v_conv)</f>
        <v/>
      </c>
      <c r="N297" s="34" t="str">
        <f aca="false">IF(H297="","",2*H297+w_conv*$D$17/v_conv)</f>
        <v/>
      </c>
      <c r="O297" s="34" t="str">
        <f aca="false">IF(A297&gt;NL_b,"",MIN(I297:N297))</f>
        <v/>
      </c>
      <c r="P297" s="34" t="str">
        <f aca="false">IF(O297="","",INDEX(C297:H297,MATCH(O297,I297:N297,0)))</f>
        <v/>
      </c>
      <c r="Q297" s="34" t="str">
        <f aca="false">IF(O297="","",INDEX($D$12:$D$17,MATCH(O297,I297:N297,0)))</f>
        <v/>
      </c>
    </row>
    <row r="298" customFormat="false" ht="15" hidden="false" customHeight="true" outlineLevel="0" collapsed="false">
      <c r="A298" s="54" t="n">
        <v>278</v>
      </c>
      <c r="B298" s="34" t="n">
        <f aca="false">(A298-0.5)*u_w</f>
        <v>277.5</v>
      </c>
      <c r="C298" s="34" t="str">
        <f aca="false">IF(OR(A298&gt;NL_b,$B$12=""),"",IF((ABS(B298-$B$12)+lane_off)&lt;=0,0,IF((ABS(B298-$B$12)+lane_off)&gt;=v_sh^2/a_sh,(ABS(B298-$B$12)+lane_off)/v_sh+v_sh/a_sh,2*SQRT((ABS(B298-$B$12)+lane_off)/a_sh))))</f>
        <v/>
      </c>
      <c r="D298" s="34" t="str">
        <f aca="false">IF(OR(A298&gt;NL_b,$B$13=""),"",IF((ABS(B298-$B$13)+lane_off)&lt;=0,0,IF((ABS(B298-$B$13)+lane_off)&gt;=v_sh^2/a_sh,(ABS(B298-$B$13)+lane_off)/v_sh+v_sh/a_sh,2*SQRT((ABS(B298-$B$13)+lane_off)/a_sh))))</f>
        <v/>
      </c>
      <c r="E298" s="34" t="str">
        <f aca="false">IF(OR(A298&gt;NL_b,$B$14=""),"",IF((ABS(B298-$B$14)+lane_off)&lt;=0,0,IF((ABS(B298-$B$14)+lane_off)&gt;=v_sh^2/a_sh,(ABS(B298-$B$14)+lane_off)/v_sh+v_sh/a_sh,2*SQRT((ABS(B298-$B$14)+lane_off)/a_sh))))</f>
        <v/>
      </c>
      <c r="F298" s="34" t="str">
        <f aca="false">IF(OR(A298&gt;NL_b,$B$15=""),"",IF((ABS(B298-$B$15)+lane_off)&lt;=0,0,IF((ABS(B298-$B$15)+lane_off)&gt;=v_sh^2/a_sh,(ABS(B298-$B$15)+lane_off)/v_sh+v_sh/a_sh,2*SQRT((ABS(B298-$B$15)+lane_off)/a_sh))))</f>
        <v/>
      </c>
      <c r="G298" s="34" t="str">
        <f aca="false">IF(OR(A298&gt;NL_b,$B$16=""),"",IF((ABS(B298-$B$16)+lane_off)&lt;=0,0,IF((ABS(B298-$B$16)+lane_off)&gt;=v_sh^2/a_sh,(ABS(B298-$B$16)+lane_off)/v_sh+v_sh/a_sh,2*SQRT((ABS(B298-$B$16)+lane_off)/a_sh))))</f>
        <v/>
      </c>
      <c r="H298" s="34" t="str">
        <f aca="false">IF(OR(A298&gt;NL_b,$B$17=""),"",IF((ABS(B298-$B$17)+lane_off)&lt;=0,0,IF((ABS(B298-$B$17)+lane_off)&gt;=v_sh^2/a_sh,(ABS(B298-$B$17)+lane_off)/v_sh+v_sh/a_sh,2*SQRT((ABS(B298-$B$17)+lane_off)/a_sh))))</f>
        <v/>
      </c>
      <c r="I298" s="34" t="str">
        <f aca="false">IF(C298="","",2*C298+w_conv*$D$12/v_conv)</f>
        <v/>
      </c>
      <c r="J298" s="34" t="str">
        <f aca="false">IF(D298="","",2*D298+w_conv*$D$13/v_conv)</f>
        <v/>
      </c>
      <c r="K298" s="34" t="str">
        <f aca="false">IF(E298="","",2*E298+w_conv*$D$14/v_conv)</f>
        <v/>
      </c>
      <c r="L298" s="34" t="str">
        <f aca="false">IF(F298="","",2*F298+w_conv*$D$15/v_conv)</f>
        <v/>
      </c>
      <c r="M298" s="34" t="str">
        <f aca="false">IF(G298="","",2*G298+w_conv*$D$16/v_conv)</f>
        <v/>
      </c>
      <c r="N298" s="34" t="str">
        <f aca="false">IF(H298="","",2*H298+w_conv*$D$17/v_conv)</f>
        <v/>
      </c>
      <c r="O298" s="34" t="str">
        <f aca="false">IF(A298&gt;NL_b,"",MIN(I298:N298))</f>
        <v/>
      </c>
      <c r="P298" s="34" t="str">
        <f aca="false">IF(O298="","",INDEX(C298:H298,MATCH(O298,I298:N298,0)))</f>
        <v/>
      </c>
      <c r="Q298" s="34" t="str">
        <f aca="false">IF(O298="","",INDEX($D$12:$D$17,MATCH(O298,I298:N298,0)))</f>
        <v/>
      </c>
    </row>
    <row r="299" customFormat="false" ht="15" hidden="false" customHeight="true" outlineLevel="0" collapsed="false">
      <c r="A299" s="54" t="n">
        <v>279</v>
      </c>
      <c r="B299" s="34" t="n">
        <f aca="false">(A299-0.5)*u_w</f>
        <v>278.5</v>
      </c>
      <c r="C299" s="34" t="str">
        <f aca="false">IF(OR(A299&gt;NL_b,$B$12=""),"",IF((ABS(B299-$B$12)+lane_off)&lt;=0,0,IF((ABS(B299-$B$12)+lane_off)&gt;=v_sh^2/a_sh,(ABS(B299-$B$12)+lane_off)/v_sh+v_sh/a_sh,2*SQRT((ABS(B299-$B$12)+lane_off)/a_sh))))</f>
        <v/>
      </c>
      <c r="D299" s="34" t="str">
        <f aca="false">IF(OR(A299&gt;NL_b,$B$13=""),"",IF((ABS(B299-$B$13)+lane_off)&lt;=0,0,IF((ABS(B299-$B$13)+lane_off)&gt;=v_sh^2/a_sh,(ABS(B299-$B$13)+lane_off)/v_sh+v_sh/a_sh,2*SQRT((ABS(B299-$B$13)+lane_off)/a_sh))))</f>
        <v/>
      </c>
      <c r="E299" s="34" t="str">
        <f aca="false">IF(OR(A299&gt;NL_b,$B$14=""),"",IF((ABS(B299-$B$14)+lane_off)&lt;=0,0,IF((ABS(B299-$B$14)+lane_off)&gt;=v_sh^2/a_sh,(ABS(B299-$B$14)+lane_off)/v_sh+v_sh/a_sh,2*SQRT((ABS(B299-$B$14)+lane_off)/a_sh))))</f>
        <v/>
      </c>
      <c r="F299" s="34" t="str">
        <f aca="false">IF(OR(A299&gt;NL_b,$B$15=""),"",IF((ABS(B299-$B$15)+lane_off)&lt;=0,0,IF((ABS(B299-$B$15)+lane_off)&gt;=v_sh^2/a_sh,(ABS(B299-$B$15)+lane_off)/v_sh+v_sh/a_sh,2*SQRT((ABS(B299-$B$15)+lane_off)/a_sh))))</f>
        <v/>
      </c>
      <c r="G299" s="34" t="str">
        <f aca="false">IF(OR(A299&gt;NL_b,$B$16=""),"",IF((ABS(B299-$B$16)+lane_off)&lt;=0,0,IF((ABS(B299-$B$16)+lane_off)&gt;=v_sh^2/a_sh,(ABS(B299-$B$16)+lane_off)/v_sh+v_sh/a_sh,2*SQRT((ABS(B299-$B$16)+lane_off)/a_sh))))</f>
        <v/>
      </c>
      <c r="H299" s="34" t="str">
        <f aca="false">IF(OR(A299&gt;NL_b,$B$17=""),"",IF((ABS(B299-$B$17)+lane_off)&lt;=0,0,IF((ABS(B299-$B$17)+lane_off)&gt;=v_sh^2/a_sh,(ABS(B299-$B$17)+lane_off)/v_sh+v_sh/a_sh,2*SQRT((ABS(B299-$B$17)+lane_off)/a_sh))))</f>
        <v/>
      </c>
      <c r="I299" s="34" t="str">
        <f aca="false">IF(C299="","",2*C299+w_conv*$D$12/v_conv)</f>
        <v/>
      </c>
      <c r="J299" s="34" t="str">
        <f aca="false">IF(D299="","",2*D299+w_conv*$D$13/v_conv)</f>
        <v/>
      </c>
      <c r="K299" s="34" t="str">
        <f aca="false">IF(E299="","",2*E299+w_conv*$D$14/v_conv)</f>
        <v/>
      </c>
      <c r="L299" s="34" t="str">
        <f aca="false">IF(F299="","",2*F299+w_conv*$D$15/v_conv)</f>
        <v/>
      </c>
      <c r="M299" s="34" t="str">
        <f aca="false">IF(G299="","",2*G299+w_conv*$D$16/v_conv)</f>
        <v/>
      </c>
      <c r="N299" s="34" t="str">
        <f aca="false">IF(H299="","",2*H299+w_conv*$D$17/v_conv)</f>
        <v/>
      </c>
      <c r="O299" s="34" t="str">
        <f aca="false">IF(A299&gt;NL_b,"",MIN(I299:N299))</f>
        <v/>
      </c>
      <c r="P299" s="34" t="str">
        <f aca="false">IF(O299="","",INDEX(C299:H299,MATCH(O299,I299:N299,0)))</f>
        <v/>
      </c>
      <c r="Q299" s="34" t="str">
        <f aca="false">IF(O299="","",INDEX($D$12:$D$17,MATCH(O299,I299:N299,0)))</f>
        <v/>
      </c>
    </row>
    <row r="300" customFormat="false" ht="15" hidden="false" customHeight="true" outlineLevel="0" collapsed="false">
      <c r="A300" s="54" t="n">
        <v>280</v>
      </c>
      <c r="B300" s="34" t="n">
        <f aca="false">(A300-0.5)*u_w</f>
        <v>279.5</v>
      </c>
      <c r="C300" s="34" t="str">
        <f aca="false">IF(OR(A300&gt;NL_b,$B$12=""),"",IF((ABS(B300-$B$12)+lane_off)&lt;=0,0,IF((ABS(B300-$B$12)+lane_off)&gt;=v_sh^2/a_sh,(ABS(B300-$B$12)+lane_off)/v_sh+v_sh/a_sh,2*SQRT((ABS(B300-$B$12)+lane_off)/a_sh))))</f>
        <v/>
      </c>
      <c r="D300" s="34" t="str">
        <f aca="false">IF(OR(A300&gt;NL_b,$B$13=""),"",IF((ABS(B300-$B$13)+lane_off)&lt;=0,0,IF((ABS(B300-$B$13)+lane_off)&gt;=v_sh^2/a_sh,(ABS(B300-$B$13)+lane_off)/v_sh+v_sh/a_sh,2*SQRT((ABS(B300-$B$13)+lane_off)/a_sh))))</f>
        <v/>
      </c>
      <c r="E300" s="34" t="str">
        <f aca="false">IF(OR(A300&gt;NL_b,$B$14=""),"",IF((ABS(B300-$B$14)+lane_off)&lt;=0,0,IF((ABS(B300-$B$14)+lane_off)&gt;=v_sh^2/a_sh,(ABS(B300-$B$14)+lane_off)/v_sh+v_sh/a_sh,2*SQRT((ABS(B300-$B$14)+lane_off)/a_sh))))</f>
        <v/>
      </c>
      <c r="F300" s="34" t="str">
        <f aca="false">IF(OR(A300&gt;NL_b,$B$15=""),"",IF((ABS(B300-$B$15)+lane_off)&lt;=0,0,IF((ABS(B300-$B$15)+lane_off)&gt;=v_sh^2/a_sh,(ABS(B300-$B$15)+lane_off)/v_sh+v_sh/a_sh,2*SQRT((ABS(B300-$B$15)+lane_off)/a_sh))))</f>
        <v/>
      </c>
      <c r="G300" s="34" t="str">
        <f aca="false">IF(OR(A300&gt;NL_b,$B$16=""),"",IF((ABS(B300-$B$16)+lane_off)&lt;=0,0,IF((ABS(B300-$B$16)+lane_off)&gt;=v_sh^2/a_sh,(ABS(B300-$B$16)+lane_off)/v_sh+v_sh/a_sh,2*SQRT((ABS(B300-$B$16)+lane_off)/a_sh))))</f>
        <v/>
      </c>
      <c r="H300" s="34" t="str">
        <f aca="false">IF(OR(A300&gt;NL_b,$B$17=""),"",IF((ABS(B300-$B$17)+lane_off)&lt;=0,0,IF((ABS(B300-$B$17)+lane_off)&gt;=v_sh^2/a_sh,(ABS(B300-$B$17)+lane_off)/v_sh+v_sh/a_sh,2*SQRT((ABS(B300-$B$17)+lane_off)/a_sh))))</f>
        <v/>
      </c>
      <c r="I300" s="34" t="str">
        <f aca="false">IF(C300="","",2*C300+w_conv*$D$12/v_conv)</f>
        <v/>
      </c>
      <c r="J300" s="34" t="str">
        <f aca="false">IF(D300="","",2*D300+w_conv*$D$13/v_conv)</f>
        <v/>
      </c>
      <c r="K300" s="34" t="str">
        <f aca="false">IF(E300="","",2*E300+w_conv*$D$14/v_conv)</f>
        <v/>
      </c>
      <c r="L300" s="34" t="str">
        <f aca="false">IF(F300="","",2*F300+w_conv*$D$15/v_conv)</f>
        <v/>
      </c>
      <c r="M300" s="34" t="str">
        <f aca="false">IF(G300="","",2*G300+w_conv*$D$16/v_conv)</f>
        <v/>
      </c>
      <c r="N300" s="34" t="str">
        <f aca="false">IF(H300="","",2*H300+w_conv*$D$17/v_conv)</f>
        <v/>
      </c>
      <c r="O300" s="34" t="str">
        <f aca="false">IF(A300&gt;NL_b,"",MIN(I300:N300))</f>
        <v/>
      </c>
      <c r="P300" s="34" t="str">
        <f aca="false">IF(O300="","",INDEX(C300:H300,MATCH(O300,I300:N300,0)))</f>
        <v/>
      </c>
      <c r="Q300" s="34" t="str">
        <f aca="false">IF(O300="","",INDEX($D$12:$D$17,MATCH(O300,I300:N300,0)))</f>
        <v/>
      </c>
    </row>
    <row r="301" customFormat="false" ht="15" hidden="false" customHeight="true" outlineLevel="0" collapsed="false">
      <c r="A301" s="54" t="n">
        <v>281</v>
      </c>
      <c r="B301" s="34" t="n">
        <f aca="false">(A301-0.5)*u_w</f>
        <v>280.5</v>
      </c>
      <c r="C301" s="34" t="str">
        <f aca="false">IF(OR(A301&gt;NL_b,$B$12=""),"",IF((ABS(B301-$B$12)+lane_off)&lt;=0,0,IF((ABS(B301-$B$12)+lane_off)&gt;=v_sh^2/a_sh,(ABS(B301-$B$12)+lane_off)/v_sh+v_sh/a_sh,2*SQRT((ABS(B301-$B$12)+lane_off)/a_sh))))</f>
        <v/>
      </c>
      <c r="D301" s="34" t="str">
        <f aca="false">IF(OR(A301&gt;NL_b,$B$13=""),"",IF((ABS(B301-$B$13)+lane_off)&lt;=0,0,IF((ABS(B301-$B$13)+lane_off)&gt;=v_sh^2/a_sh,(ABS(B301-$B$13)+lane_off)/v_sh+v_sh/a_sh,2*SQRT((ABS(B301-$B$13)+lane_off)/a_sh))))</f>
        <v/>
      </c>
      <c r="E301" s="34" t="str">
        <f aca="false">IF(OR(A301&gt;NL_b,$B$14=""),"",IF((ABS(B301-$B$14)+lane_off)&lt;=0,0,IF((ABS(B301-$B$14)+lane_off)&gt;=v_sh^2/a_sh,(ABS(B301-$B$14)+lane_off)/v_sh+v_sh/a_sh,2*SQRT((ABS(B301-$B$14)+lane_off)/a_sh))))</f>
        <v/>
      </c>
      <c r="F301" s="34" t="str">
        <f aca="false">IF(OR(A301&gt;NL_b,$B$15=""),"",IF((ABS(B301-$B$15)+lane_off)&lt;=0,0,IF((ABS(B301-$B$15)+lane_off)&gt;=v_sh^2/a_sh,(ABS(B301-$B$15)+lane_off)/v_sh+v_sh/a_sh,2*SQRT((ABS(B301-$B$15)+lane_off)/a_sh))))</f>
        <v/>
      </c>
      <c r="G301" s="34" t="str">
        <f aca="false">IF(OR(A301&gt;NL_b,$B$16=""),"",IF((ABS(B301-$B$16)+lane_off)&lt;=0,0,IF((ABS(B301-$B$16)+lane_off)&gt;=v_sh^2/a_sh,(ABS(B301-$B$16)+lane_off)/v_sh+v_sh/a_sh,2*SQRT((ABS(B301-$B$16)+lane_off)/a_sh))))</f>
        <v/>
      </c>
      <c r="H301" s="34" t="str">
        <f aca="false">IF(OR(A301&gt;NL_b,$B$17=""),"",IF((ABS(B301-$B$17)+lane_off)&lt;=0,0,IF((ABS(B301-$B$17)+lane_off)&gt;=v_sh^2/a_sh,(ABS(B301-$B$17)+lane_off)/v_sh+v_sh/a_sh,2*SQRT((ABS(B301-$B$17)+lane_off)/a_sh))))</f>
        <v/>
      </c>
      <c r="I301" s="34" t="str">
        <f aca="false">IF(C301="","",2*C301+w_conv*$D$12/v_conv)</f>
        <v/>
      </c>
      <c r="J301" s="34" t="str">
        <f aca="false">IF(D301="","",2*D301+w_conv*$D$13/v_conv)</f>
        <v/>
      </c>
      <c r="K301" s="34" t="str">
        <f aca="false">IF(E301="","",2*E301+w_conv*$D$14/v_conv)</f>
        <v/>
      </c>
      <c r="L301" s="34" t="str">
        <f aca="false">IF(F301="","",2*F301+w_conv*$D$15/v_conv)</f>
        <v/>
      </c>
      <c r="M301" s="34" t="str">
        <f aca="false">IF(G301="","",2*G301+w_conv*$D$16/v_conv)</f>
        <v/>
      </c>
      <c r="N301" s="34" t="str">
        <f aca="false">IF(H301="","",2*H301+w_conv*$D$17/v_conv)</f>
        <v/>
      </c>
      <c r="O301" s="34" t="str">
        <f aca="false">IF(A301&gt;NL_b,"",MIN(I301:N301))</f>
        <v/>
      </c>
      <c r="P301" s="34" t="str">
        <f aca="false">IF(O301="","",INDEX(C301:H301,MATCH(O301,I301:N301,0)))</f>
        <v/>
      </c>
      <c r="Q301" s="34" t="str">
        <f aca="false">IF(O301="","",INDEX($D$12:$D$17,MATCH(O301,I301:N301,0)))</f>
        <v/>
      </c>
    </row>
    <row r="302" customFormat="false" ht="15" hidden="false" customHeight="true" outlineLevel="0" collapsed="false">
      <c r="A302" s="54" t="n">
        <v>282</v>
      </c>
      <c r="B302" s="34" t="n">
        <f aca="false">(A302-0.5)*u_w</f>
        <v>281.5</v>
      </c>
      <c r="C302" s="34" t="str">
        <f aca="false">IF(OR(A302&gt;NL_b,$B$12=""),"",IF((ABS(B302-$B$12)+lane_off)&lt;=0,0,IF((ABS(B302-$B$12)+lane_off)&gt;=v_sh^2/a_sh,(ABS(B302-$B$12)+lane_off)/v_sh+v_sh/a_sh,2*SQRT((ABS(B302-$B$12)+lane_off)/a_sh))))</f>
        <v/>
      </c>
      <c r="D302" s="34" t="str">
        <f aca="false">IF(OR(A302&gt;NL_b,$B$13=""),"",IF((ABS(B302-$B$13)+lane_off)&lt;=0,0,IF((ABS(B302-$B$13)+lane_off)&gt;=v_sh^2/a_sh,(ABS(B302-$B$13)+lane_off)/v_sh+v_sh/a_sh,2*SQRT((ABS(B302-$B$13)+lane_off)/a_sh))))</f>
        <v/>
      </c>
      <c r="E302" s="34" t="str">
        <f aca="false">IF(OR(A302&gt;NL_b,$B$14=""),"",IF((ABS(B302-$B$14)+lane_off)&lt;=0,0,IF((ABS(B302-$B$14)+lane_off)&gt;=v_sh^2/a_sh,(ABS(B302-$B$14)+lane_off)/v_sh+v_sh/a_sh,2*SQRT((ABS(B302-$B$14)+lane_off)/a_sh))))</f>
        <v/>
      </c>
      <c r="F302" s="34" t="str">
        <f aca="false">IF(OR(A302&gt;NL_b,$B$15=""),"",IF((ABS(B302-$B$15)+lane_off)&lt;=0,0,IF((ABS(B302-$B$15)+lane_off)&gt;=v_sh^2/a_sh,(ABS(B302-$B$15)+lane_off)/v_sh+v_sh/a_sh,2*SQRT((ABS(B302-$B$15)+lane_off)/a_sh))))</f>
        <v/>
      </c>
      <c r="G302" s="34" t="str">
        <f aca="false">IF(OR(A302&gt;NL_b,$B$16=""),"",IF((ABS(B302-$B$16)+lane_off)&lt;=0,0,IF((ABS(B302-$B$16)+lane_off)&gt;=v_sh^2/a_sh,(ABS(B302-$B$16)+lane_off)/v_sh+v_sh/a_sh,2*SQRT((ABS(B302-$B$16)+lane_off)/a_sh))))</f>
        <v/>
      </c>
      <c r="H302" s="34" t="str">
        <f aca="false">IF(OR(A302&gt;NL_b,$B$17=""),"",IF((ABS(B302-$B$17)+lane_off)&lt;=0,0,IF((ABS(B302-$B$17)+lane_off)&gt;=v_sh^2/a_sh,(ABS(B302-$B$17)+lane_off)/v_sh+v_sh/a_sh,2*SQRT((ABS(B302-$B$17)+lane_off)/a_sh))))</f>
        <v/>
      </c>
      <c r="I302" s="34" t="str">
        <f aca="false">IF(C302="","",2*C302+w_conv*$D$12/v_conv)</f>
        <v/>
      </c>
      <c r="J302" s="34" t="str">
        <f aca="false">IF(D302="","",2*D302+w_conv*$D$13/v_conv)</f>
        <v/>
      </c>
      <c r="K302" s="34" t="str">
        <f aca="false">IF(E302="","",2*E302+w_conv*$D$14/v_conv)</f>
        <v/>
      </c>
      <c r="L302" s="34" t="str">
        <f aca="false">IF(F302="","",2*F302+w_conv*$D$15/v_conv)</f>
        <v/>
      </c>
      <c r="M302" s="34" t="str">
        <f aca="false">IF(G302="","",2*G302+w_conv*$D$16/v_conv)</f>
        <v/>
      </c>
      <c r="N302" s="34" t="str">
        <f aca="false">IF(H302="","",2*H302+w_conv*$D$17/v_conv)</f>
        <v/>
      </c>
      <c r="O302" s="34" t="str">
        <f aca="false">IF(A302&gt;NL_b,"",MIN(I302:N302))</f>
        <v/>
      </c>
      <c r="P302" s="34" t="str">
        <f aca="false">IF(O302="","",INDEX(C302:H302,MATCH(O302,I302:N302,0)))</f>
        <v/>
      </c>
      <c r="Q302" s="34" t="str">
        <f aca="false">IF(O302="","",INDEX($D$12:$D$17,MATCH(O302,I302:N302,0)))</f>
        <v/>
      </c>
    </row>
    <row r="303" customFormat="false" ht="15" hidden="false" customHeight="true" outlineLevel="0" collapsed="false">
      <c r="A303" s="54" t="n">
        <v>283</v>
      </c>
      <c r="B303" s="34" t="n">
        <f aca="false">(A303-0.5)*u_w</f>
        <v>282.5</v>
      </c>
      <c r="C303" s="34" t="str">
        <f aca="false">IF(OR(A303&gt;NL_b,$B$12=""),"",IF((ABS(B303-$B$12)+lane_off)&lt;=0,0,IF((ABS(B303-$B$12)+lane_off)&gt;=v_sh^2/a_sh,(ABS(B303-$B$12)+lane_off)/v_sh+v_sh/a_sh,2*SQRT((ABS(B303-$B$12)+lane_off)/a_sh))))</f>
        <v/>
      </c>
      <c r="D303" s="34" t="str">
        <f aca="false">IF(OR(A303&gt;NL_b,$B$13=""),"",IF((ABS(B303-$B$13)+lane_off)&lt;=0,0,IF((ABS(B303-$B$13)+lane_off)&gt;=v_sh^2/a_sh,(ABS(B303-$B$13)+lane_off)/v_sh+v_sh/a_sh,2*SQRT((ABS(B303-$B$13)+lane_off)/a_sh))))</f>
        <v/>
      </c>
      <c r="E303" s="34" t="str">
        <f aca="false">IF(OR(A303&gt;NL_b,$B$14=""),"",IF((ABS(B303-$B$14)+lane_off)&lt;=0,0,IF((ABS(B303-$B$14)+lane_off)&gt;=v_sh^2/a_sh,(ABS(B303-$B$14)+lane_off)/v_sh+v_sh/a_sh,2*SQRT((ABS(B303-$B$14)+lane_off)/a_sh))))</f>
        <v/>
      </c>
      <c r="F303" s="34" t="str">
        <f aca="false">IF(OR(A303&gt;NL_b,$B$15=""),"",IF((ABS(B303-$B$15)+lane_off)&lt;=0,0,IF((ABS(B303-$B$15)+lane_off)&gt;=v_sh^2/a_sh,(ABS(B303-$B$15)+lane_off)/v_sh+v_sh/a_sh,2*SQRT((ABS(B303-$B$15)+lane_off)/a_sh))))</f>
        <v/>
      </c>
      <c r="G303" s="34" t="str">
        <f aca="false">IF(OR(A303&gt;NL_b,$B$16=""),"",IF((ABS(B303-$B$16)+lane_off)&lt;=0,0,IF((ABS(B303-$B$16)+lane_off)&gt;=v_sh^2/a_sh,(ABS(B303-$B$16)+lane_off)/v_sh+v_sh/a_sh,2*SQRT((ABS(B303-$B$16)+lane_off)/a_sh))))</f>
        <v/>
      </c>
      <c r="H303" s="34" t="str">
        <f aca="false">IF(OR(A303&gt;NL_b,$B$17=""),"",IF((ABS(B303-$B$17)+lane_off)&lt;=0,0,IF((ABS(B303-$B$17)+lane_off)&gt;=v_sh^2/a_sh,(ABS(B303-$B$17)+lane_off)/v_sh+v_sh/a_sh,2*SQRT((ABS(B303-$B$17)+lane_off)/a_sh))))</f>
        <v/>
      </c>
      <c r="I303" s="34" t="str">
        <f aca="false">IF(C303="","",2*C303+w_conv*$D$12/v_conv)</f>
        <v/>
      </c>
      <c r="J303" s="34" t="str">
        <f aca="false">IF(D303="","",2*D303+w_conv*$D$13/v_conv)</f>
        <v/>
      </c>
      <c r="K303" s="34" t="str">
        <f aca="false">IF(E303="","",2*E303+w_conv*$D$14/v_conv)</f>
        <v/>
      </c>
      <c r="L303" s="34" t="str">
        <f aca="false">IF(F303="","",2*F303+w_conv*$D$15/v_conv)</f>
        <v/>
      </c>
      <c r="M303" s="34" t="str">
        <f aca="false">IF(G303="","",2*G303+w_conv*$D$16/v_conv)</f>
        <v/>
      </c>
      <c r="N303" s="34" t="str">
        <f aca="false">IF(H303="","",2*H303+w_conv*$D$17/v_conv)</f>
        <v/>
      </c>
      <c r="O303" s="34" t="str">
        <f aca="false">IF(A303&gt;NL_b,"",MIN(I303:N303))</f>
        <v/>
      </c>
      <c r="P303" s="34" t="str">
        <f aca="false">IF(O303="","",INDEX(C303:H303,MATCH(O303,I303:N303,0)))</f>
        <v/>
      </c>
      <c r="Q303" s="34" t="str">
        <f aca="false">IF(O303="","",INDEX($D$12:$D$17,MATCH(O303,I303:N303,0)))</f>
        <v/>
      </c>
    </row>
    <row r="304" customFormat="false" ht="15" hidden="false" customHeight="true" outlineLevel="0" collapsed="false">
      <c r="A304" s="54" t="n">
        <v>284</v>
      </c>
      <c r="B304" s="34" t="n">
        <f aca="false">(A304-0.5)*u_w</f>
        <v>283.5</v>
      </c>
      <c r="C304" s="34" t="str">
        <f aca="false">IF(OR(A304&gt;NL_b,$B$12=""),"",IF((ABS(B304-$B$12)+lane_off)&lt;=0,0,IF((ABS(B304-$B$12)+lane_off)&gt;=v_sh^2/a_sh,(ABS(B304-$B$12)+lane_off)/v_sh+v_sh/a_sh,2*SQRT((ABS(B304-$B$12)+lane_off)/a_sh))))</f>
        <v/>
      </c>
      <c r="D304" s="34" t="str">
        <f aca="false">IF(OR(A304&gt;NL_b,$B$13=""),"",IF((ABS(B304-$B$13)+lane_off)&lt;=0,0,IF((ABS(B304-$B$13)+lane_off)&gt;=v_sh^2/a_sh,(ABS(B304-$B$13)+lane_off)/v_sh+v_sh/a_sh,2*SQRT((ABS(B304-$B$13)+lane_off)/a_sh))))</f>
        <v/>
      </c>
      <c r="E304" s="34" t="str">
        <f aca="false">IF(OR(A304&gt;NL_b,$B$14=""),"",IF((ABS(B304-$B$14)+lane_off)&lt;=0,0,IF((ABS(B304-$B$14)+lane_off)&gt;=v_sh^2/a_sh,(ABS(B304-$B$14)+lane_off)/v_sh+v_sh/a_sh,2*SQRT((ABS(B304-$B$14)+lane_off)/a_sh))))</f>
        <v/>
      </c>
      <c r="F304" s="34" t="str">
        <f aca="false">IF(OR(A304&gt;NL_b,$B$15=""),"",IF((ABS(B304-$B$15)+lane_off)&lt;=0,0,IF((ABS(B304-$B$15)+lane_off)&gt;=v_sh^2/a_sh,(ABS(B304-$B$15)+lane_off)/v_sh+v_sh/a_sh,2*SQRT((ABS(B304-$B$15)+lane_off)/a_sh))))</f>
        <v/>
      </c>
      <c r="G304" s="34" t="str">
        <f aca="false">IF(OR(A304&gt;NL_b,$B$16=""),"",IF((ABS(B304-$B$16)+lane_off)&lt;=0,0,IF((ABS(B304-$B$16)+lane_off)&gt;=v_sh^2/a_sh,(ABS(B304-$B$16)+lane_off)/v_sh+v_sh/a_sh,2*SQRT((ABS(B304-$B$16)+lane_off)/a_sh))))</f>
        <v/>
      </c>
      <c r="H304" s="34" t="str">
        <f aca="false">IF(OR(A304&gt;NL_b,$B$17=""),"",IF((ABS(B304-$B$17)+lane_off)&lt;=0,0,IF((ABS(B304-$B$17)+lane_off)&gt;=v_sh^2/a_sh,(ABS(B304-$B$17)+lane_off)/v_sh+v_sh/a_sh,2*SQRT((ABS(B304-$B$17)+lane_off)/a_sh))))</f>
        <v/>
      </c>
      <c r="I304" s="34" t="str">
        <f aca="false">IF(C304="","",2*C304+w_conv*$D$12/v_conv)</f>
        <v/>
      </c>
      <c r="J304" s="34" t="str">
        <f aca="false">IF(D304="","",2*D304+w_conv*$D$13/v_conv)</f>
        <v/>
      </c>
      <c r="K304" s="34" t="str">
        <f aca="false">IF(E304="","",2*E304+w_conv*$D$14/v_conv)</f>
        <v/>
      </c>
      <c r="L304" s="34" t="str">
        <f aca="false">IF(F304="","",2*F304+w_conv*$D$15/v_conv)</f>
        <v/>
      </c>
      <c r="M304" s="34" t="str">
        <f aca="false">IF(G304="","",2*G304+w_conv*$D$16/v_conv)</f>
        <v/>
      </c>
      <c r="N304" s="34" t="str">
        <f aca="false">IF(H304="","",2*H304+w_conv*$D$17/v_conv)</f>
        <v/>
      </c>
      <c r="O304" s="34" t="str">
        <f aca="false">IF(A304&gt;NL_b,"",MIN(I304:N304))</f>
        <v/>
      </c>
      <c r="P304" s="34" t="str">
        <f aca="false">IF(O304="","",INDEX(C304:H304,MATCH(O304,I304:N304,0)))</f>
        <v/>
      </c>
      <c r="Q304" s="34" t="str">
        <f aca="false">IF(O304="","",INDEX($D$12:$D$17,MATCH(O304,I304:N304,0)))</f>
        <v/>
      </c>
    </row>
    <row r="305" customFormat="false" ht="15" hidden="false" customHeight="true" outlineLevel="0" collapsed="false">
      <c r="A305" s="54" t="n">
        <v>285</v>
      </c>
      <c r="B305" s="34" t="n">
        <f aca="false">(A305-0.5)*u_w</f>
        <v>284.5</v>
      </c>
      <c r="C305" s="34" t="str">
        <f aca="false">IF(OR(A305&gt;NL_b,$B$12=""),"",IF((ABS(B305-$B$12)+lane_off)&lt;=0,0,IF((ABS(B305-$B$12)+lane_off)&gt;=v_sh^2/a_sh,(ABS(B305-$B$12)+lane_off)/v_sh+v_sh/a_sh,2*SQRT((ABS(B305-$B$12)+lane_off)/a_sh))))</f>
        <v/>
      </c>
      <c r="D305" s="34" t="str">
        <f aca="false">IF(OR(A305&gt;NL_b,$B$13=""),"",IF((ABS(B305-$B$13)+lane_off)&lt;=0,0,IF((ABS(B305-$B$13)+lane_off)&gt;=v_sh^2/a_sh,(ABS(B305-$B$13)+lane_off)/v_sh+v_sh/a_sh,2*SQRT((ABS(B305-$B$13)+lane_off)/a_sh))))</f>
        <v/>
      </c>
      <c r="E305" s="34" t="str">
        <f aca="false">IF(OR(A305&gt;NL_b,$B$14=""),"",IF((ABS(B305-$B$14)+lane_off)&lt;=0,0,IF((ABS(B305-$B$14)+lane_off)&gt;=v_sh^2/a_sh,(ABS(B305-$B$14)+lane_off)/v_sh+v_sh/a_sh,2*SQRT((ABS(B305-$B$14)+lane_off)/a_sh))))</f>
        <v/>
      </c>
      <c r="F305" s="34" t="str">
        <f aca="false">IF(OR(A305&gt;NL_b,$B$15=""),"",IF((ABS(B305-$B$15)+lane_off)&lt;=0,0,IF((ABS(B305-$B$15)+lane_off)&gt;=v_sh^2/a_sh,(ABS(B305-$B$15)+lane_off)/v_sh+v_sh/a_sh,2*SQRT((ABS(B305-$B$15)+lane_off)/a_sh))))</f>
        <v/>
      </c>
      <c r="G305" s="34" t="str">
        <f aca="false">IF(OR(A305&gt;NL_b,$B$16=""),"",IF((ABS(B305-$B$16)+lane_off)&lt;=0,0,IF((ABS(B305-$B$16)+lane_off)&gt;=v_sh^2/a_sh,(ABS(B305-$B$16)+lane_off)/v_sh+v_sh/a_sh,2*SQRT((ABS(B305-$B$16)+lane_off)/a_sh))))</f>
        <v/>
      </c>
      <c r="H305" s="34" t="str">
        <f aca="false">IF(OR(A305&gt;NL_b,$B$17=""),"",IF((ABS(B305-$B$17)+lane_off)&lt;=0,0,IF((ABS(B305-$B$17)+lane_off)&gt;=v_sh^2/a_sh,(ABS(B305-$B$17)+lane_off)/v_sh+v_sh/a_sh,2*SQRT((ABS(B305-$B$17)+lane_off)/a_sh))))</f>
        <v/>
      </c>
      <c r="I305" s="34" t="str">
        <f aca="false">IF(C305="","",2*C305+w_conv*$D$12/v_conv)</f>
        <v/>
      </c>
      <c r="J305" s="34" t="str">
        <f aca="false">IF(D305="","",2*D305+w_conv*$D$13/v_conv)</f>
        <v/>
      </c>
      <c r="K305" s="34" t="str">
        <f aca="false">IF(E305="","",2*E305+w_conv*$D$14/v_conv)</f>
        <v/>
      </c>
      <c r="L305" s="34" t="str">
        <f aca="false">IF(F305="","",2*F305+w_conv*$D$15/v_conv)</f>
        <v/>
      </c>
      <c r="M305" s="34" t="str">
        <f aca="false">IF(G305="","",2*G305+w_conv*$D$16/v_conv)</f>
        <v/>
      </c>
      <c r="N305" s="34" t="str">
        <f aca="false">IF(H305="","",2*H305+w_conv*$D$17/v_conv)</f>
        <v/>
      </c>
      <c r="O305" s="34" t="str">
        <f aca="false">IF(A305&gt;NL_b,"",MIN(I305:N305))</f>
        <v/>
      </c>
      <c r="P305" s="34" t="str">
        <f aca="false">IF(O305="","",INDEX(C305:H305,MATCH(O305,I305:N305,0)))</f>
        <v/>
      </c>
      <c r="Q305" s="34" t="str">
        <f aca="false">IF(O305="","",INDEX($D$12:$D$17,MATCH(O305,I305:N305,0)))</f>
        <v/>
      </c>
    </row>
    <row r="306" customFormat="false" ht="15" hidden="false" customHeight="true" outlineLevel="0" collapsed="false">
      <c r="A306" s="54" t="n">
        <v>286</v>
      </c>
      <c r="B306" s="34" t="n">
        <f aca="false">(A306-0.5)*u_w</f>
        <v>285.5</v>
      </c>
      <c r="C306" s="34" t="str">
        <f aca="false">IF(OR(A306&gt;NL_b,$B$12=""),"",IF((ABS(B306-$B$12)+lane_off)&lt;=0,0,IF((ABS(B306-$B$12)+lane_off)&gt;=v_sh^2/a_sh,(ABS(B306-$B$12)+lane_off)/v_sh+v_sh/a_sh,2*SQRT((ABS(B306-$B$12)+lane_off)/a_sh))))</f>
        <v/>
      </c>
      <c r="D306" s="34" t="str">
        <f aca="false">IF(OR(A306&gt;NL_b,$B$13=""),"",IF((ABS(B306-$B$13)+lane_off)&lt;=0,0,IF((ABS(B306-$B$13)+lane_off)&gt;=v_sh^2/a_sh,(ABS(B306-$B$13)+lane_off)/v_sh+v_sh/a_sh,2*SQRT((ABS(B306-$B$13)+lane_off)/a_sh))))</f>
        <v/>
      </c>
      <c r="E306" s="34" t="str">
        <f aca="false">IF(OR(A306&gt;NL_b,$B$14=""),"",IF((ABS(B306-$B$14)+lane_off)&lt;=0,0,IF((ABS(B306-$B$14)+lane_off)&gt;=v_sh^2/a_sh,(ABS(B306-$B$14)+lane_off)/v_sh+v_sh/a_sh,2*SQRT((ABS(B306-$B$14)+lane_off)/a_sh))))</f>
        <v/>
      </c>
      <c r="F306" s="34" t="str">
        <f aca="false">IF(OR(A306&gt;NL_b,$B$15=""),"",IF((ABS(B306-$B$15)+lane_off)&lt;=0,0,IF((ABS(B306-$B$15)+lane_off)&gt;=v_sh^2/a_sh,(ABS(B306-$B$15)+lane_off)/v_sh+v_sh/a_sh,2*SQRT((ABS(B306-$B$15)+lane_off)/a_sh))))</f>
        <v/>
      </c>
      <c r="G306" s="34" t="str">
        <f aca="false">IF(OR(A306&gt;NL_b,$B$16=""),"",IF((ABS(B306-$B$16)+lane_off)&lt;=0,0,IF((ABS(B306-$B$16)+lane_off)&gt;=v_sh^2/a_sh,(ABS(B306-$B$16)+lane_off)/v_sh+v_sh/a_sh,2*SQRT((ABS(B306-$B$16)+lane_off)/a_sh))))</f>
        <v/>
      </c>
      <c r="H306" s="34" t="str">
        <f aca="false">IF(OR(A306&gt;NL_b,$B$17=""),"",IF((ABS(B306-$B$17)+lane_off)&lt;=0,0,IF((ABS(B306-$B$17)+lane_off)&gt;=v_sh^2/a_sh,(ABS(B306-$B$17)+lane_off)/v_sh+v_sh/a_sh,2*SQRT((ABS(B306-$B$17)+lane_off)/a_sh))))</f>
        <v/>
      </c>
      <c r="I306" s="34" t="str">
        <f aca="false">IF(C306="","",2*C306+w_conv*$D$12/v_conv)</f>
        <v/>
      </c>
      <c r="J306" s="34" t="str">
        <f aca="false">IF(D306="","",2*D306+w_conv*$D$13/v_conv)</f>
        <v/>
      </c>
      <c r="K306" s="34" t="str">
        <f aca="false">IF(E306="","",2*E306+w_conv*$D$14/v_conv)</f>
        <v/>
      </c>
      <c r="L306" s="34" t="str">
        <f aca="false">IF(F306="","",2*F306+w_conv*$D$15/v_conv)</f>
        <v/>
      </c>
      <c r="M306" s="34" t="str">
        <f aca="false">IF(G306="","",2*G306+w_conv*$D$16/v_conv)</f>
        <v/>
      </c>
      <c r="N306" s="34" t="str">
        <f aca="false">IF(H306="","",2*H306+w_conv*$D$17/v_conv)</f>
        <v/>
      </c>
      <c r="O306" s="34" t="str">
        <f aca="false">IF(A306&gt;NL_b,"",MIN(I306:N306))</f>
        <v/>
      </c>
      <c r="P306" s="34" t="str">
        <f aca="false">IF(O306="","",INDEX(C306:H306,MATCH(O306,I306:N306,0)))</f>
        <v/>
      </c>
      <c r="Q306" s="34" t="str">
        <f aca="false">IF(O306="","",INDEX($D$12:$D$17,MATCH(O306,I306:N306,0)))</f>
        <v/>
      </c>
    </row>
    <row r="307" customFormat="false" ht="15" hidden="false" customHeight="true" outlineLevel="0" collapsed="false">
      <c r="A307" s="54" t="n">
        <v>287</v>
      </c>
      <c r="B307" s="34" t="n">
        <f aca="false">(A307-0.5)*u_w</f>
        <v>286.5</v>
      </c>
      <c r="C307" s="34" t="str">
        <f aca="false">IF(OR(A307&gt;NL_b,$B$12=""),"",IF((ABS(B307-$B$12)+lane_off)&lt;=0,0,IF((ABS(B307-$B$12)+lane_off)&gt;=v_sh^2/a_sh,(ABS(B307-$B$12)+lane_off)/v_sh+v_sh/a_sh,2*SQRT((ABS(B307-$B$12)+lane_off)/a_sh))))</f>
        <v/>
      </c>
      <c r="D307" s="34" t="str">
        <f aca="false">IF(OR(A307&gt;NL_b,$B$13=""),"",IF((ABS(B307-$B$13)+lane_off)&lt;=0,0,IF((ABS(B307-$B$13)+lane_off)&gt;=v_sh^2/a_sh,(ABS(B307-$B$13)+lane_off)/v_sh+v_sh/a_sh,2*SQRT((ABS(B307-$B$13)+lane_off)/a_sh))))</f>
        <v/>
      </c>
      <c r="E307" s="34" t="str">
        <f aca="false">IF(OR(A307&gt;NL_b,$B$14=""),"",IF((ABS(B307-$B$14)+lane_off)&lt;=0,0,IF((ABS(B307-$B$14)+lane_off)&gt;=v_sh^2/a_sh,(ABS(B307-$B$14)+lane_off)/v_sh+v_sh/a_sh,2*SQRT((ABS(B307-$B$14)+lane_off)/a_sh))))</f>
        <v/>
      </c>
      <c r="F307" s="34" t="str">
        <f aca="false">IF(OR(A307&gt;NL_b,$B$15=""),"",IF((ABS(B307-$B$15)+lane_off)&lt;=0,0,IF((ABS(B307-$B$15)+lane_off)&gt;=v_sh^2/a_sh,(ABS(B307-$B$15)+lane_off)/v_sh+v_sh/a_sh,2*SQRT((ABS(B307-$B$15)+lane_off)/a_sh))))</f>
        <v/>
      </c>
      <c r="G307" s="34" t="str">
        <f aca="false">IF(OR(A307&gt;NL_b,$B$16=""),"",IF((ABS(B307-$B$16)+lane_off)&lt;=0,0,IF((ABS(B307-$B$16)+lane_off)&gt;=v_sh^2/a_sh,(ABS(B307-$B$16)+lane_off)/v_sh+v_sh/a_sh,2*SQRT((ABS(B307-$B$16)+lane_off)/a_sh))))</f>
        <v/>
      </c>
      <c r="H307" s="34" t="str">
        <f aca="false">IF(OR(A307&gt;NL_b,$B$17=""),"",IF((ABS(B307-$B$17)+lane_off)&lt;=0,0,IF((ABS(B307-$B$17)+lane_off)&gt;=v_sh^2/a_sh,(ABS(B307-$B$17)+lane_off)/v_sh+v_sh/a_sh,2*SQRT((ABS(B307-$B$17)+lane_off)/a_sh))))</f>
        <v/>
      </c>
      <c r="I307" s="34" t="str">
        <f aca="false">IF(C307="","",2*C307+w_conv*$D$12/v_conv)</f>
        <v/>
      </c>
      <c r="J307" s="34" t="str">
        <f aca="false">IF(D307="","",2*D307+w_conv*$D$13/v_conv)</f>
        <v/>
      </c>
      <c r="K307" s="34" t="str">
        <f aca="false">IF(E307="","",2*E307+w_conv*$D$14/v_conv)</f>
        <v/>
      </c>
      <c r="L307" s="34" t="str">
        <f aca="false">IF(F307="","",2*F307+w_conv*$D$15/v_conv)</f>
        <v/>
      </c>
      <c r="M307" s="34" t="str">
        <f aca="false">IF(G307="","",2*G307+w_conv*$D$16/v_conv)</f>
        <v/>
      </c>
      <c r="N307" s="34" t="str">
        <f aca="false">IF(H307="","",2*H307+w_conv*$D$17/v_conv)</f>
        <v/>
      </c>
      <c r="O307" s="34" t="str">
        <f aca="false">IF(A307&gt;NL_b,"",MIN(I307:N307))</f>
        <v/>
      </c>
      <c r="P307" s="34" t="str">
        <f aca="false">IF(O307="","",INDEX(C307:H307,MATCH(O307,I307:N307,0)))</f>
        <v/>
      </c>
      <c r="Q307" s="34" t="str">
        <f aca="false">IF(O307="","",INDEX($D$12:$D$17,MATCH(O307,I307:N307,0)))</f>
        <v/>
      </c>
    </row>
    <row r="308" customFormat="false" ht="15" hidden="false" customHeight="true" outlineLevel="0" collapsed="false">
      <c r="A308" s="54" t="n">
        <v>288</v>
      </c>
      <c r="B308" s="34" t="n">
        <f aca="false">(A308-0.5)*u_w</f>
        <v>287.5</v>
      </c>
      <c r="C308" s="34" t="str">
        <f aca="false">IF(OR(A308&gt;NL_b,$B$12=""),"",IF((ABS(B308-$B$12)+lane_off)&lt;=0,0,IF((ABS(B308-$B$12)+lane_off)&gt;=v_sh^2/a_sh,(ABS(B308-$B$12)+lane_off)/v_sh+v_sh/a_sh,2*SQRT((ABS(B308-$B$12)+lane_off)/a_sh))))</f>
        <v/>
      </c>
      <c r="D308" s="34" t="str">
        <f aca="false">IF(OR(A308&gt;NL_b,$B$13=""),"",IF((ABS(B308-$B$13)+lane_off)&lt;=0,0,IF((ABS(B308-$B$13)+lane_off)&gt;=v_sh^2/a_sh,(ABS(B308-$B$13)+lane_off)/v_sh+v_sh/a_sh,2*SQRT((ABS(B308-$B$13)+lane_off)/a_sh))))</f>
        <v/>
      </c>
      <c r="E308" s="34" t="str">
        <f aca="false">IF(OR(A308&gt;NL_b,$B$14=""),"",IF((ABS(B308-$B$14)+lane_off)&lt;=0,0,IF((ABS(B308-$B$14)+lane_off)&gt;=v_sh^2/a_sh,(ABS(B308-$B$14)+lane_off)/v_sh+v_sh/a_sh,2*SQRT((ABS(B308-$B$14)+lane_off)/a_sh))))</f>
        <v/>
      </c>
      <c r="F308" s="34" t="str">
        <f aca="false">IF(OR(A308&gt;NL_b,$B$15=""),"",IF((ABS(B308-$B$15)+lane_off)&lt;=0,0,IF((ABS(B308-$B$15)+lane_off)&gt;=v_sh^2/a_sh,(ABS(B308-$B$15)+lane_off)/v_sh+v_sh/a_sh,2*SQRT((ABS(B308-$B$15)+lane_off)/a_sh))))</f>
        <v/>
      </c>
      <c r="G308" s="34" t="str">
        <f aca="false">IF(OR(A308&gt;NL_b,$B$16=""),"",IF((ABS(B308-$B$16)+lane_off)&lt;=0,0,IF((ABS(B308-$B$16)+lane_off)&gt;=v_sh^2/a_sh,(ABS(B308-$B$16)+lane_off)/v_sh+v_sh/a_sh,2*SQRT((ABS(B308-$B$16)+lane_off)/a_sh))))</f>
        <v/>
      </c>
      <c r="H308" s="34" t="str">
        <f aca="false">IF(OR(A308&gt;NL_b,$B$17=""),"",IF((ABS(B308-$B$17)+lane_off)&lt;=0,0,IF((ABS(B308-$B$17)+lane_off)&gt;=v_sh^2/a_sh,(ABS(B308-$B$17)+lane_off)/v_sh+v_sh/a_sh,2*SQRT((ABS(B308-$B$17)+lane_off)/a_sh))))</f>
        <v/>
      </c>
      <c r="I308" s="34" t="str">
        <f aca="false">IF(C308="","",2*C308+w_conv*$D$12/v_conv)</f>
        <v/>
      </c>
      <c r="J308" s="34" t="str">
        <f aca="false">IF(D308="","",2*D308+w_conv*$D$13/v_conv)</f>
        <v/>
      </c>
      <c r="K308" s="34" t="str">
        <f aca="false">IF(E308="","",2*E308+w_conv*$D$14/v_conv)</f>
        <v/>
      </c>
      <c r="L308" s="34" t="str">
        <f aca="false">IF(F308="","",2*F308+w_conv*$D$15/v_conv)</f>
        <v/>
      </c>
      <c r="M308" s="34" t="str">
        <f aca="false">IF(G308="","",2*G308+w_conv*$D$16/v_conv)</f>
        <v/>
      </c>
      <c r="N308" s="34" t="str">
        <f aca="false">IF(H308="","",2*H308+w_conv*$D$17/v_conv)</f>
        <v/>
      </c>
      <c r="O308" s="34" t="str">
        <f aca="false">IF(A308&gt;NL_b,"",MIN(I308:N308))</f>
        <v/>
      </c>
      <c r="P308" s="34" t="str">
        <f aca="false">IF(O308="","",INDEX(C308:H308,MATCH(O308,I308:N308,0)))</f>
        <v/>
      </c>
      <c r="Q308" s="34" t="str">
        <f aca="false">IF(O308="","",INDEX($D$12:$D$17,MATCH(O308,I308:N308,0)))</f>
        <v/>
      </c>
    </row>
    <row r="309" customFormat="false" ht="15" hidden="false" customHeight="true" outlineLevel="0" collapsed="false">
      <c r="A309" s="54" t="n">
        <v>289</v>
      </c>
      <c r="B309" s="34" t="n">
        <f aca="false">(A309-0.5)*u_w</f>
        <v>288.5</v>
      </c>
      <c r="C309" s="34" t="str">
        <f aca="false">IF(OR(A309&gt;NL_b,$B$12=""),"",IF((ABS(B309-$B$12)+lane_off)&lt;=0,0,IF((ABS(B309-$B$12)+lane_off)&gt;=v_sh^2/a_sh,(ABS(B309-$B$12)+lane_off)/v_sh+v_sh/a_sh,2*SQRT((ABS(B309-$B$12)+lane_off)/a_sh))))</f>
        <v/>
      </c>
      <c r="D309" s="34" t="str">
        <f aca="false">IF(OR(A309&gt;NL_b,$B$13=""),"",IF((ABS(B309-$B$13)+lane_off)&lt;=0,0,IF((ABS(B309-$B$13)+lane_off)&gt;=v_sh^2/a_sh,(ABS(B309-$B$13)+lane_off)/v_sh+v_sh/a_sh,2*SQRT((ABS(B309-$B$13)+lane_off)/a_sh))))</f>
        <v/>
      </c>
      <c r="E309" s="34" t="str">
        <f aca="false">IF(OR(A309&gt;NL_b,$B$14=""),"",IF((ABS(B309-$B$14)+lane_off)&lt;=0,0,IF((ABS(B309-$B$14)+lane_off)&gt;=v_sh^2/a_sh,(ABS(B309-$B$14)+lane_off)/v_sh+v_sh/a_sh,2*SQRT((ABS(B309-$B$14)+lane_off)/a_sh))))</f>
        <v/>
      </c>
      <c r="F309" s="34" t="str">
        <f aca="false">IF(OR(A309&gt;NL_b,$B$15=""),"",IF((ABS(B309-$B$15)+lane_off)&lt;=0,0,IF((ABS(B309-$B$15)+lane_off)&gt;=v_sh^2/a_sh,(ABS(B309-$B$15)+lane_off)/v_sh+v_sh/a_sh,2*SQRT((ABS(B309-$B$15)+lane_off)/a_sh))))</f>
        <v/>
      </c>
      <c r="G309" s="34" t="str">
        <f aca="false">IF(OR(A309&gt;NL_b,$B$16=""),"",IF((ABS(B309-$B$16)+lane_off)&lt;=0,0,IF((ABS(B309-$B$16)+lane_off)&gt;=v_sh^2/a_sh,(ABS(B309-$B$16)+lane_off)/v_sh+v_sh/a_sh,2*SQRT((ABS(B309-$B$16)+lane_off)/a_sh))))</f>
        <v/>
      </c>
      <c r="H309" s="34" t="str">
        <f aca="false">IF(OR(A309&gt;NL_b,$B$17=""),"",IF((ABS(B309-$B$17)+lane_off)&lt;=0,0,IF((ABS(B309-$B$17)+lane_off)&gt;=v_sh^2/a_sh,(ABS(B309-$B$17)+lane_off)/v_sh+v_sh/a_sh,2*SQRT((ABS(B309-$B$17)+lane_off)/a_sh))))</f>
        <v/>
      </c>
      <c r="I309" s="34" t="str">
        <f aca="false">IF(C309="","",2*C309+w_conv*$D$12/v_conv)</f>
        <v/>
      </c>
      <c r="J309" s="34" t="str">
        <f aca="false">IF(D309="","",2*D309+w_conv*$D$13/v_conv)</f>
        <v/>
      </c>
      <c r="K309" s="34" t="str">
        <f aca="false">IF(E309="","",2*E309+w_conv*$D$14/v_conv)</f>
        <v/>
      </c>
      <c r="L309" s="34" t="str">
        <f aca="false">IF(F309="","",2*F309+w_conv*$D$15/v_conv)</f>
        <v/>
      </c>
      <c r="M309" s="34" t="str">
        <f aca="false">IF(G309="","",2*G309+w_conv*$D$16/v_conv)</f>
        <v/>
      </c>
      <c r="N309" s="34" t="str">
        <f aca="false">IF(H309="","",2*H309+w_conv*$D$17/v_conv)</f>
        <v/>
      </c>
      <c r="O309" s="34" t="str">
        <f aca="false">IF(A309&gt;NL_b,"",MIN(I309:N309))</f>
        <v/>
      </c>
      <c r="P309" s="34" t="str">
        <f aca="false">IF(O309="","",INDEX(C309:H309,MATCH(O309,I309:N309,0)))</f>
        <v/>
      </c>
      <c r="Q309" s="34" t="str">
        <f aca="false">IF(O309="","",INDEX($D$12:$D$17,MATCH(O309,I309:N309,0)))</f>
        <v/>
      </c>
    </row>
    <row r="310" customFormat="false" ht="15" hidden="false" customHeight="true" outlineLevel="0" collapsed="false">
      <c r="A310" s="54" t="n">
        <v>290</v>
      </c>
      <c r="B310" s="34" t="n">
        <f aca="false">(A310-0.5)*u_w</f>
        <v>289.5</v>
      </c>
      <c r="C310" s="34" t="str">
        <f aca="false">IF(OR(A310&gt;NL_b,$B$12=""),"",IF((ABS(B310-$B$12)+lane_off)&lt;=0,0,IF((ABS(B310-$B$12)+lane_off)&gt;=v_sh^2/a_sh,(ABS(B310-$B$12)+lane_off)/v_sh+v_sh/a_sh,2*SQRT((ABS(B310-$B$12)+lane_off)/a_sh))))</f>
        <v/>
      </c>
      <c r="D310" s="34" t="str">
        <f aca="false">IF(OR(A310&gt;NL_b,$B$13=""),"",IF((ABS(B310-$B$13)+lane_off)&lt;=0,0,IF((ABS(B310-$B$13)+lane_off)&gt;=v_sh^2/a_sh,(ABS(B310-$B$13)+lane_off)/v_sh+v_sh/a_sh,2*SQRT((ABS(B310-$B$13)+lane_off)/a_sh))))</f>
        <v/>
      </c>
      <c r="E310" s="34" t="str">
        <f aca="false">IF(OR(A310&gt;NL_b,$B$14=""),"",IF((ABS(B310-$B$14)+lane_off)&lt;=0,0,IF((ABS(B310-$B$14)+lane_off)&gt;=v_sh^2/a_sh,(ABS(B310-$B$14)+lane_off)/v_sh+v_sh/a_sh,2*SQRT((ABS(B310-$B$14)+lane_off)/a_sh))))</f>
        <v/>
      </c>
      <c r="F310" s="34" t="str">
        <f aca="false">IF(OR(A310&gt;NL_b,$B$15=""),"",IF((ABS(B310-$B$15)+lane_off)&lt;=0,0,IF((ABS(B310-$B$15)+lane_off)&gt;=v_sh^2/a_sh,(ABS(B310-$B$15)+lane_off)/v_sh+v_sh/a_sh,2*SQRT((ABS(B310-$B$15)+lane_off)/a_sh))))</f>
        <v/>
      </c>
      <c r="G310" s="34" t="str">
        <f aca="false">IF(OR(A310&gt;NL_b,$B$16=""),"",IF((ABS(B310-$B$16)+lane_off)&lt;=0,0,IF((ABS(B310-$B$16)+lane_off)&gt;=v_sh^2/a_sh,(ABS(B310-$B$16)+lane_off)/v_sh+v_sh/a_sh,2*SQRT((ABS(B310-$B$16)+lane_off)/a_sh))))</f>
        <v/>
      </c>
      <c r="H310" s="34" t="str">
        <f aca="false">IF(OR(A310&gt;NL_b,$B$17=""),"",IF((ABS(B310-$B$17)+lane_off)&lt;=0,0,IF((ABS(B310-$B$17)+lane_off)&gt;=v_sh^2/a_sh,(ABS(B310-$B$17)+lane_off)/v_sh+v_sh/a_sh,2*SQRT((ABS(B310-$B$17)+lane_off)/a_sh))))</f>
        <v/>
      </c>
      <c r="I310" s="34" t="str">
        <f aca="false">IF(C310="","",2*C310+w_conv*$D$12/v_conv)</f>
        <v/>
      </c>
      <c r="J310" s="34" t="str">
        <f aca="false">IF(D310="","",2*D310+w_conv*$D$13/v_conv)</f>
        <v/>
      </c>
      <c r="K310" s="34" t="str">
        <f aca="false">IF(E310="","",2*E310+w_conv*$D$14/v_conv)</f>
        <v/>
      </c>
      <c r="L310" s="34" t="str">
        <f aca="false">IF(F310="","",2*F310+w_conv*$D$15/v_conv)</f>
        <v/>
      </c>
      <c r="M310" s="34" t="str">
        <f aca="false">IF(G310="","",2*G310+w_conv*$D$16/v_conv)</f>
        <v/>
      </c>
      <c r="N310" s="34" t="str">
        <f aca="false">IF(H310="","",2*H310+w_conv*$D$17/v_conv)</f>
        <v/>
      </c>
      <c r="O310" s="34" t="str">
        <f aca="false">IF(A310&gt;NL_b,"",MIN(I310:N310))</f>
        <v/>
      </c>
      <c r="P310" s="34" t="str">
        <f aca="false">IF(O310="","",INDEX(C310:H310,MATCH(O310,I310:N310,0)))</f>
        <v/>
      </c>
      <c r="Q310" s="34" t="str">
        <f aca="false">IF(O310="","",INDEX($D$12:$D$17,MATCH(O310,I310:N310,0)))</f>
        <v/>
      </c>
    </row>
    <row r="311" customFormat="false" ht="15" hidden="false" customHeight="true" outlineLevel="0" collapsed="false">
      <c r="A311" s="54" t="n">
        <v>291</v>
      </c>
      <c r="B311" s="34" t="n">
        <f aca="false">(A311-0.5)*u_w</f>
        <v>290.5</v>
      </c>
      <c r="C311" s="34" t="str">
        <f aca="false">IF(OR(A311&gt;NL_b,$B$12=""),"",IF((ABS(B311-$B$12)+lane_off)&lt;=0,0,IF((ABS(B311-$B$12)+lane_off)&gt;=v_sh^2/a_sh,(ABS(B311-$B$12)+lane_off)/v_sh+v_sh/a_sh,2*SQRT((ABS(B311-$B$12)+lane_off)/a_sh))))</f>
        <v/>
      </c>
      <c r="D311" s="34" t="str">
        <f aca="false">IF(OR(A311&gt;NL_b,$B$13=""),"",IF((ABS(B311-$B$13)+lane_off)&lt;=0,0,IF((ABS(B311-$B$13)+lane_off)&gt;=v_sh^2/a_sh,(ABS(B311-$B$13)+lane_off)/v_sh+v_sh/a_sh,2*SQRT((ABS(B311-$B$13)+lane_off)/a_sh))))</f>
        <v/>
      </c>
      <c r="E311" s="34" t="str">
        <f aca="false">IF(OR(A311&gt;NL_b,$B$14=""),"",IF((ABS(B311-$B$14)+lane_off)&lt;=0,0,IF((ABS(B311-$B$14)+lane_off)&gt;=v_sh^2/a_sh,(ABS(B311-$B$14)+lane_off)/v_sh+v_sh/a_sh,2*SQRT((ABS(B311-$B$14)+lane_off)/a_sh))))</f>
        <v/>
      </c>
      <c r="F311" s="34" t="str">
        <f aca="false">IF(OR(A311&gt;NL_b,$B$15=""),"",IF((ABS(B311-$B$15)+lane_off)&lt;=0,0,IF((ABS(B311-$B$15)+lane_off)&gt;=v_sh^2/a_sh,(ABS(B311-$B$15)+lane_off)/v_sh+v_sh/a_sh,2*SQRT((ABS(B311-$B$15)+lane_off)/a_sh))))</f>
        <v/>
      </c>
      <c r="G311" s="34" t="str">
        <f aca="false">IF(OR(A311&gt;NL_b,$B$16=""),"",IF((ABS(B311-$B$16)+lane_off)&lt;=0,0,IF((ABS(B311-$B$16)+lane_off)&gt;=v_sh^2/a_sh,(ABS(B311-$B$16)+lane_off)/v_sh+v_sh/a_sh,2*SQRT((ABS(B311-$B$16)+lane_off)/a_sh))))</f>
        <v/>
      </c>
      <c r="H311" s="34" t="str">
        <f aca="false">IF(OR(A311&gt;NL_b,$B$17=""),"",IF((ABS(B311-$B$17)+lane_off)&lt;=0,0,IF((ABS(B311-$B$17)+lane_off)&gt;=v_sh^2/a_sh,(ABS(B311-$B$17)+lane_off)/v_sh+v_sh/a_sh,2*SQRT((ABS(B311-$B$17)+lane_off)/a_sh))))</f>
        <v/>
      </c>
      <c r="I311" s="34" t="str">
        <f aca="false">IF(C311="","",2*C311+w_conv*$D$12/v_conv)</f>
        <v/>
      </c>
      <c r="J311" s="34" t="str">
        <f aca="false">IF(D311="","",2*D311+w_conv*$D$13/v_conv)</f>
        <v/>
      </c>
      <c r="K311" s="34" t="str">
        <f aca="false">IF(E311="","",2*E311+w_conv*$D$14/v_conv)</f>
        <v/>
      </c>
      <c r="L311" s="34" t="str">
        <f aca="false">IF(F311="","",2*F311+w_conv*$D$15/v_conv)</f>
        <v/>
      </c>
      <c r="M311" s="34" t="str">
        <f aca="false">IF(G311="","",2*G311+w_conv*$D$16/v_conv)</f>
        <v/>
      </c>
      <c r="N311" s="34" t="str">
        <f aca="false">IF(H311="","",2*H311+w_conv*$D$17/v_conv)</f>
        <v/>
      </c>
      <c r="O311" s="34" t="str">
        <f aca="false">IF(A311&gt;NL_b,"",MIN(I311:N311))</f>
        <v/>
      </c>
      <c r="P311" s="34" t="str">
        <f aca="false">IF(O311="","",INDEX(C311:H311,MATCH(O311,I311:N311,0)))</f>
        <v/>
      </c>
      <c r="Q311" s="34" t="str">
        <f aca="false">IF(O311="","",INDEX($D$12:$D$17,MATCH(O311,I311:N311,0)))</f>
        <v/>
      </c>
    </row>
    <row r="312" customFormat="false" ht="15" hidden="false" customHeight="true" outlineLevel="0" collapsed="false">
      <c r="A312" s="54" t="n">
        <v>292</v>
      </c>
      <c r="B312" s="34" t="n">
        <f aca="false">(A312-0.5)*u_w</f>
        <v>291.5</v>
      </c>
      <c r="C312" s="34" t="str">
        <f aca="false">IF(OR(A312&gt;NL_b,$B$12=""),"",IF((ABS(B312-$B$12)+lane_off)&lt;=0,0,IF((ABS(B312-$B$12)+lane_off)&gt;=v_sh^2/a_sh,(ABS(B312-$B$12)+lane_off)/v_sh+v_sh/a_sh,2*SQRT((ABS(B312-$B$12)+lane_off)/a_sh))))</f>
        <v/>
      </c>
      <c r="D312" s="34" t="str">
        <f aca="false">IF(OR(A312&gt;NL_b,$B$13=""),"",IF((ABS(B312-$B$13)+lane_off)&lt;=0,0,IF((ABS(B312-$B$13)+lane_off)&gt;=v_sh^2/a_sh,(ABS(B312-$B$13)+lane_off)/v_sh+v_sh/a_sh,2*SQRT((ABS(B312-$B$13)+lane_off)/a_sh))))</f>
        <v/>
      </c>
      <c r="E312" s="34" t="str">
        <f aca="false">IF(OR(A312&gt;NL_b,$B$14=""),"",IF((ABS(B312-$B$14)+lane_off)&lt;=0,0,IF((ABS(B312-$B$14)+lane_off)&gt;=v_sh^2/a_sh,(ABS(B312-$B$14)+lane_off)/v_sh+v_sh/a_sh,2*SQRT((ABS(B312-$B$14)+lane_off)/a_sh))))</f>
        <v/>
      </c>
      <c r="F312" s="34" t="str">
        <f aca="false">IF(OR(A312&gt;NL_b,$B$15=""),"",IF((ABS(B312-$B$15)+lane_off)&lt;=0,0,IF((ABS(B312-$B$15)+lane_off)&gt;=v_sh^2/a_sh,(ABS(B312-$B$15)+lane_off)/v_sh+v_sh/a_sh,2*SQRT((ABS(B312-$B$15)+lane_off)/a_sh))))</f>
        <v/>
      </c>
      <c r="G312" s="34" t="str">
        <f aca="false">IF(OR(A312&gt;NL_b,$B$16=""),"",IF((ABS(B312-$B$16)+lane_off)&lt;=0,0,IF((ABS(B312-$B$16)+lane_off)&gt;=v_sh^2/a_sh,(ABS(B312-$B$16)+lane_off)/v_sh+v_sh/a_sh,2*SQRT((ABS(B312-$B$16)+lane_off)/a_sh))))</f>
        <v/>
      </c>
      <c r="H312" s="34" t="str">
        <f aca="false">IF(OR(A312&gt;NL_b,$B$17=""),"",IF((ABS(B312-$B$17)+lane_off)&lt;=0,0,IF((ABS(B312-$B$17)+lane_off)&gt;=v_sh^2/a_sh,(ABS(B312-$B$17)+lane_off)/v_sh+v_sh/a_sh,2*SQRT((ABS(B312-$B$17)+lane_off)/a_sh))))</f>
        <v/>
      </c>
      <c r="I312" s="34" t="str">
        <f aca="false">IF(C312="","",2*C312+w_conv*$D$12/v_conv)</f>
        <v/>
      </c>
      <c r="J312" s="34" t="str">
        <f aca="false">IF(D312="","",2*D312+w_conv*$D$13/v_conv)</f>
        <v/>
      </c>
      <c r="K312" s="34" t="str">
        <f aca="false">IF(E312="","",2*E312+w_conv*$D$14/v_conv)</f>
        <v/>
      </c>
      <c r="L312" s="34" t="str">
        <f aca="false">IF(F312="","",2*F312+w_conv*$D$15/v_conv)</f>
        <v/>
      </c>
      <c r="M312" s="34" t="str">
        <f aca="false">IF(G312="","",2*G312+w_conv*$D$16/v_conv)</f>
        <v/>
      </c>
      <c r="N312" s="34" t="str">
        <f aca="false">IF(H312="","",2*H312+w_conv*$D$17/v_conv)</f>
        <v/>
      </c>
      <c r="O312" s="34" t="str">
        <f aca="false">IF(A312&gt;NL_b,"",MIN(I312:N312))</f>
        <v/>
      </c>
      <c r="P312" s="34" t="str">
        <f aca="false">IF(O312="","",INDEX(C312:H312,MATCH(O312,I312:N312,0)))</f>
        <v/>
      </c>
      <c r="Q312" s="34" t="str">
        <f aca="false">IF(O312="","",INDEX($D$12:$D$17,MATCH(O312,I312:N312,0)))</f>
        <v/>
      </c>
    </row>
    <row r="313" customFormat="false" ht="15" hidden="false" customHeight="true" outlineLevel="0" collapsed="false">
      <c r="A313" s="54" t="n">
        <v>293</v>
      </c>
      <c r="B313" s="34" t="n">
        <f aca="false">(A313-0.5)*u_w</f>
        <v>292.5</v>
      </c>
      <c r="C313" s="34" t="str">
        <f aca="false">IF(OR(A313&gt;NL_b,$B$12=""),"",IF((ABS(B313-$B$12)+lane_off)&lt;=0,0,IF((ABS(B313-$B$12)+lane_off)&gt;=v_sh^2/a_sh,(ABS(B313-$B$12)+lane_off)/v_sh+v_sh/a_sh,2*SQRT((ABS(B313-$B$12)+lane_off)/a_sh))))</f>
        <v/>
      </c>
      <c r="D313" s="34" t="str">
        <f aca="false">IF(OR(A313&gt;NL_b,$B$13=""),"",IF((ABS(B313-$B$13)+lane_off)&lt;=0,0,IF((ABS(B313-$B$13)+lane_off)&gt;=v_sh^2/a_sh,(ABS(B313-$B$13)+lane_off)/v_sh+v_sh/a_sh,2*SQRT((ABS(B313-$B$13)+lane_off)/a_sh))))</f>
        <v/>
      </c>
      <c r="E313" s="34" t="str">
        <f aca="false">IF(OR(A313&gt;NL_b,$B$14=""),"",IF((ABS(B313-$B$14)+lane_off)&lt;=0,0,IF((ABS(B313-$B$14)+lane_off)&gt;=v_sh^2/a_sh,(ABS(B313-$B$14)+lane_off)/v_sh+v_sh/a_sh,2*SQRT((ABS(B313-$B$14)+lane_off)/a_sh))))</f>
        <v/>
      </c>
      <c r="F313" s="34" t="str">
        <f aca="false">IF(OR(A313&gt;NL_b,$B$15=""),"",IF((ABS(B313-$B$15)+lane_off)&lt;=0,0,IF((ABS(B313-$B$15)+lane_off)&gt;=v_sh^2/a_sh,(ABS(B313-$B$15)+lane_off)/v_sh+v_sh/a_sh,2*SQRT((ABS(B313-$B$15)+lane_off)/a_sh))))</f>
        <v/>
      </c>
      <c r="G313" s="34" t="str">
        <f aca="false">IF(OR(A313&gt;NL_b,$B$16=""),"",IF((ABS(B313-$B$16)+lane_off)&lt;=0,0,IF((ABS(B313-$B$16)+lane_off)&gt;=v_sh^2/a_sh,(ABS(B313-$B$16)+lane_off)/v_sh+v_sh/a_sh,2*SQRT((ABS(B313-$B$16)+lane_off)/a_sh))))</f>
        <v/>
      </c>
      <c r="H313" s="34" t="str">
        <f aca="false">IF(OR(A313&gt;NL_b,$B$17=""),"",IF((ABS(B313-$B$17)+lane_off)&lt;=0,0,IF((ABS(B313-$B$17)+lane_off)&gt;=v_sh^2/a_sh,(ABS(B313-$B$17)+lane_off)/v_sh+v_sh/a_sh,2*SQRT((ABS(B313-$B$17)+lane_off)/a_sh))))</f>
        <v/>
      </c>
      <c r="I313" s="34" t="str">
        <f aca="false">IF(C313="","",2*C313+w_conv*$D$12/v_conv)</f>
        <v/>
      </c>
      <c r="J313" s="34" t="str">
        <f aca="false">IF(D313="","",2*D313+w_conv*$D$13/v_conv)</f>
        <v/>
      </c>
      <c r="K313" s="34" t="str">
        <f aca="false">IF(E313="","",2*E313+w_conv*$D$14/v_conv)</f>
        <v/>
      </c>
      <c r="L313" s="34" t="str">
        <f aca="false">IF(F313="","",2*F313+w_conv*$D$15/v_conv)</f>
        <v/>
      </c>
      <c r="M313" s="34" t="str">
        <f aca="false">IF(G313="","",2*G313+w_conv*$D$16/v_conv)</f>
        <v/>
      </c>
      <c r="N313" s="34" t="str">
        <f aca="false">IF(H313="","",2*H313+w_conv*$D$17/v_conv)</f>
        <v/>
      </c>
      <c r="O313" s="34" t="str">
        <f aca="false">IF(A313&gt;NL_b,"",MIN(I313:N313))</f>
        <v/>
      </c>
      <c r="P313" s="34" t="str">
        <f aca="false">IF(O313="","",INDEX(C313:H313,MATCH(O313,I313:N313,0)))</f>
        <v/>
      </c>
      <c r="Q313" s="34" t="str">
        <f aca="false">IF(O313="","",INDEX($D$12:$D$17,MATCH(O313,I313:N313,0)))</f>
        <v/>
      </c>
    </row>
    <row r="314" customFormat="false" ht="15" hidden="false" customHeight="true" outlineLevel="0" collapsed="false">
      <c r="A314" s="54" t="n">
        <v>294</v>
      </c>
      <c r="B314" s="34" t="n">
        <f aca="false">(A314-0.5)*u_w</f>
        <v>293.5</v>
      </c>
      <c r="C314" s="34" t="str">
        <f aca="false">IF(OR(A314&gt;NL_b,$B$12=""),"",IF((ABS(B314-$B$12)+lane_off)&lt;=0,0,IF((ABS(B314-$B$12)+lane_off)&gt;=v_sh^2/a_sh,(ABS(B314-$B$12)+lane_off)/v_sh+v_sh/a_sh,2*SQRT((ABS(B314-$B$12)+lane_off)/a_sh))))</f>
        <v/>
      </c>
      <c r="D314" s="34" t="str">
        <f aca="false">IF(OR(A314&gt;NL_b,$B$13=""),"",IF((ABS(B314-$B$13)+lane_off)&lt;=0,0,IF((ABS(B314-$B$13)+lane_off)&gt;=v_sh^2/a_sh,(ABS(B314-$B$13)+lane_off)/v_sh+v_sh/a_sh,2*SQRT((ABS(B314-$B$13)+lane_off)/a_sh))))</f>
        <v/>
      </c>
      <c r="E314" s="34" t="str">
        <f aca="false">IF(OR(A314&gt;NL_b,$B$14=""),"",IF((ABS(B314-$B$14)+lane_off)&lt;=0,0,IF((ABS(B314-$B$14)+lane_off)&gt;=v_sh^2/a_sh,(ABS(B314-$B$14)+lane_off)/v_sh+v_sh/a_sh,2*SQRT((ABS(B314-$B$14)+lane_off)/a_sh))))</f>
        <v/>
      </c>
      <c r="F314" s="34" t="str">
        <f aca="false">IF(OR(A314&gt;NL_b,$B$15=""),"",IF((ABS(B314-$B$15)+lane_off)&lt;=0,0,IF((ABS(B314-$B$15)+lane_off)&gt;=v_sh^2/a_sh,(ABS(B314-$B$15)+lane_off)/v_sh+v_sh/a_sh,2*SQRT((ABS(B314-$B$15)+lane_off)/a_sh))))</f>
        <v/>
      </c>
      <c r="G314" s="34" t="str">
        <f aca="false">IF(OR(A314&gt;NL_b,$B$16=""),"",IF((ABS(B314-$B$16)+lane_off)&lt;=0,0,IF((ABS(B314-$B$16)+lane_off)&gt;=v_sh^2/a_sh,(ABS(B314-$B$16)+lane_off)/v_sh+v_sh/a_sh,2*SQRT((ABS(B314-$B$16)+lane_off)/a_sh))))</f>
        <v/>
      </c>
      <c r="H314" s="34" t="str">
        <f aca="false">IF(OR(A314&gt;NL_b,$B$17=""),"",IF((ABS(B314-$B$17)+lane_off)&lt;=0,0,IF((ABS(B314-$B$17)+lane_off)&gt;=v_sh^2/a_sh,(ABS(B314-$B$17)+lane_off)/v_sh+v_sh/a_sh,2*SQRT((ABS(B314-$B$17)+lane_off)/a_sh))))</f>
        <v/>
      </c>
      <c r="I314" s="34" t="str">
        <f aca="false">IF(C314="","",2*C314+w_conv*$D$12/v_conv)</f>
        <v/>
      </c>
      <c r="J314" s="34" t="str">
        <f aca="false">IF(D314="","",2*D314+w_conv*$D$13/v_conv)</f>
        <v/>
      </c>
      <c r="K314" s="34" t="str">
        <f aca="false">IF(E314="","",2*E314+w_conv*$D$14/v_conv)</f>
        <v/>
      </c>
      <c r="L314" s="34" t="str">
        <f aca="false">IF(F314="","",2*F314+w_conv*$D$15/v_conv)</f>
        <v/>
      </c>
      <c r="M314" s="34" t="str">
        <f aca="false">IF(G314="","",2*G314+w_conv*$D$16/v_conv)</f>
        <v/>
      </c>
      <c r="N314" s="34" t="str">
        <f aca="false">IF(H314="","",2*H314+w_conv*$D$17/v_conv)</f>
        <v/>
      </c>
      <c r="O314" s="34" t="str">
        <f aca="false">IF(A314&gt;NL_b,"",MIN(I314:N314))</f>
        <v/>
      </c>
      <c r="P314" s="34" t="str">
        <f aca="false">IF(O314="","",INDEX(C314:H314,MATCH(O314,I314:N314,0)))</f>
        <v/>
      </c>
      <c r="Q314" s="34" t="str">
        <f aca="false">IF(O314="","",INDEX($D$12:$D$17,MATCH(O314,I314:N314,0)))</f>
        <v/>
      </c>
    </row>
    <row r="315" customFormat="false" ht="15" hidden="false" customHeight="true" outlineLevel="0" collapsed="false">
      <c r="A315" s="54" t="n">
        <v>295</v>
      </c>
      <c r="B315" s="34" t="n">
        <f aca="false">(A315-0.5)*u_w</f>
        <v>294.5</v>
      </c>
      <c r="C315" s="34" t="str">
        <f aca="false">IF(OR(A315&gt;NL_b,$B$12=""),"",IF((ABS(B315-$B$12)+lane_off)&lt;=0,0,IF((ABS(B315-$B$12)+lane_off)&gt;=v_sh^2/a_sh,(ABS(B315-$B$12)+lane_off)/v_sh+v_sh/a_sh,2*SQRT((ABS(B315-$B$12)+lane_off)/a_sh))))</f>
        <v/>
      </c>
      <c r="D315" s="34" t="str">
        <f aca="false">IF(OR(A315&gt;NL_b,$B$13=""),"",IF((ABS(B315-$B$13)+lane_off)&lt;=0,0,IF((ABS(B315-$B$13)+lane_off)&gt;=v_sh^2/a_sh,(ABS(B315-$B$13)+lane_off)/v_sh+v_sh/a_sh,2*SQRT((ABS(B315-$B$13)+lane_off)/a_sh))))</f>
        <v/>
      </c>
      <c r="E315" s="34" t="str">
        <f aca="false">IF(OR(A315&gt;NL_b,$B$14=""),"",IF((ABS(B315-$B$14)+lane_off)&lt;=0,0,IF((ABS(B315-$B$14)+lane_off)&gt;=v_sh^2/a_sh,(ABS(B315-$B$14)+lane_off)/v_sh+v_sh/a_sh,2*SQRT((ABS(B315-$B$14)+lane_off)/a_sh))))</f>
        <v/>
      </c>
      <c r="F315" s="34" t="str">
        <f aca="false">IF(OR(A315&gt;NL_b,$B$15=""),"",IF((ABS(B315-$B$15)+lane_off)&lt;=0,0,IF((ABS(B315-$B$15)+lane_off)&gt;=v_sh^2/a_sh,(ABS(B315-$B$15)+lane_off)/v_sh+v_sh/a_sh,2*SQRT((ABS(B315-$B$15)+lane_off)/a_sh))))</f>
        <v/>
      </c>
      <c r="G315" s="34" t="str">
        <f aca="false">IF(OR(A315&gt;NL_b,$B$16=""),"",IF((ABS(B315-$B$16)+lane_off)&lt;=0,0,IF((ABS(B315-$B$16)+lane_off)&gt;=v_sh^2/a_sh,(ABS(B315-$B$16)+lane_off)/v_sh+v_sh/a_sh,2*SQRT((ABS(B315-$B$16)+lane_off)/a_sh))))</f>
        <v/>
      </c>
      <c r="H315" s="34" t="str">
        <f aca="false">IF(OR(A315&gt;NL_b,$B$17=""),"",IF((ABS(B315-$B$17)+lane_off)&lt;=0,0,IF((ABS(B315-$B$17)+lane_off)&gt;=v_sh^2/a_sh,(ABS(B315-$B$17)+lane_off)/v_sh+v_sh/a_sh,2*SQRT((ABS(B315-$B$17)+lane_off)/a_sh))))</f>
        <v/>
      </c>
      <c r="I315" s="34" t="str">
        <f aca="false">IF(C315="","",2*C315+w_conv*$D$12/v_conv)</f>
        <v/>
      </c>
      <c r="J315" s="34" t="str">
        <f aca="false">IF(D315="","",2*D315+w_conv*$D$13/v_conv)</f>
        <v/>
      </c>
      <c r="K315" s="34" t="str">
        <f aca="false">IF(E315="","",2*E315+w_conv*$D$14/v_conv)</f>
        <v/>
      </c>
      <c r="L315" s="34" t="str">
        <f aca="false">IF(F315="","",2*F315+w_conv*$D$15/v_conv)</f>
        <v/>
      </c>
      <c r="M315" s="34" t="str">
        <f aca="false">IF(G315="","",2*G315+w_conv*$D$16/v_conv)</f>
        <v/>
      </c>
      <c r="N315" s="34" t="str">
        <f aca="false">IF(H315="","",2*H315+w_conv*$D$17/v_conv)</f>
        <v/>
      </c>
      <c r="O315" s="34" t="str">
        <f aca="false">IF(A315&gt;NL_b,"",MIN(I315:N315))</f>
        <v/>
      </c>
      <c r="P315" s="34" t="str">
        <f aca="false">IF(O315="","",INDEX(C315:H315,MATCH(O315,I315:N315,0)))</f>
        <v/>
      </c>
      <c r="Q315" s="34" t="str">
        <f aca="false">IF(O315="","",INDEX($D$12:$D$17,MATCH(O315,I315:N315,0)))</f>
        <v/>
      </c>
    </row>
    <row r="316" customFormat="false" ht="15" hidden="false" customHeight="true" outlineLevel="0" collapsed="false">
      <c r="A316" s="54" t="n">
        <v>296</v>
      </c>
      <c r="B316" s="34" t="n">
        <f aca="false">(A316-0.5)*u_w</f>
        <v>295.5</v>
      </c>
      <c r="C316" s="34" t="str">
        <f aca="false">IF(OR(A316&gt;NL_b,$B$12=""),"",IF((ABS(B316-$B$12)+lane_off)&lt;=0,0,IF((ABS(B316-$B$12)+lane_off)&gt;=v_sh^2/a_sh,(ABS(B316-$B$12)+lane_off)/v_sh+v_sh/a_sh,2*SQRT((ABS(B316-$B$12)+lane_off)/a_sh))))</f>
        <v/>
      </c>
      <c r="D316" s="34" t="str">
        <f aca="false">IF(OR(A316&gt;NL_b,$B$13=""),"",IF((ABS(B316-$B$13)+lane_off)&lt;=0,0,IF((ABS(B316-$B$13)+lane_off)&gt;=v_sh^2/a_sh,(ABS(B316-$B$13)+lane_off)/v_sh+v_sh/a_sh,2*SQRT((ABS(B316-$B$13)+lane_off)/a_sh))))</f>
        <v/>
      </c>
      <c r="E316" s="34" t="str">
        <f aca="false">IF(OR(A316&gt;NL_b,$B$14=""),"",IF((ABS(B316-$B$14)+lane_off)&lt;=0,0,IF((ABS(B316-$B$14)+lane_off)&gt;=v_sh^2/a_sh,(ABS(B316-$B$14)+lane_off)/v_sh+v_sh/a_sh,2*SQRT((ABS(B316-$B$14)+lane_off)/a_sh))))</f>
        <v/>
      </c>
      <c r="F316" s="34" t="str">
        <f aca="false">IF(OR(A316&gt;NL_b,$B$15=""),"",IF((ABS(B316-$B$15)+lane_off)&lt;=0,0,IF((ABS(B316-$B$15)+lane_off)&gt;=v_sh^2/a_sh,(ABS(B316-$B$15)+lane_off)/v_sh+v_sh/a_sh,2*SQRT((ABS(B316-$B$15)+lane_off)/a_sh))))</f>
        <v/>
      </c>
      <c r="G316" s="34" t="str">
        <f aca="false">IF(OR(A316&gt;NL_b,$B$16=""),"",IF((ABS(B316-$B$16)+lane_off)&lt;=0,0,IF((ABS(B316-$B$16)+lane_off)&gt;=v_sh^2/a_sh,(ABS(B316-$B$16)+lane_off)/v_sh+v_sh/a_sh,2*SQRT((ABS(B316-$B$16)+lane_off)/a_sh))))</f>
        <v/>
      </c>
      <c r="H316" s="34" t="str">
        <f aca="false">IF(OR(A316&gt;NL_b,$B$17=""),"",IF((ABS(B316-$B$17)+lane_off)&lt;=0,0,IF((ABS(B316-$B$17)+lane_off)&gt;=v_sh^2/a_sh,(ABS(B316-$B$17)+lane_off)/v_sh+v_sh/a_sh,2*SQRT((ABS(B316-$B$17)+lane_off)/a_sh))))</f>
        <v/>
      </c>
      <c r="I316" s="34" t="str">
        <f aca="false">IF(C316="","",2*C316+w_conv*$D$12/v_conv)</f>
        <v/>
      </c>
      <c r="J316" s="34" t="str">
        <f aca="false">IF(D316="","",2*D316+w_conv*$D$13/v_conv)</f>
        <v/>
      </c>
      <c r="K316" s="34" t="str">
        <f aca="false">IF(E316="","",2*E316+w_conv*$D$14/v_conv)</f>
        <v/>
      </c>
      <c r="L316" s="34" t="str">
        <f aca="false">IF(F316="","",2*F316+w_conv*$D$15/v_conv)</f>
        <v/>
      </c>
      <c r="M316" s="34" t="str">
        <f aca="false">IF(G316="","",2*G316+w_conv*$D$16/v_conv)</f>
        <v/>
      </c>
      <c r="N316" s="34" t="str">
        <f aca="false">IF(H316="","",2*H316+w_conv*$D$17/v_conv)</f>
        <v/>
      </c>
      <c r="O316" s="34" t="str">
        <f aca="false">IF(A316&gt;NL_b,"",MIN(I316:N316))</f>
        <v/>
      </c>
      <c r="P316" s="34" t="str">
        <f aca="false">IF(O316="","",INDEX(C316:H316,MATCH(O316,I316:N316,0)))</f>
        <v/>
      </c>
      <c r="Q316" s="34" t="str">
        <f aca="false">IF(O316="","",INDEX($D$12:$D$17,MATCH(O316,I316:N316,0)))</f>
        <v/>
      </c>
    </row>
    <row r="317" customFormat="false" ht="15" hidden="false" customHeight="true" outlineLevel="0" collapsed="false">
      <c r="A317" s="54" t="n">
        <v>297</v>
      </c>
      <c r="B317" s="34" t="n">
        <f aca="false">(A317-0.5)*u_w</f>
        <v>296.5</v>
      </c>
      <c r="C317" s="34" t="str">
        <f aca="false">IF(OR(A317&gt;NL_b,$B$12=""),"",IF((ABS(B317-$B$12)+lane_off)&lt;=0,0,IF((ABS(B317-$B$12)+lane_off)&gt;=v_sh^2/a_sh,(ABS(B317-$B$12)+lane_off)/v_sh+v_sh/a_sh,2*SQRT((ABS(B317-$B$12)+lane_off)/a_sh))))</f>
        <v/>
      </c>
      <c r="D317" s="34" t="str">
        <f aca="false">IF(OR(A317&gt;NL_b,$B$13=""),"",IF((ABS(B317-$B$13)+lane_off)&lt;=0,0,IF((ABS(B317-$B$13)+lane_off)&gt;=v_sh^2/a_sh,(ABS(B317-$B$13)+lane_off)/v_sh+v_sh/a_sh,2*SQRT((ABS(B317-$B$13)+lane_off)/a_sh))))</f>
        <v/>
      </c>
      <c r="E317" s="34" t="str">
        <f aca="false">IF(OR(A317&gt;NL_b,$B$14=""),"",IF((ABS(B317-$B$14)+lane_off)&lt;=0,0,IF((ABS(B317-$B$14)+lane_off)&gt;=v_sh^2/a_sh,(ABS(B317-$B$14)+lane_off)/v_sh+v_sh/a_sh,2*SQRT((ABS(B317-$B$14)+lane_off)/a_sh))))</f>
        <v/>
      </c>
      <c r="F317" s="34" t="str">
        <f aca="false">IF(OR(A317&gt;NL_b,$B$15=""),"",IF((ABS(B317-$B$15)+lane_off)&lt;=0,0,IF((ABS(B317-$B$15)+lane_off)&gt;=v_sh^2/a_sh,(ABS(B317-$B$15)+lane_off)/v_sh+v_sh/a_sh,2*SQRT((ABS(B317-$B$15)+lane_off)/a_sh))))</f>
        <v/>
      </c>
      <c r="G317" s="34" t="str">
        <f aca="false">IF(OR(A317&gt;NL_b,$B$16=""),"",IF((ABS(B317-$B$16)+lane_off)&lt;=0,0,IF((ABS(B317-$B$16)+lane_off)&gt;=v_sh^2/a_sh,(ABS(B317-$B$16)+lane_off)/v_sh+v_sh/a_sh,2*SQRT((ABS(B317-$B$16)+lane_off)/a_sh))))</f>
        <v/>
      </c>
      <c r="H317" s="34" t="str">
        <f aca="false">IF(OR(A317&gt;NL_b,$B$17=""),"",IF((ABS(B317-$B$17)+lane_off)&lt;=0,0,IF((ABS(B317-$B$17)+lane_off)&gt;=v_sh^2/a_sh,(ABS(B317-$B$17)+lane_off)/v_sh+v_sh/a_sh,2*SQRT((ABS(B317-$B$17)+lane_off)/a_sh))))</f>
        <v/>
      </c>
      <c r="I317" s="34" t="str">
        <f aca="false">IF(C317="","",2*C317+w_conv*$D$12/v_conv)</f>
        <v/>
      </c>
      <c r="J317" s="34" t="str">
        <f aca="false">IF(D317="","",2*D317+w_conv*$D$13/v_conv)</f>
        <v/>
      </c>
      <c r="K317" s="34" t="str">
        <f aca="false">IF(E317="","",2*E317+w_conv*$D$14/v_conv)</f>
        <v/>
      </c>
      <c r="L317" s="34" t="str">
        <f aca="false">IF(F317="","",2*F317+w_conv*$D$15/v_conv)</f>
        <v/>
      </c>
      <c r="M317" s="34" t="str">
        <f aca="false">IF(G317="","",2*G317+w_conv*$D$16/v_conv)</f>
        <v/>
      </c>
      <c r="N317" s="34" t="str">
        <f aca="false">IF(H317="","",2*H317+w_conv*$D$17/v_conv)</f>
        <v/>
      </c>
      <c r="O317" s="34" t="str">
        <f aca="false">IF(A317&gt;NL_b,"",MIN(I317:N317))</f>
        <v/>
      </c>
      <c r="P317" s="34" t="str">
        <f aca="false">IF(O317="","",INDEX(C317:H317,MATCH(O317,I317:N317,0)))</f>
        <v/>
      </c>
      <c r="Q317" s="34" t="str">
        <f aca="false">IF(O317="","",INDEX($D$12:$D$17,MATCH(O317,I317:N317,0)))</f>
        <v/>
      </c>
    </row>
    <row r="318" customFormat="false" ht="15" hidden="false" customHeight="true" outlineLevel="0" collapsed="false">
      <c r="A318" s="54" t="n">
        <v>298</v>
      </c>
      <c r="B318" s="34" t="n">
        <f aca="false">(A318-0.5)*u_w</f>
        <v>297.5</v>
      </c>
      <c r="C318" s="34" t="str">
        <f aca="false">IF(OR(A318&gt;NL_b,$B$12=""),"",IF((ABS(B318-$B$12)+lane_off)&lt;=0,0,IF((ABS(B318-$B$12)+lane_off)&gt;=v_sh^2/a_sh,(ABS(B318-$B$12)+lane_off)/v_sh+v_sh/a_sh,2*SQRT((ABS(B318-$B$12)+lane_off)/a_sh))))</f>
        <v/>
      </c>
      <c r="D318" s="34" t="str">
        <f aca="false">IF(OR(A318&gt;NL_b,$B$13=""),"",IF((ABS(B318-$B$13)+lane_off)&lt;=0,0,IF((ABS(B318-$B$13)+lane_off)&gt;=v_sh^2/a_sh,(ABS(B318-$B$13)+lane_off)/v_sh+v_sh/a_sh,2*SQRT((ABS(B318-$B$13)+lane_off)/a_sh))))</f>
        <v/>
      </c>
      <c r="E318" s="34" t="str">
        <f aca="false">IF(OR(A318&gt;NL_b,$B$14=""),"",IF((ABS(B318-$B$14)+lane_off)&lt;=0,0,IF((ABS(B318-$B$14)+lane_off)&gt;=v_sh^2/a_sh,(ABS(B318-$B$14)+lane_off)/v_sh+v_sh/a_sh,2*SQRT((ABS(B318-$B$14)+lane_off)/a_sh))))</f>
        <v/>
      </c>
      <c r="F318" s="34" t="str">
        <f aca="false">IF(OR(A318&gt;NL_b,$B$15=""),"",IF((ABS(B318-$B$15)+lane_off)&lt;=0,0,IF((ABS(B318-$B$15)+lane_off)&gt;=v_sh^2/a_sh,(ABS(B318-$B$15)+lane_off)/v_sh+v_sh/a_sh,2*SQRT((ABS(B318-$B$15)+lane_off)/a_sh))))</f>
        <v/>
      </c>
      <c r="G318" s="34" t="str">
        <f aca="false">IF(OR(A318&gt;NL_b,$B$16=""),"",IF((ABS(B318-$B$16)+lane_off)&lt;=0,0,IF((ABS(B318-$B$16)+lane_off)&gt;=v_sh^2/a_sh,(ABS(B318-$B$16)+lane_off)/v_sh+v_sh/a_sh,2*SQRT((ABS(B318-$B$16)+lane_off)/a_sh))))</f>
        <v/>
      </c>
      <c r="H318" s="34" t="str">
        <f aca="false">IF(OR(A318&gt;NL_b,$B$17=""),"",IF((ABS(B318-$B$17)+lane_off)&lt;=0,0,IF((ABS(B318-$B$17)+lane_off)&gt;=v_sh^2/a_sh,(ABS(B318-$B$17)+lane_off)/v_sh+v_sh/a_sh,2*SQRT((ABS(B318-$B$17)+lane_off)/a_sh))))</f>
        <v/>
      </c>
      <c r="I318" s="34" t="str">
        <f aca="false">IF(C318="","",2*C318+w_conv*$D$12/v_conv)</f>
        <v/>
      </c>
      <c r="J318" s="34" t="str">
        <f aca="false">IF(D318="","",2*D318+w_conv*$D$13/v_conv)</f>
        <v/>
      </c>
      <c r="K318" s="34" t="str">
        <f aca="false">IF(E318="","",2*E318+w_conv*$D$14/v_conv)</f>
        <v/>
      </c>
      <c r="L318" s="34" t="str">
        <f aca="false">IF(F318="","",2*F318+w_conv*$D$15/v_conv)</f>
        <v/>
      </c>
      <c r="M318" s="34" t="str">
        <f aca="false">IF(G318="","",2*G318+w_conv*$D$16/v_conv)</f>
        <v/>
      </c>
      <c r="N318" s="34" t="str">
        <f aca="false">IF(H318="","",2*H318+w_conv*$D$17/v_conv)</f>
        <v/>
      </c>
      <c r="O318" s="34" t="str">
        <f aca="false">IF(A318&gt;NL_b,"",MIN(I318:N318))</f>
        <v/>
      </c>
      <c r="P318" s="34" t="str">
        <f aca="false">IF(O318="","",INDEX(C318:H318,MATCH(O318,I318:N318,0)))</f>
        <v/>
      </c>
      <c r="Q318" s="34" t="str">
        <f aca="false">IF(O318="","",INDEX($D$12:$D$17,MATCH(O318,I318:N318,0)))</f>
        <v/>
      </c>
    </row>
    <row r="319" customFormat="false" ht="15" hidden="false" customHeight="true" outlineLevel="0" collapsed="false">
      <c r="A319" s="54" t="n">
        <v>299</v>
      </c>
      <c r="B319" s="34" t="n">
        <f aca="false">(A319-0.5)*u_w</f>
        <v>298.5</v>
      </c>
      <c r="C319" s="34" t="str">
        <f aca="false">IF(OR(A319&gt;NL_b,$B$12=""),"",IF((ABS(B319-$B$12)+lane_off)&lt;=0,0,IF((ABS(B319-$B$12)+lane_off)&gt;=v_sh^2/a_sh,(ABS(B319-$B$12)+lane_off)/v_sh+v_sh/a_sh,2*SQRT((ABS(B319-$B$12)+lane_off)/a_sh))))</f>
        <v/>
      </c>
      <c r="D319" s="34" t="str">
        <f aca="false">IF(OR(A319&gt;NL_b,$B$13=""),"",IF((ABS(B319-$B$13)+lane_off)&lt;=0,0,IF((ABS(B319-$B$13)+lane_off)&gt;=v_sh^2/a_sh,(ABS(B319-$B$13)+lane_off)/v_sh+v_sh/a_sh,2*SQRT((ABS(B319-$B$13)+lane_off)/a_sh))))</f>
        <v/>
      </c>
      <c r="E319" s="34" t="str">
        <f aca="false">IF(OR(A319&gt;NL_b,$B$14=""),"",IF((ABS(B319-$B$14)+lane_off)&lt;=0,0,IF((ABS(B319-$B$14)+lane_off)&gt;=v_sh^2/a_sh,(ABS(B319-$B$14)+lane_off)/v_sh+v_sh/a_sh,2*SQRT((ABS(B319-$B$14)+lane_off)/a_sh))))</f>
        <v/>
      </c>
      <c r="F319" s="34" t="str">
        <f aca="false">IF(OR(A319&gt;NL_b,$B$15=""),"",IF((ABS(B319-$B$15)+lane_off)&lt;=0,0,IF((ABS(B319-$B$15)+lane_off)&gt;=v_sh^2/a_sh,(ABS(B319-$B$15)+lane_off)/v_sh+v_sh/a_sh,2*SQRT((ABS(B319-$B$15)+lane_off)/a_sh))))</f>
        <v/>
      </c>
      <c r="G319" s="34" t="str">
        <f aca="false">IF(OR(A319&gt;NL_b,$B$16=""),"",IF((ABS(B319-$B$16)+lane_off)&lt;=0,0,IF((ABS(B319-$B$16)+lane_off)&gt;=v_sh^2/a_sh,(ABS(B319-$B$16)+lane_off)/v_sh+v_sh/a_sh,2*SQRT((ABS(B319-$B$16)+lane_off)/a_sh))))</f>
        <v/>
      </c>
      <c r="H319" s="34" t="str">
        <f aca="false">IF(OR(A319&gt;NL_b,$B$17=""),"",IF((ABS(B319-$B$17)+lane_off)&lt;=0,0,IF((ABS(B319-$B$17)+lane_off)&gt;=v_sh^2/a_sh,(ABS(B319-$B$17)+lane_off)/v_sh+v_sh/a_sh,2*SQRT((ABS(B319-$B$17)+lane_off)/a_sh))))</f>
        <v/>
      </c>
      <c r="I319" s="34" t="str">
        <f aca="false">IF(C319="","",2*C319+w_conv*$D$12/v_conv)</f>
        <v/>
      </c>
      <c r="J319" s="34" t="str">
        <f aca="false">IF(D319="","",2*D319+w_conv*$D$13/v_conv)</f>
        <v/>
      </c>
      <c r="K319" s="34" t="str">
        <f aca="false">IF(E319="","",2*E319+w_conv*$D$14/v_conv)</f>
        <v/>
      </c>
      <c r="L319" s="34" t="str">
        <f aca="false">IF(F319="","",2*F319+w_conv*$D$15/v_conv)</f>
        <v/>
      </c>
      <c r="M319" s="34" t="str">
        <f aca="false">IF(G319="","",2*G319+w_conv*$D$16/v_conv)</f>
        <v/>
      </c>
      <c r="N319" s="34" t="str">
        <f aca="false">IF(H319="","",2*H319+w_conv*$D$17/v_conv)</f>
        <v/>
      </c>
      <c r="O319" s="34" t="str">
        <f aca="false">IF(A319&gt;NL_b,"",MIN(I319:N319))</f>
        <v/>
      </c>
      <c r="P319" s="34" t="str">
        <f aca="false">IF(O319="","",INDEX(C319:H319,MATCH(O319,I319:N319,0)))</f>
        <v/>
      </c>
      <c r="Q319" s="34" t="str">
        <f aca="false">IF(O319="","",INDEX($D$12:$D$17,MATCH(O319,I319:N319,0)))</f>
        <v/>
      </c>
    </row>
    <row r="320" customFormat="false" ht="15" hidden="false" customHeight="true" outlineLevel="0" collapsed="false">
      <c r="A320" s="54" t="n">
        <v>300</v>
      </c>
      <c r="B320" s="34" t="n">
        <f aca="false">(A320-0.5)*u_w</f>
        <v>299.5</v>
      </c>
      <c r="C320" s="34" t="str">
        <f aca="false">IF(OR(A320&gt;NL_b,$B$12=""),"",IF((ABS(B320-$B$12)+lane_off)&lt;=0,0,IF((ABS(B320-$B$12)+lane_off)&gt;=v_sh^2/a_sh,(ABS(B320-$B$12)+lane_off)/v_sh+v_sh/a_sh,2*SQRT((ABS(B320-$B$12)+lane_off)/a_sh))))</f>
        <v/>
      </c>
      <c r="D320" s="34" t="str">
        <f aca="false">IF(OR(A320&gt;NL_b,$B$13=""),"",IF((ABS(B320-$B$13)+lane_off)&lt;=0,0,IF((ABS(B320-$B$13)+lane_off)&gt;=v_sh^2/a_sh,(ABS(B320-$B$13)+lane_off)/v_sh+v_sh/a_sh,2*SQRT((ABS(B320-$B$13)+lane_off)/a_sh))))</f>
        <v/>
      </c>
      <c r="E320" s="34" t="str">
        <f aca="false">IF(OR(A320&gt;NL_b,$B$14=""),"",IF((ABS(B320-$B$14)+lane_off)&lt;=0,0,IF((ABS(B320-$B$14)+lane_off)&gt;=v_sh^2/a_sh,(ABS(B320-$B$14)+lane_off)/v_sh+v_sh/a_sh,2*SQRT((ABS(B320-$B$14)+lane_off)/a_sh))))</f>
        <v/>
      </c>
      <c r="F320" s="34" t="str">
        <f aca="false">IF(OR(A320&gt;NL_b,$B$15=""),"",IF((ABS(B320-$B$15)+lane_off)&lt;=0,0,IF((ABS(B320-$B$15)+lane_off)&gt;=v_sh^2/a_sh,(ABS(B320-$B$15)+lane_off)/v_sh+v_sh/a_sh,2*SQRT((ABS(B320-$B$15)+lane_off)/a_sh))))</f>
        <v/>
      </c>
      <c r="G320" s="34" t="str">
        <f aca="false">IF(OR(A320&gt;NL_b,$B$16=""),"",IF((ABS(B320-$B$16)+lane_off)&lt;=0,0,IF((ABS(B320-$B$16)+lane_off)&gt;=v_sh^2/a_sh,(ABS(B320-$B$16)+lane_off)/v_sh+v_sh/a_sh,2*SQRT((ABS(B320-$B$16)+lane_off)/a_sh))))</f>
        <v/>
      </c>
      <c r="H320" s="34" t="str">
        <f aca="false">IF(OR(A320&gt;NL_b,$B$17=""),"",IF((ABS(B320-$B$17)+lane_off)&lt;=0,0,IF((ABS(B320-$B$17)+lane_off)&gt;=v_sh^2/a_sh,(ABS(B320-$B$17)+lane_off)/v_sh+v_sh/a_sh,2*SQRT((ABS(B320-$B$17)+lane_off)/a_sh))))</f>
        <v/>
      </c>
      <c r="I320" s="34" t="str">
        <f aca="false">IF(C320="","",2*C320+w_conv*$D$12/v_conv)</f>
        <v/>
      </c>
      <c r="J320" s="34" t="str">
        <f aca="false">IF(D320="","",2*D320+w_conv*$D$13/v_conv)</f>
        <v/>
      </c>
      <c r="K320" s="34" t="str">
        <f aca="false">IF(E320="","",2*E320+w_conv*$D$14/v_conv)</f>
        <v/>
      </c>
      <c r="L320" s="34" t="str">
        <f aca="false">IF(F320="","",2*F320+w_conv*$D$15/v_conv)</f>
        <v/>
      </c>
      <c r="M320" s="34" t="str">
        <f aca="false">IF(G320="","",2*G320+w_conv*$D$16/v_conv)</f>
        <v/>
      </c>
      <c r="N320" s="34" t="str">
        <f aca="false">IF(H320="","",2*H320+w_conv*$D$17/v_conv)</f>
        <v/>
      </c>
      <c r="O320" s="34" t="str">
        <f aca="false">IF(A320&gt;NL_b,"",MIN(I320:N320))</f>
        <v/>
      </c>
      <c r="P320" s="34" t="str">
        <f aca="false">IF(O320="","",INDEX(C320:H320,MATCH(O320,I320:N320,0)))</f>
        <v/>
      </c>
      <c r="Q320" s="34" t="str">
        <f aca="false">IF(O320="","",INDEX($D$12:$D$17,MATCH(O320,I320:N320,0)))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3" min="2" style="1" width="14"/>
    <col collapsed="false" customWidth="true" hidden="false" outlineLevel="0" max="14" min="14" style="1" width="26"/>
  </cols>
  <sheetData>
    <row r="1" customFormat="false" ht="18" hidden="false" customHeight="true" outlineLevel="0" collapsed="false">
      <c r="A1" s="2" t="s">
        <v>295</v>
      </c>
    </row>
    <row r="2" customFormat="false" ht="15" hidden="false" customHeight="true" outlineLevel="0" collapsed="false">
      <c r="A2" s="3" t="s">
        <v>296</v>
      </c>
    </row>
    <row r="4" customFormat="false" ht="55.5" hidden="false" customHeight="true" outlineLevel="0" collapsed="false">
      <c r="A4" s="4" t="s">
        <v>297</v>
      </c>
      <c r="B4" s="4" t="s">
        <v>298</v>
      </c>
      <c r="C4" s="4" t="s">
        <v>299</v>
      </c>
      <c r="D4" s="4" t="s">
        <v>300</v>
      </c>
      <c r="E4" s="4" t="s">
        <v>301</v>
      </c>
      <c r="F4" s="4" t="s">
        <v>302</v>
      </c>
      <c r="G4" s="4" t="s">
        <v>303</v>
      </c>
      <c r="H4" s="4" t="s">
        <v>304</v>
      </c>
      <c r="I4" s="4" t="s">
        <v>305</v>
      </c>
      <c r="J4" s="4" t="s">
        <v>306</v>
      </c>
      <c r="K4" s="4" t="s">
        <v>307</v>
      </c>
      <c r="L4" s="4" t="s">
        <v>308</v>
      </c>
      <c r="M4" s="4" t="s">
        <v>309</v>
      </c>
      <c r="N4" s="4" t="s">
        <v>310</v>
      </c>
    </row>
    <row r="5" customFormat="false" ht="15" hidden="false" customHeight="true" outlineLevel="0" collapsed="false">
      <c r="A5" s="58" t="s">
        <v>311</v>
      </c>
      <c r="B5" s="59" t="n">
        <v>4.5</v>
      </c>
      <c r="C5" s="59" t="n">
        <v>40.5</v>
      </c>
      <c r="D5" s="59" t="n">
        <v>2</v>
      </c>
      <c r="E5" s="59" t="n">
        <v>40</v>
      </c>
      <c r="F5" s="59" t="n">
        <v>7.28</v>
      </c>
      <c r="G5" s="59" t="n">
        <v>33.9</v>
      </c>
      <c r="H5" s="59" t="n">
        <v>72120</v>
      </c>
      <c r="I5" s="59" t="n">
        <v>40</v>
      </c>
      <c r="J5" s="59" t="n">
        <v>7.33</v>
      </c>
      <c r="K5" s="59" t="n">
        <v>33.8</v>
      </c>
      <c r="L5" s="59" t="n">
        <v>72120</v>
      </c>
      <c r="M5" s="59" t="n">
        <v>-0.1</v>
      </c>
      <c r="N5" s="59" t="s">
        <v>312</v>
      </c>
    </row>
    <row r="6" customFormat="false" ht="15" hidden="false" customHeight="true" outlineLevel="0" collapsed="false">
      <c r="A6" s="58" t="s">
        <v>313</v>
      </c>
      <c r="B6" s="59" t="n">
        <v>20.2</v>
      </c>
      <c r="C6" s="59" t="n">
        <v>24.8</v>
      </c>
      <c r="D6" s="59" t="n">
        <v>2</v>
      </c>
      <c r="E6" s="59" t="n">
        <v>34.1</v>
      </c>
      <c r="F6" s="59" t="n">
        <v>7.26</v>
      </c>
      <c r="G6" s="59" t="n">
        <v>26.1</v>
      </c>
      <c r="H6" s="59" t="n">
        <v>62520</v>
      </c>
      <c r="I6" s="59" t="n">
        <v>31.9</v>
      </c>
      <c r="J6" s="59" t="n">
        <v>8.29</v>
      </c>
      <c r="K6" s="59" t="n">
        <v>20.5</v>
      </c>
      <c r="L6" s="59" t="n">
        <v>50520</v>
      </c>
      <c r="M6" s="59" t="n">
        <v>-6.3</v>
      </c>
      <c r="N6" s="59" t="s">
        <v>314</v>
      </c>
    </row>
    <row r="7" customFormat="false" ht="15" hidden="false" customHeight="true" outlineLevel="0" collapsed="false">
      <c r="A7" s="58" t="s">
        <v>315</v>
      </c>
      <c r="B7" s="59" t="n">
        <v>3.6</v>
      </c>
      <c r="C7" s="59" t="n">
        <v>7.2</v>
      </c>
      <c r="D7" s="59" t="n">
        <v>2</v>
      </c>
      <c r="E7" s="59" t="n">
        <v>38.1</v>
      </c>
      <c r="F7" s="59" t="n">
        <v>7.71</v>
      </c>
      <c r="G7" s="59" t="n">
        <v>30.3</v>
      </c>
      <c r="H7" s="59" t="n">
        <v>71040</v>
      </c>
      <c r="I7" s="59" t="n">
        <v>37.1</v>
      </c>
      <c r="J7" s="59" t="n">
        <v>8.29</v>
      </c>
      <c r="K7" s="59" t="n">
        <v>27.4</v>
      </c>
      <c r="L7" s="59" t="n">
        <v>64431</v>
      </c>
      <c r="M7" s="59" t="n">
        <v>-2.6</v>
      </c>
      <c r="N7" s="59" t="s">
        <v>316</v>
      </c>
    </row>
    <row r="8" customFormat="false" ht="15" hidden="false" customHeight="true" outlineLevel="0" collapsed="false">
      <c r="A8" s="58" t="s">
        <v>317</v>
      </c>
      <c r="B8" s="59" t="n">
        <v>22.5</v>
      </c>
      <c r="C8" s="59" t="n">
        <v>40.5</v>
      </c>
      <c r="D8" s="59" t="n">
        <v>2</v>
      </c>
      <c r="E8" s="59" t="n">
        <v>37.3</v>
      </c>
      <c r="F8" s="59" t="n">
        <v>7.42</v>
      </c>
      <c r="G8" s="59" t="n">
        <v>29.9</v>
      </c>
      <c r="H8" s="59" t="n">
        <v>67320</v>
      </c>
      <c r="I8" s="59" t="n">
        <v>36.3</v>
      </c>
      <c r="J8" s="59" t="n">
        <v>8.33</v>
      </c>
      <c r="K8" s="59" t="n">
        <v>26.2</v>
      </c>
      <c r="L8" s="59" t="n">
        <v>58039</v>
      </c>
      <c r="M8" s="59" t="n">
        <v>-2.6</v>
      </c>
      <c r="N8" s="59" t="s">
        <v>318</v>
      </c>
    </row>
    <row r="9" customFormat="false" ht="15" hidden="false" customHeight="true" outlineLevel="0" collapsed="false">
      <c r="A9" s="58" t="s">
        <v>319</v>
      </c>
      <c r="B9" s="59" t="n">
        <v>2.2</v>
      </c>
      <c r="C9" s="59" t="n">
        <v>2.2</v>
      </c>
      <c r="D9" s="59" t="n">
        <v>2</v>
      </c>
      <c r="E9" s="59" t="n">
        <v>40.8</v>
      </c>
      <c r="F9" s="59" t="n">
        <v>7.71</v>
      </c>
      <c r="G9" s="59" t="n">
        <v>33.8</v>
      </c>
      <c r="H9" s="59" t="n">
        <v>74820</v>
      </c>
      <c r="I9" s="59" t="n">
        <v>39.8</v>
      </c>
      <c r="J9" s="59" t="n">
        <v>8.33</v>
      </c>
      <c r="K9" s="59" t="n">
        <v>30.8</v>
      </c>
      <c r="L9" s="59" t="n">
        <v>68211</v>
      </c>
      <c r="M9" s="59" t="n">
        <v>-2.5</v>
      </c>
      <c r="N9" s="59" t="s">
        <v>320</v>
      </c>
    </row>
    <row r="12" customFormat="false" ht="15" hidden="false" customHeight="true" outlineLevel="0" collapsed="false">
      <c r="A12" s="3" t="s">
        <v>321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12" min="2" style="1" width="15"/>
  </cols>
  <sheetData>
    <row r="1" customFormat="false" ht="18" hidden="false" customHeight="true" outlineLevel="0" collapsed="false">
      <c r="A1" s="2" t="s">
        <v>322</v>
      </c>
    </row>
    <row r="2" customFormat="false" ht="15" hidden="false" customHeight="true" outlineLevel="0" collapsed="false">
      <c r="A2" s="3" t="s">
        <v>323</v>
      </c>
    </row>
    <row r="4" customFormat="false" ht="55.5" hidden="false" customHeight="true" outlineLevel="0" collapsed="false">
      <c r="A4" s="4" t="s">
        <v>324</v>
      </c>
      <c r="B4" s="4" t="s">
        <v>325</v>
      </c>
      <c r="C4" s="4" t="s">
        <v>326</v>
      </c>
      <c r="D4" s="4" t="s">
        <v>327</v>
      </c>
      <c r="E4" s="4" t="s">
        <v>328</v>
      </c>
      <c r="F4" s="4" t="s">
        <v>329</v>
      </c>
      <c r="G4" s="4" t="s">
        <v>330</v>
      </c>
      <c r="H4" s="4" t="s">
        <v>331</v>
      </c>
      <c r="I4" s="4" t="s">
        <v>332</v>
      </c>
      <c r="J4" s="4" t="s">
        <v>333</v>
      </c>
      <c r="K4" s="4" t="s">
        <v>334</v>
      </c>
      <c r="L4" s="4" t="s">
        <v>335</v>
      </c>
    </row>
    <row r="5" customFormat="false" ht="15" hidden="false" customHeight="true" outlineLevel="0" collapsed="false">
      <c r="A5" s="58" t="s">
        <v>336</v>
      </c>
      <c r="B5" s="60" t="n">
        <v>87.8</v>
      </c>
      <c r="C5" s="60" t="n">
        <v>94.5</v>
      </c>
      <c r="D5" s="60" t="n">
        <v>37.6</v>
      </c>
      <c r="E5" s="60" t="n">
        <v>45.5</v>
      </c>
      <c r="F5" s="60" t="n">
        <v>48.8</v>
      </c>
      <c r="G5" s="60" t="n">
        <v>61.8</v>
      </c>
      <c r="H5" s="61" t="n">
        <v>127</v>
      </c>
      <c r="I5" s="61" t="n">
        <v>140</v>
      </c>
      <c r="J5" s="61" t="n">
        <v>262</v>
      </c>
      <c r="K5" s="61" t="n">
        <v>266</v>
      </c>
      <c r="L5" s="60" t="n">
        <v>3.3</v>
      </c>
    </row>
    <row r="6" customFormat="false" ht="15" hidden="false" customHeight="true" outlineLevel="0" collapsed="false">
      <c r="A6" s="58" t="s">
        <v>337</v>
      </c>
      <c r="B6" s="60" t="n">
        <v>87.8</v>
      </c>
      <c r="C6" s="60" t="n">
        <v>94.7</v>
      </c>
      <c r="D6" s="60" t="n">
        <v>65.7</v>
      </c>
      <c r="E6" s="60" t="n">
        <v>67.9</v>
      </c>
      <c r="F6" s="60" t="n">
        <v>30.5</v>
      </c>
      <c r="G6" s="60" t="n">
        <v>50.3</v>
      </c>
      <c r="H6" s="61" t="n">
        <v>203</v>
      </c>
      <c r="I6" s="61" t="n">
        <v>211</v>
      </c>
      <c r="J6" s="61" t="n">
        <v>482</v>
      </c>
      <c r="K6" s="61" t="n">
        <v>480</v>
      </c>
      <c r="L6" s="60" t="n">
        <v>0</v>
      </c>
    </row>
    <row r="7" customFormat="false" ht="15" hidden="false" customHeight="true" outlineLevel="0" collapsed="false">
      <c r="A7" s="58" t="s">
        <v>338</v>
      </c>
      <c r="B7" s="60" t="n">
        <v>87.8</v>
      </c>
      <c r="C7" s="60" t="n">
        <v>94.5</v>
      </c>
      <c r="D7" s="60" t="n">
        <v>47</v>
      </c>
      <c r="E7" s="60" t="n">
        <v>56</v>
      </c>
      <c r="F7" s="60" t="n">
        <v>61</v>
      </c>
      <c r="G7" s="60" t="n">
        <v>79.9</v>
      </c>
      <c r="H7" s="61" t="n">
        <v>165</v>
      </c>
      <c r="I7" s="61" t="n">
        <v>179</v>
      </c>
      <c r="J7" s="61" t="n">
        <v>391</v>
      </c>
      <c r="K7" s="61" t="n">
        <v>412</v>
      </c>
      <c r="L7" s="60" t="n">
        <v>4.1</v>
      </c>
    </row>
    <row r="8" customFormat="false" ht="15" hidden="false" customHeight="true" outlineLevel="0" collapsed="false">
      <c r="A8" s="58" t="s">
        <v>339</v>
      </c>
      <c r="B8" s="60" t="n">
        <v>85.4</v>
      </c>
      <c r="C8" s="60" t="n">
        <v>93.7</v>
      </c>
      <c r="D8" s="60" t="n">
        <v>25.1</v>
      </c>
      <c r="E8" s="60" t="n">
        <v>30.6</v>
      </c>
      <c r="F8" s="60" t="n">
        <v>47.4</v>
      </c>
      <c r="G8" s="60" t="n">
        <v>57.8</v>
      </c>
      <c r="H8" s="61" t="n">
        <v>115</v>
      </c>
      <c r="I8" s="61" t="n">
        <v>130</v>
      </c>
      <c r="J8" s="61" t="n">
        <v>222</v>
      </c>
      <c r="K8" s="61" t="n">
        <v>241</v>
      </c>
      <c r="L8" s="60" t="n">
        <v>3.3</v>
      </c>
    </row>
    <row r="9" customFormat="false" ht="15" hidden="false" customHeight="true" outlineLevel="0" collapsed="false">
      <c r="A9" s="58" t="s">
        <v>340</v>
      </c>
      <c r="B9" s="60" t="n">
        <v>87.8</v>
      </c>
      <c r="C9" s="60" t="n">
        <v>98.5</v>
      </c>
      <c r="D9" s="60" t="n">
        <v>75.2</v>
      </c>
      <c r="E9" s="60" t="n">
        <v>86.6</v>
      </c>
      <c r="F9" s="60" t="n">
        <v>48.8</v>
      </c>
      <c r="G9" s="60" t="n">
        <v>83.2</v>
      </c>
      <c r="H9" s="61" t="n">
        <v>252</v>
      </c>
      <c r="I9" s="61" t="n">
        <v>266</v>
      </c>
      <c r="J9" s="61" t="n">
        <v>857</v>
      </c>
      <c r="K9" s="61" t="n">
        <v>866</v>
      </c>
      <c r="L9" s="60" t="n">
        <v>3.3</v>
      </c>
    </row>
    <row r="10" customFormat="false" ht="15" hidden="false" customHeight="true" outlineLevel="0" collapsed="false">
      <c r="A10" s="58" t="s">
        <v>341</v>
      </c>
      <c r="B10" s="60" t="n">
        <v>87.8</v>
      </c>
      <c r="C10" s="60" t="n">
        <v>83.8</v>
      </c>
      <c r="D10" s="60" t="n">
        <v>22.6</v>
      </c>
      <c r="E10" s="60" t="n">
        <v>31.4</v>
      </c>
      <c r="F10" s="60" t="n">
        <v>48.8</v>
      </c>
      <c r="G10" s="60" t="n">
        <v>52.5</v>
      </c>
      <c r="H10" s="61" t="n">
        <v>98</v>
      </c>
      <c r="I10" s="61" t="n">
        <v>112</v>
      </c>
      <c r="J10" s="61" t="n">
        <v>187</v>
      </c>
      <c r="K10" s="61" t="n">
        <v>197</v>
      </c>
      <c r="L10" s="60" t="n">
        <v>3.3</v>
      </c>
    </row>
    <row r="11" customFormat="false" ht="15" hidden="false" customHeight="true" outlineLevel="0" collapsed="false">
      <c r="A11" s="58"/>
      <c r="B11" s="60"/>
      <c r="C11" s="60"/>
      <c r="D11" s="60"/>
      <c r="E11" s="60"/>
      <c r="F11" s="60"/>
      <c r="G11" s="60"/>
      <c r="H11" s="61"/>
      <c r="I11" s="61"/>
      <c r="J11" s="61"/>
      <c r="K11" s="61"/>
      <c r="L11" s="60"/>
    </row>
    <row r="12" customFormat="false" ht="15" hidden="false" customHeight="true" outlineLevel="0" collapsed="false">
      <c r="A12" s="25" t="s">
        <v>342</v>
      </c>
    </row>
    <row r="13" customFormat="false" ht="15" hidden="false" customHeight="true" outlineLevel="0" collapsed="false">
      <c r="A13" s="3" t="s">
        <v>343</v>
      </c>
    </row>
    <row r="14" customFormat="false" ht="15" hidden="false" customHeight="true" outlineLevel="0" collapsed="false">
      <c r="A14" s="3" t="s">
        <v>344</v>
      </c>
    </row>
    <row r="15" customFormat="false" ht="15" hidden="false" customHeight="true" outlineLevel="0" collapsed="false">
      <c r="A15" s="3" t="s">
        <v>345</v>
      </c>
    </row>
    <row r="16" customFormat="false" ht="15" hidden="false" customHeight="true" outlineLevel="0" collapsed="false">
      <c r="A16" s="3" t="s">
        <v>346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2026-10-26T14:54:43Z</dcterms:created>
  <dc:creator>openpyxl</dc:creator>
  <dc:description/>
  <dc:language>en-US</dc:language>
  <cp:lastModifiedBy/>
  <dcterms:modified xsi:type="dcterms:W3CDTF">2026-10-27T13:35:40Z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