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Tiers" sheetId="3" state="visible" r:id="rId5"/>
    <sheet name="Lift_grid" sheetId="4" state="visible" r:id="rId6"/>
    <sheet name="Model" sheetId="5" state="visible" r:id="rId7"/>
    <sheet name="Sweeps" sheetId="6" state="visible" r:id="rId8"/>
    <sheet name="DES_validation" sheetId="7" state="visible" r:id="rId9"/>
  </sheets>
  <definedNames>
    <definedName function="false" hidden="false" name="aisle_w" vbProcedure="false">Inputs!$B$23</definedName>
    <definedName function="false" hidden="false" name="a_lift" vbProcedure="false">Inputs!$B$11</definedName>
    <definedName function="false" hidden="false" name="a_sh" vbProcedure="false">Inputs!$B$6</definedName>
    <definedName function="false" hidden="false" name="cap_req" vbProcedure="false">Inputs!$B$34</definedName>
    <definedName function="false" hidden="false" name="cap_sh" vbProcedure="false">Model!$B$36</definedName>
    <definedName function="false" hidden="false" name="dist_mode" vbProcedure="false">Inputs!$B$42</definedName>
    <definedName function="false" hidden="false" name="dmax" vbProcedure="false">Model!$B$30</definedName>
    <definedName function="false" hidden="false" name="DW" vbProcedure="false">Model!$B$18</definedName>
    <definedName function="false" hidden="false" name="D_A" vbProcedure="false">Model!$C$43</definedName>
    <definedName function="false" hidden="false" name="d_lane" vbProcedure="false">Model!$B$33</definedName>
    <definedName function="false" hidden="false" name="D_U" vbProcedure="false">Model!$B$43</definedName>
    <definedName function="false" hidden="false" name="eff_cap" vbProcedure="false">Model!$B$15</definedName>
    <definedName function="false" hidden="false" name="E_day" vbProcedure="false">Model!$D$49</definedName>
    <definedName function="false" hidden="false" name="fill" vbProcedure="false">Inputs!$B$33</definedName>
    <definedName function="false" hidden="false" name="fleet" vbProcedure="false">Model!$B$52</definedName>
    <definedName function="false" hidden="false" name="f_hc" vbProcedure="false">Inputs!$B$31</definedName>
    <definedName function="false" hidden="false" name="hours_in" vbProcedure="false">Inputs!$B$39</definedName>
    <definedName function="false" hidden="false" name="hours_out" vbProcedure="false">Inputs!$B$40</definedName>
    <definedName function="false" hidden="false" name="H_bldg" vbProcedure="false">Inputs!$B$20</definedName>
    <definedName function="false" hidden="false" name="kappa" vbProcedure="false">Model!$B$19</definedName>
    <definedName function="false" hidden="false" name="lam_in" vbProcedure="false">Inputs!$B$36</definedName>
    <definedName function="false" hidden="false" name="lam_out" vbProcedure="false">Inputs!$B$37</definedName>
    <definedName function="false" hidden="false" name="lam_total" vbProcedure="false">Model!$B$4</definedName>
    <definedName function="false" hidden="false" name="lanes_per_lift" vbProcedure="false">Inputs!$B$32</definedName>
    <definedName function="false" hidden="false" name="lane_off" vbProcedure="false">Inputs!$B$24</definedName>
    <definedName function="false" hidden="false" name="lift_cycle" vbProcedure="false">Model!$D$42</definedName>
    <definedName function="false" hidden="false" name="lift_iface" vbProcedure="false">Inputs!$B$15</definedName>
    <definedName function="false" hidden="false" name="lift_layout" vbProcedure="false">Inputs!$B$30</definedName>
    <definedName function="false" hidden="false" name="lift_rate" vbProcedure="false">Model!$D$41</definedName>
    <definedName function="false" hidden="false" name="L_aisle" vbProcedure="false">Model!$B$8</definedName>
    <definedName function="false" hidden="false" name="L_bldg" vbProcedure="false">Inputs!$B$21</definedName>
    <definedName function="false" hidden="false" name="max_su" vbProcedure="false">Model!$B$55</definedName>
    <definedName function="false" hidden="false" name="meanh" vbProcedure="false">Model!$D$48</definedName>
    <definedName function="false" hidden="false" name="moves_day" vbProcedure="false">Model!$B$5</definedName>
    <definedName function="false" hidden="false" name="m_pallet" vbProcedure="false">Inputs!$B$49</definedName>
    <definedName function="false" hidden="false" name="nA" vbProcedure="false">Inputs!$B$43</definedName>
    <definedName function="false" hidden="false" name="nB" vbProcedure="false">Inputs!$B$44</definedName>
    <definedName function="false" hidden="false" name="net_pos" vbProcedure="false">Model!$B$13</definedName>
    <definedName function="false" hidden="false" name="N_C" vbProcedure="false">Inputs!$B$26</definedName>
    <definedName function="false" hidden="false" name="N_L" vbProcedure="false">Inputs!$B$27</definedName>
    <definedName function="false" hidden="false" name="n_lifts" vbProcedure="false">Inputs!$B$29</definedName>
    <definedName function="false" hidden="false" name="N_T" vbProcedure="false">Inputs!$B$28</definedName>
    <definedName function="false" hidden="false" name="peak_factor" vbProcedure="false">Inputs!$B$38</definedName>
    <definedName function="false" hidden="false" name="PL_A" vbProcedure="false">Model!$C$40</definedName>
    <definedName function="false" hidden="false" name="PL_U" vbProcedure="false">Model!$B$40</definedName>
    <definedName function="false" hidden="false" name="rho_max" vbProcedure="false">Inputs!$B$50</definedName>
    <definedName function="false" hidden="false" name="shareA" vbProcedure="false">Inputs!$B$45</definedName>
    <definedName function="false" hidden="false" name="shareB" vbProcedure="false">Inputs!$B$46</definedName>
    <definedName function="false" hidden="false" name="shareC" vbProcedure="false">Inputs!$B$47</definedName>
    <definedName function="false" hidden="false" name="spares" vbProcedure="false">Inputs!$B$51</definedName>
    <definedName function="false" hidden="false" name="sweep_prod" vbProcedure="false">Inputs!$B$52</definedName>
    <definedName function="false" hidden="false" name="S_A" vbProcedure="false">Model!$C$42</definedName>
    <definedName function="false" hidden="false" name="S_U" vbProcedure="false">Model!$B$42</definedName>
    <definedName function="false" hidden="false" name="Tcyc_sh" vbProcedure="false">Model!$B$35</definedName>
    <definedName function="false" hidden="false" name="tiers_h" vbProcedure="false">Model!$B$10</definedName>
    <definedName function="false" hidden="false" name="t_aisle" vbProcedure="false">Model!$B$32</definedName>
    <definedName function="false" hidden="false" name="t_ch" vbProcedure="false">Inputs!$B$13</definedName>
    <definedName function="false" hidden="false" name="t_I" vbProcedure="false">Model!$B$6</definedName>
    <definedName function="false" hidden="false" name="t_lane" vbProcedure="false">Model!$B$34</definedName>
    <definedName function="false" hidden="false" name="t_lift_sh" vbProcedure="false">Inputs!$B$14</definedName>
    <definedName function="false" hidden="false" name="t_pos" vbProcedure="false">Inputs!$B$12</definedName>
    <definedName function="false" hidden="false" name="t_sh" vbProcedure="false">Inputs!$B$8</definedName>
    <definedName function="false" hidden="false" name="t_turn" vbProcedure="false">Inputs!$B$7</definedName>
    <definedName function="false" hidden="false" name="u_d" vbProcedure="false">Inputs!$B$18</definedName>
    <definedName function="false" hidden="false" name="u_h" vbProcedure="false">Inputs!$B$19</definedName>
    <definedName function="false" hidden="false" name="U_lift" vbProcedure="false">Model!$D$45</definedName>
    <definedName function="false" hidden="false" name="U_lift_dual" vbProcedure="false">Model!$D$46</definedName>
    <definedName function="false" hidden="false" name="U_lift_n1" vbProcedure="false">Model!$D$47</definedName>
    <definedName function="false" hidden="false" name="u_w" vbProcedure="false">Inputs!$B$17</definedName>
    <definedName function="false" hidden="false" name="v_lift" vbProcedure="false">Inputs!$B$10</definedName>
    <definedName function="false" hidden="false" name="v_sh" vbProcedure="false">Inputs!$B$5</definedName>
    <definedName function="false" hidden="false" name="work_eq" vbProcedure="false">Model!$B$54</definedName>
    <definedName function="false" hidden="false" name="W_bldg" vbProcedure="false">Inputs!$B$22</definedName>
    <definedName function="false" hidden="false" name="x0_sh" vbProcedure="false">Model!$B$29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<sst xmlns="http://schemas.openxmlformats.org/spreadsheetml/2006/main" count="379" uniqueCount="297">
  <si>
    <t xml:space="preserve">APW 2026/27 – Six-way shuttle warehouse: parametric model workbook</t>
  </si>
  <si>
    <t xml:space="preserve">What this is</t>
  </si>
  <si>
    <t xml:space="preserve">Analytical model of the 45×30×20 m warehouse with six-way shuttles and lifts, with the parameters N_C, N_L, N_T, number of lifts, f and the ABC split as inputs.</t>
  </si>
  <si>
    <t xml:space="preserve">It reproduces the numbers of the guide document and lets you run the sweeps for the presentation.</t>
  </si>
  <si>
    <t xml:space="preserve">How to use</t>
  </si>
  <si>
    <t xml:space="preserve">1. Go to Inputs and edit only the blue cells on yellow background (data from the assignment and my assumptions are labelled).</t>
  </si>
  <si>
    <t xml:space="preserve">2. Read the results in Model (design, capacity, shuttle cycle, lifts, fleet, checks).</t>
  </si>
  <si>
    <t xml:space="preserve">3. Sweeps shows D/W, number of lifts, peak factor and honeycombing sweeps with two charts.</t>
  </si>
  <si>
    <t xml:space="preserve">4. DES_validation compares the analytical model with the discrete-event simulation (Python script, static values).</t>
  </si>
  <si>
    <t xml:space="preserve">Sheets</t>
  </si>
  <si>
    <t xml:space="preserve">Inputs – parameters.   Model – results and checks.   Sweeps – parametric studies.   Tiers and Lift_grid – helper calculations.   DES_validation – simulation results.</t>
  </si>
  <si>
    <t xml:space="preserve">Colour code</t>
  </si>
  <si>
    <t xml:space="preserve">Blue text on yellow = input.   Black = formula.   Blue text without fill (DES_validation) = hard-coded results from the Python script.</t>
  </si>
  <si>
    <t xml:space="preserve">Model in one paragraph</t>
  </si>
  <si>
    <t xml:space="preserve">Travel time uses a trapezoidal speed profile.  Shuttle cycle = 2·25 s + 2·4 s + 2·(mean aisle leg to the nearest lift) + 2·(mean in-lane leg with honeycombing f).</t>
  </si>
  <si>
    <t xml:space="preserve">Lift cycle (single command) = 7 s + interface + 2·travel(h) + 2·positioning, averaged over tiers; tier 1 is at ground level and does not use the lift.</t>
  </si>
  <si>
    <t xml:space="preserve">Lifts are equally spaced at (2k−1)L/(2n); the mean aisle distance is L/(4n). Utilization = rate × cycle / (3600 × number of resources).</t>
  </si>
  <si>
    <t xml:space="preserve">Differences between Excel and the Python script</t>
  </si>
  <si>
    <t xml:space="preserve">Excel integrates the speed profile over a continuous aisle; Python enumerates the N_L lanes: the shuttle cycle differs by less than 0.1 s.</t>
  </si>
  <si>
    <t xml:space="preserve">Only the Python script contains the discrete-event simulation (queues, relocations, lift failures).</t>
  </si>
  <si>
    <t xml:space="preserve">Assumptions to confirm with the professor</t>
  </si>
  <si>
    <t xml:space="preserve">A1 pitch 1.25 × 0.85 m; A2 vertical pitch 1.85 m (150 mm read as rail/beam); A3 generic six-way shuttle; A4 single-command cycles; A5 f = 0.2; A6 tier 1 at ground level; A7 pallets of 1000 kg.</t>
  </si>
  <si>
    <t xml:space="preserve">INPUTS – edit only the blue cells on yellow background</t>
  </si>
  <si>
    <t xml:space="preserve">Parameter</t>
  </si>
  <si>
    <t xml:space="preserve">Value</t>
  </si>
  <si>
    <t xml:space="preserve">Unit</t>
  </si>
  <si>
    <t xml:space="preserve">Note / source</t>
  </si>
  <si>
    <t xml:space="preserve">Shuttle kinematics (assignment data)</t>
  </si>
  <si>
    <t xml:space="preserve">Shuttle max speed</t>
  </si>
  <si>
    <t xml:space="preserve">m/s</t>
  </si>
  <si>
    <t xml:space="preserve">Assignment slide 'Kinematic parameters'</t>
  </si>
  <si>
    <t xml:space="preserve">Shuttle acceleration = deceleration</t>
  </si>
  <si>
    <t xml:space="preserve">m/s²</t>
  </si>
  <si>
    <t xml:space="preserve">Assignment</t>
  </si>
  <si>
    <t xml:space="preserve">Direction change time</t>
  </si>
  <si>
    <t xml:space="preserve">s</t>
  </si>
  <si>
    <t xml:space="preserve">Assignment ('transit time')</t>
  </si>
  <si>
    <t xml:space="preserve">Shuttle load/unload time (rack / conveyor)</t>
  </si>
  <si>
    <t xml:space="preserve">Lift kinematics (assignment data)</t>
  </si>
  <si>
    <t xml:space="preserve">Lift max speed</t>
  </si>
  <si>
    <t xml:space="preserve">Lift acceleration</t>
  </si>
  <si>
    <t xml:space="preserve">Lift positioning time</t>
  </si>
  <si>
    <t xml:space="preserve">Lift load/unload with chain conveyor</t>
  </si>
  <si>
    <t xml:space="preserve">Lift load/unload with shuttle</t>
  </si>
  <si>
    <t xml:space="preserve">Lift interface at the tiers</t>
  </si>
  <si>
    <t xml:space="preserve">Shuttle</t>
  </si>
  <si>
    <t xml:space="preserve">'Shuttle' = 25 s hand-over; 'Chain' = chain conveyor at each tier (7 s)</t>
  </si>
  <si>
    <t xml:space="preserve">Geometry</t>
  </si>
  <si>
    <t xml:space="preserve">Position pitch across lanes (u_w)</t>
  </si>
  <si>
    <t xml:space="preserve">m</t>
  </si>
  <si>
    <t xml:space="preserve">ASSUMPTION A1: pallet 800 + 50 mm clearance</t>
  </si>
  <si>
    <t xml:space="preserve">Position pitch along lane (u_d)</t>
  </si>
  <si>
    <t xml:space="preserve">ASSUMPTION A1: pallet 1200 + 50 mm clearance</t>
  </si>
  <si>
    <t xml:space="preserve">Vertical pitch (u_h)</t>
  </si>
  <si>
    <t xml:space="preserve">ASSUMPTION A2: 1700 + 150 mm (to confirm with professor)</t>
  </si>
  <si>
    <t xml:space="preserve">Building height</t>
  </si>
  <si>
    <t xml:space="preserve">Building length</t>
  </si>
  <si>
    <t xml:space="preserve">Building width</t>
  </si>
  <si>
    <t xml:space="preserve">Cross-aisle width</t>
  </si>
  <si>
    <t xml:space="preserve">ASSUMPTION: shuttle 1045 x 890 mm + clearance</t>
  </si>
  <si>
    <t xml:space="preserve">Offset aisle centre -&gt; first slot / lift</t>
  </si>
  <si>
    <t xml:space="preserve">ASSUMPTION (as in the guide document)</t>
  </si>
  <si>
    <t xml:space="preserve">Design variables</t>
  </si>
  <si>
    <t xml:space="preserve">N_C – positions per lane (depth)</t>
  </si>
  <si>
    <t xml:space="preserve">pos</t>
  </si>
  <si>
    <t xml:space="preserve">Assignment: 6 unit loads per SKU</t>
  </si>
  <si>
    <t xml:space="preserve">N_L – lanes per side of the cross-aisle</t>
  </si>
  <si>
    <t xml:space="preserve">lanes</t>
  </si>
  <si>
    <t xml:space="preserve">Design choice (aisle length = N_L x u_w)</t>
  </si>
  <si>
    <t xml:space="preserve">N_T – number of tiers (max 20)</t>
  </si>
  <si>
    <t xml:space="preserve">tiers</t>
  </si>
  <si>
    <t xml:space="preserve">20 m / 1.85 m = 10.8 -&gt; 10</t>
  </si>
  <si>
    <t xml:space="preserve">Number of lifts</t>
  </si>
  <si>
    <t xml:space="preserve">lifts</t>
  </si>
  <si>
    <t xml:space="preserve">Design choice (N+1)</t>
  </si>
  <si>
    <t xml:space="preserve">Lift layout along the aisle</t>
  </si>
  <si>
    <t xml:space="preserve">Equispaced</t>
  </si>
  <si>
    <t xml:space="preserve">'Equispaced' = (2k-1)L/(2n);  'End' = single lift at the aisle end</t>
  </si>
  <si>
    <t xml:space="preserve">Honeycombing factor f</t>
  </si>
  <si>
    <t xml:space="preserve">-</t>
  </si>
  <si>
    <t xml:space="preserve">ASSUMPTION A5 (paper tests 0 - 0.2)</t>
  </si>
  <si>
    <t xml:space="preserve">Lanes replaced by each lift shaft</t>
  </si>
  <si>
    <t xml:space="preserve">ASSUMPTION (one side of the aisle)</t>
  </si>
  <si>
    <t xml:space="preserve">Average fill ratio</t>
  </si>
  <si>
    <t xml:space="preserve">ASSUMPTION</t>
  </si>
  <si>
    <t xml:space="preserve">Required capacity</t>
  </si>
  <si>
    <t xml:space="preserve">pallets</t>
  </si>
  <si>
    <t xml:space="preserve">Assignment (&gt; 4000)</t>
  </si>
  <si>
    <t xml:space="preserve">Flows (assignment data)</t>
  </si>
  <si>
    <t xml:space="preserve">Inbound rate (24 h/day)</t>
  </si>
  <si>
    <t xml:space="preserve">pallets/h</t>
  </si>
  <si>
    <t xml:space="preserve">Outbound rate (16 h/day)</t>
  </si>
  <si>
    <t xml:space="preserve">Peak design factor</t>
  </si>
  <si>
    <t xml:space="preserve">x</t>
  </si>
  <si>
    <t xml:space="preserve">1.25 = +25 % margin</t>
  </si>
  <si>
    <t xml:space="preserve">Inbound hours per day</t>
  </si>
  <si>
    <t xml:space="preserve">h</t>
  </si>
  <si>
    <t xml:space="preserve">Outbound hours per day</t>
  </si>
  <si>
    <t xml:space="preserve">ABC distribution of transactions over tiers</t>
  </si>
  <si>
    <t xml:space="preserve">Distribution used by the model</t>
  </si>
  <si>
    <t xml:space="preserve">ABC</t>
  </si>
  <si>
    <t xml:space="preserve">'ABC' (A in lowest tiers) or 'Uniform'</t>
  </si>
  <si>
    <t xml:space="preserve">Tiers for class A</t>
  </si>
  <si>
    <t xml:space="preserve">Lowest tiers (near ground)</t>
  </si>
  <si>
    <t xml:space="preserve">Tiers for class B</t>
  </si>
  <si>
    <t xml:space="preserve">Next tiers; remaining tiers = class C</t>
  </si>
  <si>
    <t xml:space="preserve">Share of transactions class A</t>
  </si>
  <si>
    <t xml:space="preserve">80/15/5 rule</t>
  </si>
  <si>
    <t xml:space="preserve">Share of transactions class B</t>
  </si>
  <si>
    <t xml:space="preserve">Share of transactions class C</t>
  </si>
  <si>
    <t xml:space="preserve">Energy, targets, sweeps</t>
  </si>
  <si>
    <t xml:space="preserve">Pallet mass for energy</t>
  </si>
  <si>
    <t xml:space="preserve">kg</t>
  </si>
  <si>
    <t xml:space="preserve">ASSUMPTION A7 (upper bound)</t>
  </si>
  <si>
    <t xml:space="preserve">Target max utilization</t>
  </si>
  <si>
    <t xml:space="preserve">Paper validates 70-90 %</t>
  </si>
  <si>
    <t xml:space="preserve">Spare shuttles (failures, battery rotation)</t>
  </si>
  <si>
    <t xml:space="preserve">shuttles</t>
  </si>
  <si>
    <t xml:space="preserve">Design choice</t>
  </si>
  <si>
    <t xml:space="preserve">Sweep: N_C x N_L per side per tier</t>
  </si>
  <si>
    <t xml:space="preserve">480 positions per tier (D/W sweep)</t>
  </si>
  <si>
    <t xml:space="preserve">Shuttles assigned per tier (can be fractional for pooled/roaming shuttles)</t>
  </si>
  <si>
    <t xml:space="preserve">Tier</t>
  </si>
  <si>
    <t xml:space="preserve">Shuttles assigned</t>
  </si>
  <si>
    <t xml:space="preserve">Note</t>
  </si>
  <si>
    <t xml:space="preserve">Tiers 1-2: 2 shuttles each (class A, ABC); tiers 3-5: 1 each</t>
  </si>
  <si>
    <t xml:space="preserve">Tiers 6-10: 2 roaming shuttles shared = 0.4 per tier</t>
  </si>
  <si>
    <t xml:space="preserve">TIER TABLE (helper sheet – formulas only)</t>
  </si>
  <si>
    <t xml:space="preserve">Active</t>
  </si>
  <si>
    <t xml:space="preserve">Height h (m)</t>
  </si>
  <si>
    <t xml:space="preserve">p Uniform</t>
  </si>
  <si>
    <t xml:space="preserve">p ABC</t>
  </si>
  <si>
    <t xml:space="preserve">p selected</t>
  </si>
  <si>
    <t xml:space="preserve">Lift travel t(h) (s)</t>
  </si>
  <si>
    <t xml:space="preserve">Lift single cycle (s)</t>
  </si>
  <si>
    <t xml:space="preserve">q Uniform (tiers ≥2)</t>
  </si>
  <si>
    <t xml:space="preserve">q ABC (tiers ≥2)</t>
  </si>
  <si>
    <t xml:space="preserve">Tier load (tx/h)</t>
  </si>
  <si>
    <t xml:space="preserve">Shuttle utilization</t>
  </si>
  <si>
    <t xml:space="preserve">Status</t>
  </si>
  <si>
    <t xml:space="preserve">Sum / check</t>
  </si>
  <si>
    <t xml:space="preserve">DUAL-COMMAND LIFT CYCLE GRID (helper sheet): weight q_i·q_j·T_dual(i,j), tiers ≥ 2</t>
  </si>
  <si>
    <t xml:space="preserve">Uniform distribution</t>
  </si>
  <si>
    <t xml:space="preserve">tier j →</t>
  </si>
  <si>
    <t xml:space="preserve">h_j (m)</t>
  </si>
  <si>
    <t xml:space="preserve">q_j</t>
  </si>
  <si>
    <t xml:space="preserve">tier i</t>
  </si>
  <si>
    <t xml:space="preserve">h_i (m)</t>
  </si>
  <si>
    <t xml:space="preserve">q_i</t>
  </si>
  <si>
    <t xml:space="preserve">Mean dual cycle (s) = SUM of grid</t>
  </si>
  <si>
    <t xml:space="preserve">ABC distribution</t>
  </si>
  <si>
    <t xml:space="preserve">MODEL – results (all formulas)</t>
  </si>
  <si>
    <t xml:space="preserve">Flows</t>
  </si>
  <si>
    <t xml:space="preserve">Peak transactions (in + out)</t>
  </si>
  <si>
    <t xml:space="preserve">tx/h</t>
  </si>
  <si>
    <t xml:space="preserve">Single-command transactions</t>
  </si>
  <si>
    <t xml:space="preserve">Pallet movements per day (in + out)</t>
  </si>
  <si>
    <t xml:space="preserve">mov/day</t>
  </si>
  <si>
    <t xml:space="preserve">Lift ↔ tier interface time</t>
  </si>
  <si>
    <t xml:space="preserve">Geometry and capacity</t>
  </si>
  <si>
    <t xml:space="preserve">Cross-aisle length (N_L · u_w)</t>
  </si>
  <si>
    <t xml:space="preserve">Depth of the rack block (2·N_C·u_d + aisle)</t>
  </si>
  <si>
    <t xml:space="preserve">Rack height (N_T · u_h)</t>
  </si>
  <si>
    <t xml:space="preserve">Gross positions</t>
  </si>
  <si>
    <t xml:space="preserve">Positions displaced by lift shafts</t>
  </si>
  <si>
    <t xml:space="preserve">Net positions</t>
  </si>
  <si>
    <t xml:space="preserve">Lanes = SKUs of N_C pallets</t>
  </si>
  <si>
    <t xml:space="preserve">Effective capacity at average fill</t>
  </si>
  <si>
    <t xml:space="preserve">Footprint of the rack block</t>
  </si>
  <si>
    <t xml:space="preserve">m²</t>
  </si>
  <si>
    <t xml:space="preserve">Share of the building floor</t>
  </si>
  <si>
    <t xml:space="preserve">D/W = N_C·u_d / (N_L·u_w)</t>
  </si>
  <si>
    <t xml:space="preserve">Distance ratio (time ratio if speeds equal)</t>
  </si>
  <si>
    <t xml:space="preserve">κ (mean aisle distance / aisle length)</t>
  </si>
  <si>
    <t xml:space="preserve">1/2 (end), 1/(4n) equispaced</t>
  </si>
  <si>
    <t xml:space="preserve">Theoretical optimum D/W* = 2κ/(1+f)</t>
  </si>
  <si>
    <t xml:space="preserve">Minimises the shuttle cycle at constant capacity</t>
  </si>
  <si>
    <t xml:space="preserve">Lift positions along the aisle (from the aisle start)</t>
  </si>
  <si>
    <t xml:space="preserve">Lift 1</t>
  </si>
  <si>
    <t xml:space="preserve">Lift 2</t>
  </si>
  <si>
    <t xml:space="preserve">Lift 3</t>
  </si>
  <si>
    <t xml:space="preserve">Lift 4</t>
  </si>
  <si>
    <t xml:space="preserve">Lift 5</t>
  </si>
  <si>
    <t xml:space="preserve">Lift 6</t>
  </si>
  <si>
    <t xml:space="preserve">Shuttle cycle (single command, start and end at the lift point)</t>
  </si>
  <si>
    <t xml:space="preserve">Distance to reach v_max (v²/a)</t>
  </si>
  <si>
    <t xml:space="preserve">Below this the profile is triangular</t>
  </si>
  <si>
    <t xml:space="preserve">Max distance lane → nearest lift</t>
  </si>
  <si>
    <t xml:space="preserve">Mean distance uniform in [0, dmax] (continuous approximation)</t>
  </si>
  <si>
    <t xml:space="preserve">Mean aisle distance (+ offset)</t>
  </si>
  <si>
    <t xml:space="preserve">Mean aisle leg time</t>
  </si>
  <si>
    <t xml:space="preserve">Exact integral of the trapezoidal profile</t>
  </si>
  <si>
    <t xml:space="preserve">Mean in-lane distance</t>
  </si>
  <si>
    <t xml:space="preserve">Includes honeycombing</t>
  </si>
  <si>
    <t xml:space="preserve">In-lane leg time</t>
  </si>
  <si>
    <t xml:space="preserve">Shuttle cycle T_sh = 2·t_sh + 2·t_turn + 2·t_aisle + 2·t_lane</t>
  </si>
  <si>
    <t xml:space="preserve">Capacity per shuttle</t>
  </si>
  <si>
    <t xml:space="preserve">Lift: Uniform vs ABC (selected distribution in the last column)</t>
  </si>
  <si>
    <t xml:space="preserve">Metric</t>
  </si>
  <si>
    <t xml:space="preserve">Uniform</t>
  </si>
  <si>
    <t xml:space="preserve">Selected</t>
  </si>
  <si>
    <t xml:space="preserve">Share of transactions at tier 1 (no lift)</t>
  </si>
  <si>
    <t xml:space="preserve">Share of transactions using the lift</t>
  </si>
  <si>
    <t xml:space="preserve">Lift transactions</t>
  </si>
  <si>
    <t xml:space="preserve">Mean single-command lift cycle</t>
  </si>
  <si>
    <t xml:space="preserve">Mean dual-command lift cycle (store + retrieve)</t>
  </si>
  <si>
    <t xml:space="preserve">Capacity per lift (single command)</t>
  </si>
  <si>
    <t xml:space="preserve">lift tx/h</t>
  </si>
  <si>
    <t xml:space="preserve">Lift utilization – single command</t>
  </si>
  <si>
    <t xml:space="preserve">Lift utilization – dual commands</t>
  </si>
  <si>
    <t xml:space="preserve">Utilization with one lift down (single command)</t>
  </si>
  <si>
    <t xml:space="preserve">Mean lifting height</t>
  </si>
  <si>
    <t xml:space="preserve">Minimum lift energy (potential energy only)</t>
  </si>
  <si>
    <t xml:space="preserve">kWh/day</t>
  </si>
  <si>
    <t xml:space="preserve">Energy saving of ABC vs Uniform</t>
  </si>
  <si>
    <t xml:space="preserve">Shuttle fleet</t>
  </si>
  <si>
    <t xml:space="preserve">Shuttles assigned (sum of Inputs table)</t>
  </si>
  <si>
    <t xml:space="preserve">Fleet including spares</t>
  </si>
  <si>
    <t xml:space="preserve">Total shuttle workload</t>
  </si>
  <si>
    <t xml:space="preserve">shuttle-equiv.</t>
  </si>
  <si>
    <t xml:space="preserve">Fleet is sized by tier coverage, not by load</t>
  </si>
  <si>
    <t xml:space="preserve">Highest tier shuttle utilization</t>
  </si>
  <si>
    <t xml:space="preserve">Checks</t>
  </si>
  <si>
    <t xml:space="preserve">Rack height ≤ building height</t>
  </si>
  <si>
    <t xml:space="preserve">Aisle length ≤ building length</t>
  </si>
  <si>
    <t xml:space="preserve">Block depth ≤ building width</t>
  </si>
  <si>
    <t xml:space="preserve">Effective capacity ≥ requirement</t>
  </si>
  <si>
    <t xml:space="preserve">Requirement on the Inputs sheet</t>
  </si>
  <si>
    <t xml:space="preserve">Lift utilization ≤ target</t>
  </si>
  <si>
    <t xml:space="preserve">Lift utilization with one lift down &lt; 100 %</t>
  </si>
  <si>
    <t xml:space="preserve">N+1 resilience</t>
  </si>
  <si>
    <t xml:space="preserve">Highest shuttle utilization ≤ target</t>
  </si>
  <si>
    <t xml:space="preserve">SWEEPS (formulas – change the Inputs and everything updates)</t>
  </si>
  <si>
    <t xml:space="preserve">1) Shuttle cycle vs D/W at constant capacity (N_C × N_L = Inputs 'sweep_prod' per side)</t>
  </si>
  <si>
    <t xml:space="preserve">N_C</t>
  </si>
  <si>
    <t xml:space="preserve">N_L</t>
  </si>
  <si>
    <t xml:space="preserve">Aisle L (m)</t>
  </si>
  <si>
    <t xml:space="preserve">D/W</t>
  </si>
  <si>
    <t xml:space="preserve">t_lane (s)</t>
  </si>
  <si>
    <t xml:space="preserve">1 lift at end: t_aisle</t>
  </si>
  <si>
    <t xml:space="preserve">T_sh (s)</t>
  </si>
  <si>
    <t xml:space="preserve">1 lift centre: t_aisle</t>
  </si>
  <si>
    <t xml:space="preserve">2 lifts: t_aisle</t>
  </si>
  <si>
    <t xml:space="preserve">3 lifts: t_aisle</t>
  </si>
  <si>
    <t xml:space="preserve">Blue N_C values can be edited. Minimum of each column ≈ D/W* = 2κ/(1+f): 0.83 (end), 0.42 (1 centre), 0.21 (2), 0.14 (3).</t>
  </si>
  <si>
    <t xml:space="preserve">2) Number of lifts (equispaced) at the current N_L, N_C, flows and tiers</t>
  </si>
  <si>
    <t xml:space="preserve">Lifts n</t>
  </si>
  <si>
    <t xml:space="preserve">dmax (m)</t>
  </si>
  <si>
    <t xml:space="preserve">t_aisle (s)</t>
  </si>
  <si>
    <t xml:space="preserve">Capacity per shuttle (tx/h)</t>
  </si>
  <si>
    <t xml:space="preserve">U lift Uniform single</t>
  </si>
  <si>
    <t xml:space="preserve">U lift Uniform dual</t>
  </si>
  <si>
    <t xml:space="preserve">U lift ABC single</t>
  </si>
  <si>
    <t xml:space="preserve">U lift ABC dual</t>
  </si>
  <si>
    <t xml:space="preserve">U Uniform, one lift down</t>
  </si>
  <si>
    <t xml:space="preserve">U ABC, one lift down</t>
  </si>
  <si>
    <t xml:space="preserve">Target</t>
  </si>
  <si>
    <t xml:space="preserve">Note: the shuttle cycle uses the 'Equispaced' layout; the lift columns use the current peak factor.</t>
  </si>
  <si>
    <t xml:space="preserve">3) Peak factor: lift utilization (single command) for 2 and 3 lifts</t>
  </si>
  <si>
    <t xml:space="preserve">Peak factor</t>
  </si>
  <si>
    <t xml:space="preserve">Transactions/h</t>
  </si>
  <si>
    <t xml:space="preserve">2 lifts Uniform</t>
  </si>
  <si>
    <t xml:space="preserve">2 lifts ABC</t>
  </si>
  <si>
    <t xml:space="preserve">3 lifts Uniform</t>
  </si>
  <si>
    <t xml:space="preserve">3 lifts ABC</t>
  </si>
  <si>
    <t xml:space="preserve">4) Honeycombing factor f: shuttle cycle</t>
  </si>
  <si>
    <t xml:space="preserve">f</t>
  </si>
  <si>
    <t xml:space="preserve">Δ vs f = 0</t>
  </si>
  <si>
    <t xml:space="preserve">DISCRETE-EVENT SIMULATION vs ANALYTICAL MODEL (static values from apw_shuttle_model.py)</t>
  </si>
  <si>
    <t xml:space="preserve">Hard-coded results of: python apw_shuttle_model.py des  (SimPy, 5 replications × 60 h, 5 h warm-up, peak 40 in + 60 out per hour). Re-run the script after changing parameters; this sheet does not update.</t>
  </si>
  <si>
    <t xml:space="preserve">Scenario</t>
  </si>
  <si>
    <t xml:space="preserve">Analytical T_sh (s)</t>
  </si>
  <si>
    <t xml:space="preserve">DES shuttle active time per tx (s)</t>
  </si>
  <si>
    <t xml:space="preserve">Analytical lift util (%)</t>
  </si>
  <si>
    <t xml:space="preserve">DES lift util (%)</t>
  </si>
  <si>
    <t xml:space="preserve">Analytical max shuttle util (%)</t>
  </si>
  <si>
    <t xml:space="preserve">DES max shuttle group util (%)</t>
  </si>
  <si>
    <t xml:space="preserve">DES mean throughput time storage (s)</t>
  </si>
  <si>
    <t xml:space="preserve">DES mean throughput time retrieval (s)</t>
  </si>
  <si>
    <t xml:space="preserve">DES p95 storage (s)</t>
  </si>
  <si>
    <t xml:space="preserve">DES p95 retrieval (s)</t>
  </si>
  <si>
    <t xml:space="preserve">Shuttle relocations per hour</t>
  </si>
  <si>
    <t xml:space="preserve">Base: ABC, 3 lifts, 11-shuttle fleet</t>
  </si>
  <si>
    <t xml:space="preserve">Uniform, 3 lifts, 1 shuttle/tier</t>
  </si>
  <si>
    <t xml:space="preserve">ABC, 3 lifts, one lift down</t>
  </si>
  <si>
    <t xml:space="preserve">ABC, 3 lifts, peak +25%</t>
  </si>
  <si>
    <t xml:space="preserve">Uniform, 2 lifts</t>
  </si>
  <si>
    <t xml:space="preserve">Uniform, 2 lifts, one lift down</t>
  </si>
  <si>
    <t xml:space="preserve">ABC, 3 lifts, chain conveyor interface</t>
  </si>
  <si>
    <t xml:space="preserve">How to read the table</t>
  </si>
  <si>
    <t xml:space="preserve">• Analytical numbers are single-command, 'lift returns to ground' and 'shuttle returns to lift' cycles, as in the Model sheet.</t>
  </si>
  <si>
    <t xml:space="preserve">• DES shuttle active time is ~9 % above T_sh: in the simulation a shuttle starts from the lift point it used last, not from the lift nearest to the next lane.</t>
  </si>
  <si>
    <t xml:space="preserve">• DES lift utilization is a few points above the analytical value (shuttle relocations of the roaming pool, lift waiting for the shuttle).</t>
  </si>
  <si>
    <t xml:space="preserve">• DES shuttle utilization counts the time a shuttle is held by a transaction, including waiting for the lift; it is therefore higher than the analytical value.</t>
  </si>
  <si>
    <t xml:space="preserve">• Conclusions of the design hold: base case lifts ≈ 31 %, busiest shuttle group ≈ 56 %; mean throughput times about 2 minutes.</t>
  </si>
  <si>
    <t xml:space="preserve">• Resilience: with ABC one lift down is fine (46 %); with a Uniform distribution and only 2 lifts, losing one makes the system unstable (queues grow without bound).</t>
  </si>
  <si>
    <t xml:space="preserve">• The chain conveyor interface (7 s) cuts lift utilization by about one third and the mean throughput time by about 20 %.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</si>
</sst>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%"/>
    <numFmt numFmtId="167" formatCode="0.0%"/>
    <numFmt numFmtId="168" formatCode="0.0"/>
    <numFmt numFmtId="169" formatCode="0.000"/>
    <numFmt numFmtId="170" formatCode="#,##0"/>
    <numFmt numFmtId="171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FBFBF"/>
      <rgbColor rgb="FF878787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7D6B1"/>
      <rgbColor rgb="FF3366FF"/>
      <rgbColor rgb="FF33CCCC"/>
      <rgbColor rgb="FFA9C37E"/>
      <rgbColor rgb="FFFFCC00"/>
      <rgbColor rgb="FFFF9900"/>
      <rgbColor rgb="FFFF6600"/>
      <rgbColor rgb="FF4F81BD"/>
      <rgbColor rgb="FF8EAD4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Shuttle cycle vs D/W (constant capacity)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"1 lift at end"</c:f>
              <c:strCache>
                <c:ptCount val="1"/>
                <c:pt idx="0">
                  <c:v>1 lift at end</c:v>
                </c:pt>
              </c:strCache>
            </c:strRef>
          </c:tx>
          <c:spPr>
            <a:solidFill>
              <a:srgbClr val="789142"/>
            </a:solidFill>
            <a:ln w="47520">
              <a:solidFill>
                <a:srgbClr val="789142"/>
              </a:solidFill>
              <a:round/>
            </a:ln>
          </c:spPr>
          <c:marker>
            <c:symbol val="circle"/>
            <c:size val="5"/>
            <c:spPr>
              <a:solidFill>
                <a:srgbClr val="78914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Sweeps!$D$5:$D$12</c:f>
              <c:numCache>
                <c:formatCode>0.00</c:formatCode>
                <c:ptCount val="8"/>
                <c:pt idx="0">
                  <c:v>0.0245098039215686</c:v>
                </c:pt>
                <c:pt idx="1">
                  <c:v>0.0551470588235294</c:v>
                </c:pt>
                <c:pt idx="2">
                  <c:v>0.0980392156862745</c:v>
                </c:pt>
                <c:pt idx="3">
                  <c:v>0.220588235294118</c:v>
                </c:pt>
                <c:pt idx="4">
                  <c:v>0.392156862745098</c:v>
                </c:pt>
                <c:pt idx="5">
                  <c:v>0.882352941176471</c:v>
                </c:pt>
                <c:pt idx="6">
                  <c:v>1.56862745098039</c:v>
                </c:pt>
                <c:pt idx="7">
                  <c:v>3.52941176470588</c:v>
                </c:pt>
              </c:numCache>
            </c:numRef>
          </c:xVal>
          <c:yVal>
            <c:numRef>
              <c:f>Sweeps!$G$5:$G$12</c:f>
              <c:numCache>
                <c:formatCode>0.0</c:formatCode>
                <c:ptCount val="8"/>
                <c:pt idx="0">
                  <c:v>145.35809163653</c:v>
                </c:pt>
                <c:pt idx="1">
                  <c:v>122.527865775901</c:v>
                </c:pt>
                <c:pt idx="2">
                  <c:v>111.633307038864</c:v>
                </c:pt>
                <c:pt idx="3">
                  <c:v>101.667187731803</c:v>
                </c:pt>
                <c:pt idx="4">
                  <c:v>97.7276788804988</c:v>
                </c:pt>
                <c:pt idx="5">
                  <c:v>95.9200897493196</c:v>
                </c:pt>
                <c:pt idx="6">
                  <c:v>97.1482149038548</c:v>
                </c:pt>
                <c:pt idx="7">
                  <c:v>102.640179498639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"1 lift centre"</c:f>
              <c:strCache>
                <c:ptCount val="1"/>
                <c:pt idx="0">
                  <c:v>1 lift centre</c:v>
                </c:pt>
              </c:strCache>
            </c:strRef>
          </c:tx>
          <c:spPr>
            <a:solidFill>
              <a:srgbClr val="8ead4f"/>
            </a:solidFill>
            <a:ln w="47520">
              <a:solidFill>
                <a:srgbClr val="8ead4f"/>
              </a:solidFill>
              <a:round/>
            </a:ln>
          </c:spPr>
          <c:marker>
            <c:symbol val="circle"/>
            <c:size val="5"/>
            <c:spPr>
              <a:solidFill>
                <a:srgbClr val="8ead4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Sweeps!$D$5:$D$12</c:f>
              <c:numCache>
                <c:formatCode>0.00</c:formatCode>
                <c:ptCount val="8"/>
                <c:pt idx="0">
                  <c:v>0.0245098039215686</c:v>
                </c:pt>
                <c:pt idx="1">
                  <c:v>0.0551470588235294</c:v>
                </c:pt>
                <c:pt idx="2">
                  <c:v>0.0980392156862745</c:v>
                </c:pt>
                <c:pt idx="3">
                  <c:v>0.220588235294118</c:v>
                </c:pt>
                <c:pt idx="4">
                  <c:v>0.392156862745098</c:v>
                </c:pt>
                <c:pt idx="5">
                  <c:v>0.882352941176471</c:v>
                </c:pt>
                <c:pt idx="6">
                  <c:v>1.56862745098039</c:v>
                </c:pt>
                <c:pt idx="7">
                  <c:v>3.52941176470588</c:v>
                </c:pt>
              </c:numCache>
            </c:numRef>
          </c:xVal>
          <c:yVal>
            <c:numRef>
              <c:f>Sweeps!$I$5:$I$12</c:f>
              <c:numCache>
                <c:formatCode>0.0</c:formatCode>
                <c:ptCount val="8"/>
                <c:pt idx="0">
                  <c:v>108.918582785226</c:v>
                </c:pt>
                <c:pt idx="1">
                  <c:v>98.2257453560875</c:v>
                </c:pt>
                <c:pt idx="2">
                  <c:v>93.397146479113</c:v>
                </c:pt>
                <c:pt idx="3">
                  <c:v>89.4915183207482</c:v>
                </c:pt>
                <c:pt idx="4">
                  <c:v>88.5767863324262</c:v>
                </c:pt>
                <c:pt idx="5">
                  <c:v>89.7830366414964</c:v>
                </c:pt>
                <c:pt idx="6">
                  <c:v>92.5071440934238</c:v>
                </c:pt>
                <c:pt idx="7">
                  <c:v>99.4732161401356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"2 lifts"</c:f>
              <c:strCache>
                <c:ptCount val="1"/>
                <c:pt idx="0">
                  <c:v>2 lifts</c:v>
                </c:pt>
              </c:strCache>
            </c:strRef>
          </c:tx>
          <c:spPr>
            <a:solidFill>
              <a:srgbClr val="a9c37e"/>
            </a:solidFill>
            <a:ln w="47520">
              <a:solidFill>
                <a:srgbClr val="a9c37e"/>
              </a:solidFill>
              <a:round/>
            </a:ln>
          </c:spPr>
          <c:marker>
            <c:symbol val="circle"/>
            <c:size val="5"/>
            <c:spPr>
              <a:solidFill>
                <a:srgbClr val="a9c37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Sweeps!$D$5:$D$12</c:f>
              <c:numCache>
                <c:formatCode>0.00</c:formatCode>
                <c:ptCount val="8"/>
                <c:pt idx="0">
                  <c:v>0.0245098039215686</c:v>
                </c:pt>
                <c:pt idx="1">
                  <c:v>0.0551470588235294</c:v>
                </c:pt>
                <c:pt idx="2">
                  <c:v>0.0980392156862745</c:v>
                </c:pt>
                <c:pt idx="3">
                  <c:v>0.220588235294118</c:v>
                </c:pt>
                <c:pt idx="4">
                  <c:v>0.392156862745098</c:v>
                </c:pt>
                <c:pt idx="5">
                  <c:v>0.882352941176471</c:v>
                </c:pt>
                <c:pt idx="6">
                  <c:v>1.56862745098039</c:v>
                </c:pt>
                <c:pt idx="7">
                  <c:v>3.52941176470588</c:v>
                </c:pt>
              </c:numCache>
            </c:numRef>
          </c:xVal>
          <c:yVal>
            <c:numRef>
              <c:f>Sweeps!$K$5:$K$12</c:f>
              <c:numCache>
                <c:formatCode>0.0</c:formatCode>
                <c:ptCount val="8"/>
                <c:pt idx="0">
                  <c:v>90.6824222254753</c:v>
                </c:pt>
                <c:pt idx="1">
                  <c:v>86.0500759450331</c:v>
                </c:pt>
                <c:pt idx="2">
                  <c:v>84.2462539310403</c:v>
                </c:pt>
                <c:pt idx="3">
                  <c:v>83.354465212925</c:v>
                </c:pt>
                <c:pt idx="4">
                  <c:v>83.9357155219952</c:v>
                </c:pt>
                <c:pt idx="5">
                  <c:v>86.6160732829928</c:v>
                </c:pt>
                <c:pt idx="6">
                  <c:v>90.055359615419</c:v>
                </c:pt>
                <c:pt idx="7">
                  <c:v>97.7006507676663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"3 lifts"</c:f>
              <c:strCache>
                <c:ptCount val="1"/>
                <c:pt idx="0">
                  <c:v>3 lifts</c:v>
                </c:pt>
              </c:strCache>
            </c:strRef>
          </c:tx>
          <c:spPr>
            <a:solidFill>
              <a:srgbClr val="c7d6b1"/>
            </a:solidFill>
            <a:ln w="47520">
              <a:solidFill>
                <a:srgbClr val="c7d6b1"/>
              </a:solidFill>
              <a:round/>
            </a:ln>
          </c:spPr>
          <c:marker>
            <c:symbol val="circle"/>
            <c:size val="5"/>
            <c:spPr>
              <a:solidFill>
                <a:srgbClr val="c7d6b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Sweeps!$D$5:$D$12</c:f>
              <c:numCache>
                <c:formatCode>0.00</c:formatCode>
                <c:ptCount val="8"/>
                <c:pt idx="0">
                  <c:v>0.0245098039215686</c:v>
                </c:pt>
                <c:pt idx="1">
                  <c:v>0.0551470588235294</c:v>
                </c:pt>
                <c:pt idx="2">
                  <c:v>0.0980392156862745</c:v>
                </c:pt>
                <c:pt idx="3">
                  <c:v>0.220588235294118</c:v>
                </c:pt>
                <c:pt idx="4">
                  <c:v>0.392156862745098</c:v>
                </c:pt>
                <c:pt idx="5">
                  <c:v>0.882352941176471</c:v>
                </c:pt>
                <c:pt idx="6">
                  <c:v>1.56862745098039</c:v>
                </c:pt>
                <c:pt idx="7">
                  <c:v>3.52941176470588</c:v>
                </c:pt>
              </c:numCache>
            </c:numRef>
          </c:xVal>
          <c:yVal>
            <c:numRef>
              <c:f>Sweeps!$M$5:$M$12</c:f>
              <c:numCache>
                <c:formatCode>0.0</c:formatCode>
                <c:ptCount val="8"/>
                <c:pt idx="0">
                  <c:v>84.5891188085818</c:v>
                </c:pt>
                <c:pt idx="1">
                  <c:v>81.9696446292167</c:v>
                </c:pt>
                <c:pt idx="2">
                  <c:v>81.1667899543963</c:v>
                </c:pt>
                <c:pt idx="3">
                  <c:v>81.2650311527208</c:v>
                </c:pt>
                <c:pt idx="4">
                  <c:v>82.3303589972785</c:v>
                </c:pt>
                <c:pt idx="5">
                  <c:v>85.472926484189</c:v>
                </c:pt>
                <c:pt idx="6">
                  <c:v>89.1292221962377</c:v>
                </c:pt>
                <c:pt idx="7">
                  <c:v>97.010327821077</c:v>
                </c:pt>
              </c:numCache>
            </c:numRef>
          </c:yVal>
          <c:smooth val="1"/>
        </c:ser>
        <c:axId val="55686303"/>
        <c:axId val="95970358"/>
      </c:scatterChart>
      <c:valAx>
        <c:axId val="55686303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D/W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970358"/>
        <c:crosses val="autoZero"/>
        <c:crossBetween val="midCat"/>
      </c:valAx>
      <c:valAx>
        <c:axId val="959703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T_sh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863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Lift utilization at peak (single command)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Sweeps!F16</c:f>
              <c:strCache>
                <c:ptCount val="1"/>
                <c:pt idx="0">
                  <c:v>U lift Uniform single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Sweeps!$A$17:$A$22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Sweeps!$F$17:$F$22</c:f>
              <c:numCache>
                <c:formatCode>0.0%</c:formatCode>
                <c:ptCount val="6"/>
                <c:pt idx="0">
                  <c:v>1.38392857142857</c:v>
                </c:pt>
                <c:pt idx="1">
                  <c:v>0.691964285714286</c:v>
                </c:pt>
                <c:pt idx="2">
                  <c:v>0.461309523809524</c:v>
                </c:pt>
                <c:pt idx="3">
                  <c:v>0.345982142857143</c:v>
                </c:pt>
                <c:pt idx="4">
                  <c:v>0.276785714285714</c:v>
                </c:pt>
                <c:pt idx="5">
                  <c:v>0.230654761904762</c:v>
                </c:pt>
              </c:numCache>
            </c:numRef>
          </c:val>
        </c:ser>
        <c:ser>
          <c:idx val="1"/>
          <c:order val="1"/>
          <c:tx>
            <c:strRef>
              <c:f>Sweeps!H16</c:f>
              <c:strCache>
                <c:ptCount val="1"/>
                <c:pt idx="0">
                  <c:v>U lift ABC single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Sweeps!$A$17:$A$22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Sweeps!$H$17:$H$22</c:f>
              <c:numCache>
                <c:formatCode>0.0%</c:formatCode>
                <c:ptCount val="6"/>
                <c:pt idx="0">
                  <c:v>0.737619047619048</c:v>
                </c:pt>
                <c:pt idx="1">
                  <c:v>0.368809523809524</c:v>
                </c:pt>
                <c:pt idx="2">
                  <c:v>0.245873015873016</c:v>
                </c:pt>
                <c:pt idx="3">
                  <c:v>0.184404761904762</c:v>
                </c:pt>
                <c:pt idx="4">
                  <c:v>0.14752380952381</c:v>
                </c:pt>
                <c:pt idx="5">
                  <c:v>0.122936507936508</c:v>
                </c:pt>
              </c:numCache>
            </c:numRef>
          </c:val>
        </c:ser>
        <c:gapWidth val="150"/>
        <c:overlap val="0"/>
        <c:axId val="19752318"/>
        <c:axId val="30314283"/>
      </c:barChart>
      <c:catAx>
        <c:axId val="197523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lifts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14283"/>
        <c:crosses val="autoZero"/>
        <c:auto val="1"/>
        <c:lblAlgn val="ctr"/>
        <c:lblOffset val="100"/>
        <c:noMultiLvlLbl val="0"/>
      </c:catAx>
      <c:valAx>
        <c:axId val="30314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523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160560</xdr:rowOff>
    </xdr:from>
    <xdr:to>
      <xdr:col>23</xdr:col>
      <xdr:colOff>256320</xdr:colOff>
      <xdr:row>15</xdr:row>
      <xdr:rowOff>30240</xdr:rowOff>
    </xdr:to>
    <xdr:graphicFrame>
      <xdr:nvGraphicFramePr>
        <xdr:cNvPr id="0" name="Chart 1"/>
        <xdr:cNvGraphicFramePr/>
      </xdr:nvGraphicFramePr>
      <xdr:xfrm>
        <a:off x="1210068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160560</xdr:rowOff>
    </xdr:from>
    <xdr:to>
      <xdr:col>23</xdr:col>
      <xdr:colOff>256320</xdr:colOff>
      <xdr:row>34</xdr:row>
      <xdr:rowOff>70200</xdr:rowOff>
    </xdr:to>
    <xdr:graphicFrame>
      <xdr:nvGraphicFramePr>
        <xdr:cNvPr id="1" name="Chart 2"/>
        <xdr:cNvGraphicFramePr/>
      </xdr:nvGraphicFramePr>
      <xdr:xfrm>
        <a:off x="12100680" y="4495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2" t="s">
        <v>17</v>
      </c>
    </row>
    <row r="25" customFormat="false" ht="15" hidden="false" customHeight="false" outlineLevel="0" collapsed="false">
      <c r="A25" s="3" t="s">
        <v>18</v>
      </c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20</v>
      </c>
    </row>
    <row r="29" customFormat="false" ht="23.85" hidden="false" customHeight="false" outlineLevel="0" collapsed="false">
      <c r="A29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</row>
    <row r="4" customFormat="false" ht="15" hidden="false" customHeight="false" outlineLevel="0" collapsed="false">
      <c r="A4" s="5" t="s">
        <v>27</v>
      </c>
      <c r="B4" s="6"/>
      <c r="C4" s="6"/>
      <c r="D4" s="6"/>
    </row>
    <row r="5" customFormat="false" ht="15" hidden="false" customHeight="false" outlineLevel="0" collapsed="false">
      <c r="A5" s="7" t="s">
        <v>28</v>
      </c>
      <c r="B5" s="8" t="n">
        <v>1.4</v>
      </c>
      <c r="C5" s="7" t="s">
        <v>29</v>
      </c>
      <c r="D5" s="7" t="s">
        <v>30</v>
      </c>
    </row>
    <row r="6" customFormat="false" ht="15" hidden="false" customHeight="false" outlineLevel="0" collapsed="false">
      <c r="A6" s="7" t="s">
        <v>31</v>
      </c>
      <c r="B6" s="8" t="n">
        <v>0.5</v>
      </c>
      <c r="C6" s="7" t="s">
        <v>32</v>
      </c>
      <c r="D6" s="7" t="s">
        <v>33</v>
      </c>
    </row>
    <row r="7" customFormat="false" ht="15" hidden="false" customHeight="false" outlineLevel="0" collapsed="false">
      <c r="A7" s="7" t="s">
        <v>34</v>
      </c>
      <c r="B7" s="8" t="n">
        <v>4</v>
      </c>
      <c r="C7" s="7" t="s">
        <v>35</v>
      </c>
      <c r="D7" s="7" t="s">
        <v>36</v>
      </c>
    </row>
    <row r="8" customFormat="false" ht="15" hidden="false" customHeight="false" outlineLevel="0" collapsed="false">
      <c r="A8" s="7" t="s">
        <v>37</v>
      </c>
      <c r="B8" s="8" t="n">
        <v>25</v>
      </c>
      <c r="C8" s="7" t="s">
        <v>35</v>
      </c>
      <c r="D8" s="7" t="s">
        <v>33</v>
      </c>
    </row>
    <row r="9" customFormat="false" ht="15" hidden="false" customHeight="false" outlineLevel="0" collapsed="false">
      <c r="A9" s="5" t="s">
        <v>38</v>
      </c>
      <c r="B9" s="6"/>
      <c r="C9" s="6"/>
      <c r="D9" s="6"/>
    </row>
    <row r="10" customFormat="false" ht="15" hidden="false" customHeight="false" outlineLevel="0" collapsed="false">
      <c r="A10" s="7" t="s">
        <v>39</v>
      </c>
      <c r="B10" s="8" t="n">
        <v>1</v>
      </c>
      <c r="C10" s="7" t="s">
        <v>29</v>
      </c>
      <c r="D10" s="7" t="s">
        <v>33</v>
      </c>
    </row>
    <row r="11" customFormat="false" ht="15" hidden="false" customHeight="false" outlineLevel="0" collapsed="false">
      <c r="A11" s="7" t="s">
        <v>40</v>
      </c>
      <c r="B11" s="8" t="n">
        <v>0.7</v>
      </c>
      <c r="C11" s="7" t="s">
        <v>32</v>
      </c>
      <c r="D11" s="7" t="s">
        <v>33</v>
      </c>
    </row>
    <row r="12" customFormat="false" ht="15" hidden="false" customHeight="false" outlineLevel="0" collapsed="false">
      <c r="A12" s="7" t="s">
        <v>41</v>
      </c>
      <c r="B12" s="8" t="n">
        <v>1</v>
      </c>
      <c r="C12" s="7" t="s">
        <v>35</v>
      </c>
      <c r="D12" s="7" t="s">
        <v>33</v>
      </c>
    </row>
    <row r="13" customFormat="false" ht="15" hidden="false" customHeight="false" outlineLevel="0" collapsed="false">
      <c r="A13" s="7" t="s">
        <v>42</v>
      </c>
      <c r="B13" s="8" t="n">
        <v>7</v>
      </c>
      <c r="C13" s="7" t="s">
        <v>35</v>
      </c>
      <c r="D13" s="7" t="s">
        <v>33</v>
      </c>
    </row>
    <row r="14" customFormat="false" ht="15" hidden="false" customHeight="false" outlineLevel="0" collapsed="false">
      <c r="A14" s="7" t="s">
        <v>43</v>
      </c>
      <c r="B14" s="8" t="n">
        <v>25</v>
      </c>
      <c r="C14" s="7" t="s">
        <v>35</v>
      </c>
      <c r="D14" s="7" t="s">
        <v>33</v>
      </c>
    </row>
    <row r="15" customFormat="false" ht="15" hidden="false" customHeight="false" outlineLevel="0" collapsed="false">
      <c r="A15" s="7" t="s">
        <v>44</v>
      </c>
      <c r="B15" s="8" t="s">
        <v>45</v>
      </c>
      <c r="C15" s="7"/>
      <c r="D15" s="7" t="s">
        <v>46</v>
      </c>
    </row>
    <row r="16" customFormat="false" ht="15" hidden="false" customHeight="false" outlineLevel="0" collapsed="false">
      <c r="A16" s="5" t="s">
        <v>47</v>
      </c>
      <c r="B16" s="6"/>
      <c r="C16" s="6"/>
      <c r="D16" s="6"/>
    </row>
    <row r="17" customFormat="false" ht="15" hidden="false" customHeight="false" outlineLevel="0" collapsed="false">
      <c r="A17" s="7" t="s">
        <v>48</v>
      </c>
      <c r="B17" s="8" t="n">
        <v>0.85</v>
      </c>
      <c r="C17" s="7" t="s">
        <v>49</v>
      </c>
      <c r="D17" s="7" t="s">
        <v>50</v>
      </c>
    </row>
    <row r="18" customFormat="false" ht="15" hidden="false" customHeight="false" outlineLevel="0" collapsed="false">
      <c r="A18" s="7" t="s">
        <v>51</v>
      </c>
      <c r="B18" s="8" t="n">
        <v>1.25</v>
      </c>
      <c r="C18" s="7" t="s">
        <v>49</v>
      </c>
      <c r="D18" s="7" t="s">
        <v>52</v>
      </c>
    </row>
    <row r="19" customFormat="false" ht="15" hidden="false" customHeight="false" outlineLevel="0" collapsed="false">
      <c r="A19" s="7" t="s">
        <v>53</v>
      </c>
      <c r="B19" s="8" t="n">
        <v>1.85</v>
      </c>
      <c r="C19" s="7" t="s">
        <v>49</v>
      </c>
      <c r="D19" s="7" t="s">
        <v>54</v>
      </c>
    </row>
    <row r="20" customFormat="false" ht="15" hidden="false" customHeight="false" outlineLevel="0" collapsed="false">
      <c r="A20" s="7" t="s">
        <v>55</v>
      </c>
      <c r="B20" s="8" t="n">
        <v>20</v>
      </c>
      <c r="C20" s="7" t="s">
        <v>49</v>
      </c>
      <c r="D20" s="7" t="s">
        <v>33</v>
      </c>
    </row>
    <row r="21" customFormat="false" ht="15" hidden="false" customHeight="false" outlineLevel="0" collapsed="false">
      <c r="A21" s="7" t="s">
        <v>56</v>
      </c>
      <c r="B21" s="8" t="n">
        <v>45</v>
      </c>
      <c r="C21" s="7" t="s">
        <v>49</v>
      </c>
      <c r="D21" s="7" t="s">
        <v>33</v>
      </c>
    </row>
    <row r="22" customFormat="false" ht="15" hidden="false" customHeight="false" outlineLevel="0" collapsed="false">
      <c r="A22" s="7" t="s">
        <v>57</v>
      </c>
      <c r="B22" s="8" t="n">
        <v>30</v>
      </c>
      <c r="C22" s="7" t="s">
        <v>49</v>
      </c>
      <c r="D22" s="7" t="s">
        <v>33</v>
      </c>
    </row>
    <row r="23" customFormat="false" ht="15" hidden="false" customHeight="false" outlineLevel="0" collapsed="false">
      <c r="A23" s="7" t="s">
        <v>58</v>
      </c>
      <c r="B23" s="8" t="n">
        <v>1.5</v>
      </c>
      <c r="C23" s="7" t="s">
        <v>49</v>
      </c>
      <c r="D23" s="7" t="s">
        <v>59</v>
      </c>
    </row>
    <row r="24" customFormat="false" ht="15" hidden="false" customHeight="false" outlineLevel="0" collapsed="false">
      <c r="A24" s="7" t="s">
        <v>60</v>
      </c>
      <c r="B24" s="8" t="n">
        <v>1</v>
      </c>
      <c r="C24" s="7" t="s">
        <v>49</v>
      </c>
      <c r="D24" s="7" t="s">
        <v>61</v>
      </c>
    </row>
    <row r="25" customFormat="false" ht="15" hidden="false" customHeight="false" outlineLevel="0" collapsed="false">
      <c r="A25" s="5" t="s">
        <v>62</v>
      </c>
      <c r="B25" s="6"/>
      <c r="C25" s="6"/>
      <c r="D25" s="6"/>
    </row>
    <row r="26" customFormat="false" ht="15" hidden="false" customHeight="false" outlineLevel="0" collapsed="false">
      <c r="A26" s="7" t="s">
        <v>63</v>
      </c>
      <c r="B26" s="8" t="n">
        <v>6</v>
      </c>
      <c r="C26" s="7" t="s">
        <v>64</v>
      </c>
      <c r="D26" s="7" t="s">
        <v>65</v>
      </c>
    </row>
    <row r="27" customFormat="false" ht="15" hidden="false" customHeight="false" outlineLevel="0" collapsed="false">
      <c r="A27" s="7" t="s">
        <v>66</v>
      </c>
      <c r="B27" s="8" t="n">
        <v>44</v>
      </c>
      <c r="C27" s="7" t="s">
        <v>67</v>
      </c>
      <c r="D27" s="7" t="s">
        <v>68</v>
      </c>
    </row>
    <row r="28" customFormat="false" ht="15" hidden="false" customHeight="false" outlineLevel="0" collapsed="false">
      <c r="A28" s="7" t="s">
        <v>69</v>
      </c>
      <c r="B28" s="8" t="n">
        <v>10</v>
      </c>
      <c r="C28" s="7" t="s">
        <v>70</v>
      </c>
      <c r="D28" s="7" t="s">
        <v>71</v>
      </c>
    </row>
    <row r="29" customFormat="false" ht="15" hidden="false" customHeight="false" outlineLevel="0" collapsed="false">
      <c r="A29" s="7" t="s">
        <v>72</v>
      </c>
      <c r="B29" s="8" t="n">
        <v>3</v>
      </c>
      <c r="C29" s="7" t="s">
        <v>73</v>
      </c>
      <c r="D29" s="7" t="s">
        <v>74</v>
      </c>
    </row>
    <row r="30" customFormat="false" ht="15" hidden="false" customHeight="false" outlineLevel="0" collapsed="false">
      <c r="A30" s="7" t="s">
        <v>75</v>
      </c>
      <c r="B30" s="8" t="s">
        <v>76</v>
      </c>
      <c r="C30" s="7"/>
      <c r="D30" s="7" t="s">
        <v>77</v>
      </c>
    </row>
    <row r="31" customFormat="false" ht="15" hidden="false" customHeight="false" outlineLevel="0" collapsed="false">
      <c r="A31" s="7" t="s">
        <v>78</v>
      </c>
      <c r="B31" s="9" t="n">
        <v>0.2</v>
      </c>
      <c r="C31" s="7" t="s">
        <v>79</v>
      </c>
      <c r="D31" s="7" t="s">
        <v>80</v>
      </c>
    </row>
    <row r="32" customFormat="false" ht="15" hidden="false" customHeight="false" outlineLevel="0" collapsed="false">
      <c r="A32" s="7" t="s">
        <v>81</v>
      </c>
      <c r="B32" s="8" t="n">
        <v>3</v>
      </c>
      <c r="C32" s="7" t="s">
        <v>67</v>
      </c>
      <c r="D32" s="7" t="s">
        <v>82</v>
      </c>
    </row>
    <row r="33" customFormat="false" ht="15" hidden="false" customHeight="false" outlineLevel="0" collapsed="false">
      <c r="A33" s="7" t="s">
        <v>83</v>
      </c>
      <c r="B33" s="10" t="n">
        <v>0.85</v>
      </c>
      <c r="C33" s="7" t="s">
        <v>79</v>
      </c>
      <c r="D33" s="7" t="s">
        <v>84</v>
      </c>
    </row>
    <row r="34" customFormat="false" ht="15" hidden="false" customHeight="false" outlineLevel="0" collapsed="false">
      <c r="A34" s="7" t="s">
        <v>85</v>
      </c>
      <c r="B34" s="8" t="n">
        <v>4000</v>
      </c>
      <c r="C34" s="7" t="s">
        <v>86</v>
      </c>
      <c r="D34" s="7" t="s">
        <v>87</v>
      </c>
    </row>
    <row r="35" customFormat="false" ht="15" hidden="false" customHeight="false" outlineLevel="0" collapsed="false">
      <c r="A35" s="5" t="s">
        <v>88</v>
      </c>
      <c r="B35" s="6"/>
      <c r="C35" s="6"/>
      <c r="D35" s="6"/>
    </row>
    <row r="36" customFormat="false" ht="15" hidden="false" customHeight="false" outlineLevel="0" collapsed="false">
      <c r="A36" s="7" t="s">
        <v>89</v>
      </c>
      <c r="B36" s="8" t="n">
        <v>40</v>
      </c>
      <c r="C36" s="7" t="s">
        <v>90</v>
      </c>
      <c r="D36" s="7" t="s">
        <v>33</v>
      </c>
    </row>
    <row r="37" customFormat="false" ht="15" hidden="false" customHeight="false" outlineLevel="0" collapsed="false">
      <c r="A37" s="7" t="s">
        <v>91</v>
      </c>
      <c r="B37" s="8" t="n">
        <v>60</v>
      </c>
      <c r="C37" s="7" t="s">
        <v>90</v>
      </c>
      <c r="D37" s="7" t="s">
        <v>33</v>
      </c>
    </row>
    <row r="38" customFormat="false" ht="15" hidden="false" customHeight="false" outlineLevel="0" collapsed="false">
      <c r="A38" s="7" t="s">
        <v>92</v>
      </c>
      <c r="B38" s="9" t="n">
        <v>1</v>
      </c>
      <c r="C38" s="7" t="s">
        <v>93</v>
      </c>
      <c r="D38" s="7" t="s">
        <v>94</v>
      </c>
    </row>
    <row r="39" customFormat="false" ht="15" hidden="false" customHeight="false" outlineLevel="0" collapsed="false">
      <c r="A39" s="7" t="s">
        <v>95</v>
      </c>
      <c r="B39" s="8" t="n">
        <v>24</v>
      </c>
      <c r="C39" s="7" t="s">
        <v>96</v>
      </c>
      <c r="D39" s="7" t="s">
        <v>33</v>
      </c>
    </row>
    <row r="40" customFormat="false" ht="15" hidden="false" customHeight="false" outlineLevel="0" collapsed="false">
      <c r="A40" s="7" t="s">
        <v>97</v>
      </c>
      <c r="B40" s="8" t="n">
        <v>16</v>
      </c>
      <c r="C40" s="7" t="s">
        <v>96</v>
      </c>
      <c r="D40" s="7" t="s">
        <v>33</v>
      </c>
    </row>
    <row r="41" customFormat="false" ht="15" hidden="false" customHeight="false" outlineLevel="0" collapsed="false">
      <c r="A41" s="5" t="s">
        <v>98</v>
      </c>
      <c r="B41" s="6"/>
      <c r="C41" s="6"/>
      <c r="D41" s="6"/>
    </row>
    <row r="42" customFormat="false" ht="15" hidden="false" customHeight="false" outlineLevel="0" collapsed="false">
      <c r="A42" s="7" t="s">
        <v>99</v>
      </c>
      <c r="B42" s="8" t="s">
        <v>100</v>
      </c>
      <c r="C42" s="7"/>
      <c r="D42" s="7" t="s">
        <v>101</v>
      </c>
    </row>
    <row r="43" customFormat="false" ht="15" hidden="false" customHeight="false" outlineLevel="0" collapsed="false">
      <c r="A43" s="7" t="s">
        <v>102</v>
      </c>
      <c r="B43" s="8" t="n">
        <v>2</v>
      </c>
      <c r="C43" s="7" t="s">
        <v>70</v>
      </c>
      <c r="D43" s="7" t="s">
        <v>103</v>
      </c>
    </row>
    <row r="44" customFormat="false" ht="15" hidden="false" customHeight="false" outlineLevel="0" collapsed="false">
      <c r="A44" s="7" t="s">
        <v>104</v>
      </c>
      <c r="B44" s="8" t="n">
        <v>3</v>
      </c>
      <c r="C44" s="7" t="s">
        <v>70</v>
      </c>
      <c r="D44" s="7" t="s">
        <v>105</v>
      </c>
    </row>
    <row r="45" customFormat="false" ht="15" hidden="false" customHeight="false" outlineLevel="0" collapsed="false">
      <c r="A45" s="7" t="s">
        <v>106</v>
      </c>
      <c r="B45" s="10" t="n">
        <v>0.8</v>
      </c>
      <c r="C45" s="7" t="s">
        <v>79</v>
      </c>
      <c r="D45" s="7" t="s">
        <v>107</v>
      </c>
    </row>
    <row r="46" customFormat="false" ht="15" hidden="false" customHeight="false" outlineLevel="0" collapsed="false">
      <c r="A46" s="7" t="s">
        <v>108</v>
      </c>
      <c r="B46" s="10" t="n">
        <v>0.15</v>
      </c>
      <c r="C46" s="7" t="s">
        <v>79</v>
      </c>
      <c r="D46" s="7"/>
    </row>
    <row r="47" customFormat="false" ht="15" hidden="false" customHeight="false" outlineLevel="0" collapsed="false">
      <c r="A47" s="7" t="s">
        <v>109</v>
      </c>
      <c r="B47" s="10" t="n">
        <v>0.05</v>
      </c>
      <c r="C47" s="7" t="s">
        <v>79</v>
      </c>
      <c r="D47" s="7"/>
    </row>
    <row r="48" customFormat="false" ht="15" hidden="false" customHeight="false" outlineLevel="0" collapsed="false">
      <c r="A48" s="5" t="s">
        <v>110</v>
      </c>
      <c r="B48" s="6"/>
      <c r="C48" s="6"/>
      <c r="D48" s="6"/>
    </row>
    <row r="49" customFormat="false" ht="15" hidden="false" customHeight="false" outlineLevel="0" collapsed="false">
      <c r="A49" s="7" t="s">
        <v>111</v>
      </c>
      <c r="B49" s="8" t="n">
        <v>1000</v>
      </c>
      <c r="C49" s="7" t="s">
        <v>112</v>
      </c>
      <c r="D49" s="7" t="s">
        <v>113</v>
      </c>
    </row>
    <row r="50" customFormat="false" ht="15" hidden="false" customHeight="false" outlineLevel="0" collapsed="false">
      <c r="A50" s="7" t="s">
        <v>114</v>
      </c>
      <c r="B50" s="10" t="n">
        <v>0.75</v>
      </c>
      <c r="C50" s="7" t="s">
        <v>79</v>
      </c>
      <c r="D50" s="7" t="s">
        <v>115</v>
      </c>
    </row>
    <row r="51" customFormat="false" ht="15" hidden="false" customHeight="false" outlineLevel="0" collapsed="false">
      <c r="A51" s="7" t="s">
        <v>116</v>
      </c>
      <c r="B51" s="8" t="n">
        <v>2</v>
      </c>
      <c r="C51" s="7" t="s">
        <v>117</v>
      </c>
      <c r="D51" s="7" t="s">
        <v>118</v>
      </c>
    </row>
    <row r="52" customFormat="false" ht="15" hidden="false" customHeight="false" outlineLevel="0" collapsed="false">
      <c r="A52" s="7" t="s">
        <v>119</v>
      </c>
      <c r="B52" s="8" t="n">
        <v>240</v>
      </c>
      <c r="C52" s="7" t="s">
        <v>64</v>
      </c>
      <c r="D52" s="7" t="s">
        <v>120</v>
      </c>
    </row>
    <row r="54" customFormat="false" ht="15" hidden="false" customHeight="false" outlineLevel="0" collapsed="false">
      <c r="A54" s="11" t="s">
        <v>121</v>
      </c>
    </row>
    <row r="55" customFormat="false" ht="15" hidden="false" customHeight="false" outlineLevel="0" collapsed="false">
      <c r="A55" s="4" t="s">
        <v>122</v>
      </c>
      <c r="B55" s="4" t="s">
        <v>123</v>
      </c>
      <c r="C55" s="4"/>
      <c r="D55" s="4" t="s">
        <v>124</v>
      </c>
    </row>
    <row r="56" customFormat="false" ht="15" hidden="false" customHeight="false" outlineLevel="0" collapsed="false">
      <c r="A56" s="7" t="n">
        <v>1</v>
      </c>
      <c r="B56" s="8" t="n">
        <v>2</v>
      </c>
      <c r="D56" s="7" t="s">
        <v>125</v>
      </c>
    </row>
    <row r="57" customFormat="false" ht="15" hidden="false" customHeight="false" outlineLevel="0" collapsed="false">
      <c r="A57" s="7" t="n">
        <v>2</v>
      </c>
      <c r="B57" s="8" t="n">
        <v>2</v>
      </c>
    </row>
    <row r="58" customFormat="false" ht="15" hidden="false" customHeight="false" outlineLevel="0" collapsed="false">
      <c r="A58" s="7" t="n">
        <v>3</v>
      </c>
      <c r="B58" s="8" t="n">
        <v>1</v>
      </c>
    </row>
    <row r="59" customFormat="false" ht="15" hidden="false" customHeight="false" outlineLevel="0" collapsed="false">
      <c r="A59" s="7" t="n">
        <v>4</v>
      </c>
      <c r="B59" s="8" t="n">
        <v>1</v>
      </c>
    </row>
    <row r="60" customFormat="false" ht="15" hidden="false" customHeight="false" outlineLevel="0" collapsed="false">
      <c r="A60" s="7" t="n">
        <v>5</v>
      </c>
      <c r="B60" s="8" t="n">
        <v>1</v>
      </c>
    </row>
    <row r="61" customFormat="false" ht="15" hidden="false" customHeight="false" outlineLevel="0" collapsed="false">
      <c r="A61" s="7" t="n">
        <v>6</v>
      </c>
      <c r="B61" s="8" t="n">
        <v>0.4</v>
      </c>
      <c r="D61" s="7" t="s">
        <v>126</v>
      </c>
    </row>
    <row r="62" customFormat="false" ht="15" hidden="false" customHeight="false" outlineLevel="0" collapsed="false">
      <c r="A62" s="7" t="n">
        <v>7</v>
      </c>
      <c r="B62" s="8" t="n">
        <v>0.4</v>
      </c>
    </row>
    <row r="63" customFormat="false" ht="15" hidden="false" customHeight="false" outlineLevel="0" collapsed="false">
      <c r="A63" s="7" t="n">
        <v>8</v>
      </c>
      <c r="B63" s="8" t="n">
        <v>0.4</v>
      </c>
    </row>
    <row r="64" customFormat="false" ht="15" hidden="false" customHeight="false" outlineLevel="0" collapsed="false">
      <c r="A64" s="7" t="n">
        <v>9</v>
      </c>
      <c r="B64" s="8" t="n">
        <v>0.4</v>
      </c>
    </row>
    <row r="65" customFormat="false" ht="15" hidden="false" customHeight="false" outlineLevel="0" collapsed="false">
      <c r="A65" s="7" t="n">
        <v>10</v>
      </c>
      <c r="B65" s="8" t="n">
        <v>0.4</v>
      </c>
    </row>
    <row r="66" customFormat="false" ht="15" hidden="false" customHeight="false" outlineLevel="0" collapsed="false">
      <c r="A66" s="7" t="n">
        <v>11</v>
      </c>
      <c r="B66" s="8" t="n">
        <v>0</v>
      </c>
    </row>
    <row r="67" customFormat="false" ht="15" hidden="false" customHeight="false" outlineLevel="0" collapsed="false">
      <c r="A67" s="7" t="n">
        <v>12</v>
      </c>
      <c r="B67" s="8" t="n">
        <v>0</v>
      </c>
    </row>
    <row r="68" customFormat="false" ht="15" hidden="false" customHeight="false" outlineLevel="0" collapsed="false">
      <c r="A68" s="7" t="n">
        <v>13</v>
      </c>
      <c r="B68" s="8" t="n">
        <v>0</v>
      </c>
    </row>
    <row r="69" customFormat="false" ht="15" hidden="false" customHeight="false" outlineLevel="0" collapsed="false">
      <c r="A69" s="7" t="n">
        <v>14</v>
      </c>
      <c r="B69" s="8" t="n">
        <v>0</v>
      </c>
    </row>
    <row r="70" customFormat="false" ht="15" hidden="false" customHeight="false" outlineLevel="0" collapsed="false">
      <c r="A70" s="7" t="n">
        <v>15</v>
      </c>
      <c r="B70" s="8" t="n">
        <v>0</v>
      </c>
    </row>
    <row r="71" customFormat="false" ht="15" hidden="false" customHeight="false" outlineLevel="0" collapsed="false">
      <c r="A71" s="7" t="n">
        <v>16</v>
      </c>
      <c r="B71" s="8" t="n">
        <v>0</v>
      </c>
    </row>
    <row r="72" customFormat="false" ht="15" hidden="false" customHeight="false" outlineLevel="0" collapsed="false">
      <c r="A72" s="7" t="n">
        <v>17</v>
      </c>
      <c r="B72" s="8" t="n">
        <v>0</v>
      </c>
    </row>
    <row r="73" customFormat="false" ht="15" hidden="false" customHeight="false" outlineLevel="0" collapsed="false">
      <c r="A73" s="7" t="n">
        <v>18</v>
      </c>
      <c r="B73" s="8" t="n">
        <v>0</v>
      </c>
    </row>
    <row r="74" customFormat="false" ht="15" hidden="false" customHeight="false" outlineLevel="0" collapsed="false">
      <c r="A74" s="7" t="n">
        <v>19</v>
      </c>
      <c r="B74" s="8" t="n">
        <v>0</v>
      </c>
    </row>
    <row r="75" customFormat="false" ht="15" hidden="false" customHeight="false" outlineLevel="0" collapsed="false">
      <c r="A75" s="7" t="n">
        <v>20</v>
      </c>
      <c r="B75" s="8" t="n">
        <v>0</v>
      </c>
    </row>
  </sheetData>
  <dataValidations count="3">
    <dataValidation allowBlank="false" errorStyle="stop" operator="between" showDropDown="false" showErrorMessage="false" showInputMessage="false" sqref="B15" type="list">
      <formula1>"Shuttle,Chain"</formula1>
      <formula2>0</formula2>
    </dataValidation>
    <dataValidation allowBlank="false" errorStyle="stop" operator="between" showDropDown="false" showErrorMessage="false" showInputMessage="false" sqref="B30" type="list">
      <formula1>"Equispaced,End"</formula1>
      <formula2>0</formula2>
    </dataValidation>
    <dataValidation allowBlank="false" errorStyle="stop" operator="between" showDropDown="false" showErrorMessage="false" showInputMessage="false" sqref="B42" type="list">
      <formula1>"ABC,Uniform"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10" min="7" style="0" width="14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127</v>
      </c>
    </row>
    <row r="3" customFormat="false" ht="42" hidden="false" customHeight="true" outlineLevel="0" collapsed="false">
      <c r="A3" s="4" t="s">
        <v>122</v>
      </c>
      <c r="B3" s="4" t="s">
        <v>128</v>
      </c>
      <c r="C3" s="4" t="s">
        <v>129</v>
      </c>
      <c r="D3" s="4" t="s">
        <v>130</v>
      </c>
      <c r="E3" s="4" t="s">
        <v>131</v>
      </c>
      <c r="F3" s="4" t="s">
        <v>132</v>
      </c>
      <c r="G3" s="4" t="s">
        <v>133</v>
      </c>
      <c r="H3" s="4" t="s">
        <v>134</v>
      </c>
      <c r="I3" s="4" t="s">
        <v>135</v>
      </c>
      <c r="J3" s="4" t="s">
        <v>136</v>
      </c>
      <c r="K3" s="4" t="s">
        <v>137</v>
      </c>
      <c r="L3" s="4" t="s">
        <v>123</v>
      </c>
      <c r="M3" s="4" t="s">
        <v>138</v>
      </c>
      <c r="N3" s="4" t="s">
        <v>139</v>
      </c>
    </row>
    <row r="4" customFormat="false" ht="15" hidden="false" customHeight="false" outlineLevel="0" collapsed="false">
      <c r="A4" s="12" t="n">
        <v>1</v>
      </c>
      <c r="B4" s="12" t="n">
        <f aca="false">IF(A4&lt;=N_T,1,0)</f>
        <v>1</v>
      </c>
      <c r="C4" s="13" t="n">
        <f aca="false">IF(B4=1,(A4-1)*u_h,0)</f>
        <v>0</v>
      </c>
      <c r="D4" s="14" t="n">
        <f aca="false">IF(B4=1,1/N_T,0)</f>
        <v>0.1</v>
      </c>
      <c r="E4" s="14" t="n">
        <f aca="false">IF(B4=0,0,IF(A4&lt;=nA,shareA/nA,IF(A4&lt;=nA+nB,shareB/nB,IF(N_T-nA-nB&gt;0,shareC/(N_T-nA-nB),0))))</f>
        <v>0.4</v>
      </c>
      <c r="F4" s="14" t="n">
        <f aca="false">IF(dist_mode="ABC",E4,D4)</f>
        <v>0.4</v>
      </c>
      <c r="G4" s="15" t="n">
        <f aca="false">IF((C4)&lt;=0,0,IF((C4)&gt;=v_lift^2/a_lift,(C4)/v_lift+v_lift/a_lift,2*SQRT((C4)/a_lift)))</f>
        <v>0</v>
      </c>
      <c r="H4" s="15" t="n">
        <f aca="false">IF(AND(A4&gt;=2,B4=1),t_ch+t_I+2*G4+2*t_pos,0)</f>
        <v>0</v>
      </c>
      <c r="I4" s="14" t="n">
        <f aca="false">IF(AND(A4&gt;=2,B4=1),D4/(1-$D$4),0)</f>
        <v>0</v>
      </c>
      <c r="J4" s="14" t="n">
        <f aca="false">IF(AND(A4&gt;=2,B4=1),E4/(1-$E$4),0)</f>
        <v>0</v>
      </c>
      <c r="K4" s="15" t="n">
        <f aca="false">lam_total*F4</f>
        <v>40</v>
      </c>
      <c r="L4" s="15" t="n">
        <f aca="false">Inputs!B56</f>
        <v>2</v>
      </c>
      <c r="M4" s="14" t="n">
        <f aca="false">IF(AND(B4=1,L4&gt;0),K4*Tcyc_sh/3600/L4,"")</f>
        <v>0.45382050365732</v>
      </c>
      <c r="N4" s="12" t="str">
        <f aca="false">IF(M4="","",IF(M4&lt;=rho_max,"OK","CHECK"))</f>
        <v>OK</v>
      </c>
    </row>
    <row r="5" customFormat="false" ht="15" hidden="false" customHeight="false" outlineLevel="0" collapsed="false">
      <c r="A5" s="12" t="n">
        <v>2</v>
      </c>
      <c r="B5" s="12" t="n">
        <f aca="false">IF(A5&lt;=N_T,1,0)</f>
        <v>1</v>
      </c>
      <c r="C5" s="13" t="n">
        <f aca="false">IF(B5=1,(A5-1)*u_h,0)</f>
        <v>1.85</v>
      </c>
      <c r="D5" s="14" t="n">
        <f aca="false">IF(B5=1,1/N_T,0)</f>
        <v>0.1</v>
      </c>
      <c r="E5" s="14" t="n">
        <f aca="false">IF(B5=0,0,IF(A5&lt;=nA,shareA/nA,IF(A5&lt;=nA+nB,shareB/nB,IF(N_T-nA-nB&gt;0,shareC/(N_T-nA-nB),0))))</f>
        <v>0.4</v>
      </c>
      <c r="F5" s="14" t="n">
        <f aca="false">IF(dist_mode="ABC",E5,D5)</f>
        <v>0.4</v>
      </c>
      <c r="G5" s="15" t="n">
        <f aca="false">IF((C5)&lt;=0,0,IF((C5)&gt;=v_lift^2/a_lift,(C5)/v_lift+v_lift/a_lift,2*SQRT((C5)/a_lift)))</f>
        <v>3.27857142857143</v>
      </c>
      <c r="H5" s="15" t="n">
        <f aca="false">IF(AND(A5&gt;=2,B5=1),t_ch+t_I+2*G5+2*t_pos,0)</f>
        <v>40.5571428571429</v>
      </c>
      <c r="I5" s="14" t="n">
        <f aca="false">IF(AND(A5&gt;=2,B5=1),D5/(1-$D$4),0)</f>
        <v>0.111111111111111</v>
      </c>
      <c r="J5" s="14" t="n">
        <f aca="false">IF(AND(A5&gt;=2,B5=1),E5/(1-$E$4),0)</f>
        <v>0.666666666666667</v>
      </c>
      <c r="K5" s="15" t="n">
        <f aca="false">lam_total*F5</f>
        <v>40</v>
      </c>
      <c r="L5" s="15" t="n">
        <f aca="false">Inputs!B57</f>
        <v>2</v>
      </c>
      <c r="M5" s="14" t="n">
        <f aca="false">IF(AND(B5=1,L5&gt;0),K5*Tcyc_sh/3600/L5,"")</f>
        <v>0.45382050365732</v>
      </c>
      <c r="N5" s="12" t="str">
        <f aca="false">IF(M5="","",IF(M5&lt;=rho_max,"OK","CHECK"))</f>
        <v>OK</v>
      </c>
    </row>
    <row r="6" customFormat="false" ht="15" hidden="false" customHeight="false" outlineLevel="0" collapsed="false">
      <c r="A6" s="12" t="n">
        <v>3</v>
      </c>
      <c r="B6" s="12" t="n">
        <f aca="false">IF(A6&lt;=N_T,1,0)</f>
        <v>1</v>
      </c>
      <c r="C6" s="13" t="n">
        <f aca="false">IF(B6=1,(A6-1)*u_h,0)</f>
        <v>3.7</v>
      </c>
      <c r="D6" s="14" t="n">
        <f aca="false">IF(B6=1,1/N_T,0)</f>
        <v>0.1</v>
      </c>
      <c r="E6" s="14" t="n">
        <f aca="false">IF(B6=0,0,IF(A6&lt;=nA,shareA/nA,IF(A6&lt;=nA+nB,shareB/nB,IF(N_T-nA-nB&gt;0,shareC/(N_T-nA-nB),0))))</f>
        <v>0.05</v>
      </c>
      <c r="F6" s="14" t="n">
        <f aca="false">IF(dist_mode="ABC",E6,D6)</f>
        <v>0.05</v>
      </c>
      <c r="G6" s="15" t="n">
        <f aca="false">IF((C6)&lt;=0,0,IF((C6)&gt;=v_lift^2/a_lift,(C6)/v_lift+v_lift/a_lift,2*SQRT((C6)/a_lift)))</f>
        <v>5.12857142857143</v>
      </c>
      <c r="H6" s="15" t="n">
        <f aca="false">IF(AND(A6&gt;=2,B6=1),t_ch+t_I+2*G6+2*t_pos,0)</f>
        <v>44.2571428571429</v>
      </c>
      <c r="I6" s="14" t="n">
        <f aca="false">IF(AND(A6&gt;=2,B6=1),D6/(1-$D$4),0)</f>
        <v>0.111111111111111</v>
      </c>
      <c r="J6" s="14" t="n">
        <f aca="false">IF(AND(A6&gt;=2,B6=1),E6/(1-$E$4),0)</f>
        <v>0.0833333333333333</v>
      </c>
      <c r="K6" s="15" t="n">
        <f aca="false">lam_total*F6</f>
        <v>5</v>
      </c>
      <c r="L6" s="15" t="n">
        <f aca="false">Inputs!B58</f>
        <v>1</v>
      </c>
      <c r="M6" s="14" t="n">
        <f aca="false">IF(AND(B6=1,L6&gt;0),K6*Tcyc_sh/3600/L6,"")</f>
        <v>0.11345512591433</v>
      </c>
      <c r="N6" s="12" t="str">
        <f aca="false">IF(M6="","",IF(M6&lt;=rho_max,"OK","CHECK"))</f>
        <v>OK</v>
      </c>
    </row>
    <row r="7" customFormat="false" ht="15" hidden="false" customHeight="false" outlineLevel="0" collapsed="false">
      <c r="A7" s="12" t="n">
        <v>4</v>
      </c>
      <c r="B7" s="12" t="n">
        <f aca="false">IF(A7&lt;=N_T,1,0)</f>
        <v>1</v>
      </c>
      <c r="C7" s="13" t="n">
        <f aca="false">IF(B7=1,(A7-1)*u_h,0)</f>
        <v>5.55</v>
      </c>
      <c r="D7" s="14" t="n">
        <f aca="false">IF(B7=1,1/N_T,0)</f>
        <v>0.1</v>
      </c>
      <c r="E7" s="14" t="n">
        <f aca="false">IF(B7=0,0,IF(A7&lt;=nA,shareA/nA,IF(A7&lt;=nA+nB,shareB/nB,IF(N_T-nA-nB&gt;0,shareC/(N_T-nA-nB),0))))</f>
        <v>0.05</v>
      </c>
      <c r="F7" s="14" t="n">
        <f aca="false">IF(dist_mode="ABC",E7,D7)</f>
        <v>0.05</v>
      </c>
      <c r="G7" s="15" t="n">
        <f aca="false">IF((C7)&lt;=0,0,IF((C7)&gt;=v_lift^2/a_lift,(C7)/v_lift+v_lift/a_lift,2*SQRT((C7)/a_lift)))</f>
        <v>6.97857142857143</v>
      </c>
      <c r="H7" s="15" t="n">
        <f aca="false">IF(AND(A7&gt;=2,B7=1),t_ch+t_I+2*G7+2*t_pos,0)</f>
        <v>47.9571428571429</v>
      </c>
      <c r="I7" s="14" t="n">
        <f aca="false">IF(AND(A7&gt;=2,B7=1),D7/(1-$D$4),0)</f>
        <v>0.111111111111111</v>
      </c>
      <c r="J7" s="14" t="n">
        <f aca="false">IF(AND(A7&gt;=2,B7=1),E7/(1-$E$4),0)</f>
        <v>0.0833333333333333</v>
      </c>
      <c r="K7" s="15" t="n">
        <f aca="false">lam_total*F7</f>
        <v>5</v>
      </c>
      <c r="L7" s="15" t="n">
        <f aca="false">Inputs!B59</f>
        <v>1</v>
      </c>
      <c r="M7" s="14" t="n">
        <f aca="false">IF(AND(B7=1,L7&gt;0),K7*Tcyc_sh/3600/L7,"")</f>
        <v>0.11345512591433</v>
      </c>
      <c r="N7" s="12" t="str">
        <f aca="false">IF(M7="","",IF(M7&lt;=rho_max,"OK","CHECK"))</f>
        <v>OK</v>
      </c>
    </row>
    <row r="8" customFormat="false" ht="15" hidden="false" customHeight="false" outlineLevel="0" collapsed="false">
      <c r="A8" s="12" t="n">
        <v>5</v>
      </c>
      <c r="B8" s="12" t="n">
        <f aca="false">IF(A8&lt;=N_T,1,0)</f>
        <v>1</v>
      </c>
      <c r="C8" s="13" t="n">
        <f aca="false">IF(B8=1,(A8-1)*u_h,0)</f>
        <v>7.4</v>
      </c>
      <c r="D8" s="14" t="n">
        <f aca="false">IF(B8=1,1/N_T,0)</f>
        <v>0.1</v>
      </c>
      <c r="E8" s="14" t="n">
        <f aca="false">IF(B8=0,0,IF(A8&lt;=nA,shareA/nA,IF(A8&lt;=nA+nB,shareB/nB,IF(N_T-nA-nB&gt;0,shareC/(N_T-nA-nB),0))))</f>
        <v>0.05</v>
      </c>
      <c r="F8" s="14" t="n">
        <f aca="false">IF(dist_mode="ABC",E8,D8)</f>
        <v>0.05</v>
      </c>
      <c r="G8" s="15" t="n">
        <f aca="false">IF((C8)&lt;=0,0,IF((C8)&gt;=v_lift^2/a_lift,(C8)/v_lift+v_lift/a_lift,2*SQRT((C8)/a_lift)))</f>
        <v>8.82857142857143</v>
      </c>
      <c r="H8" s="15" t="n">
        <f aca="false">IF(AND(A8&gt;=2,B8=1),t_ch+t_I+2*G8+2*t_pos,0)</f>
        <v>51.6571428571429</v>
      </c>
      <c r="I8" s="14" t="n">
        <f aca="false">IF(AND(A8&gt;=2,B8=1),D8/(1-$D$4),0)</f>
        <v>0.111111111111111</v>
      </c>
      <c r="J8" s="14" t="n">
        <f aca="false">IF(AND(A8&gt;=2,B8=1),E8/(1-$E$4),0)</f>
        <v>0.0833333333333333</v>
      </c>
      <c r="K8" s="15" t="n">
        <f aca="false">lam_total*F8</f>
        <v>5</v>
      </c>
      <c r="L8" s="15" t="n">
        <f aca="false">Inputs!B60</f>
        <v>1</v>
      </c>
      <c r="M8" s="14" t="n">
        <f aca="false">IF(AND(B8=1,L8&gt;0),K8*Tcyc_sh/3600/L8,"")</f>
        <v>0.11345512591433</v>
      </c>
      <c r="N8" s="12" t="str">
        <f aca="false">IF(M8="","",IF(M8&lt;=rho_max,"OK","CHECK"))</f>
        <v>OK</v>
      </c>
    </row>
    <row r="9" customFormat="false" ht="15" hidden="false" customHeight="false" outlineLevel="0" collapsed="false">
      <c r="A9" s="12" t="n">
        <v>6</v>
      </c>
      <c r="B9" s="12" t="n">
        <f aca="false">IF(A9&lt;=N_T,1,0)</f>
        <v>1</v>
      </c>
      <c r="C9" s="13" t="n">
        <f aca="false">IF(B9=1,(A9-1)*u_h,0)</f>
        <v>9.25</v>
      </c>
      <c r="D9" s="14" t="n">
        <f aca="false">IF(B9=1,1/N_T,0)</f>
        <v>0.1</v>
      </c>
      <c r="E9" s="14" t="n">
        <f aca="false">IF(B9=0,0,IF(A9&lt;=nA,shareA/nA,IF(A9&lt;=nA+nB,shareB/nB,IF(N_T-nA-nB&gt;0,shareC/(N_T-nA-nB),0))))</f>
        <v>0.01</v>
      </c>
      <c r="F9" s="14" t="n">
        <f aca="false">IF(dist_mode="ABC",E9,D9)</f>
        <v>0.01</v>
      </c>
      <c r="G9" s="15" t="n">
        <f aca="false">IF((C9)&lt;=0,0,IF((C9)&gt;=v_lift^2/a_lift,(C9)/v_lift+v_lift/a_lift,2*SQRT((C9)/a_lift)))</f>
        <v>10.6785714285714</v>
      </c>
      <c r="H9" s="15" t="n">
        <f aca="false">IF(AND(A9&gt;=2,B9=1),t_ch+t_I+2*G9+2*t_pos,0)</f>
        <v>55.3571428571429</v>
      </c>
      <c r="I9" s="14" t="n">
        <f aca="false">IF(AND(A9&gt;=2,B9=1),D9/(1-$D$4),0)</f>
        <v>0.111111111111111</v>
      </c>
      <c r="J9" s="14" t="n">
        <f aca="false">IF(AND(A9&gt;=2,B9=1),E9/(1-$E$4),0)</f>
        <v>0.0166666666666667</v>
      </c>
      <c r="K9" s="15" t="n">
        <f aca="false">lam_total*F9</f>
        <v>1</v>
      </c>
      <c r="L9" s="15" t="n">
        <f aca="false">Inputs!B61</f>
        <v>0.4</v>
      </c>
      <c r="M9" s="14" t="n">
        <f aca="false">IF(AND(B9=1,L9&gt;0),K9*Tcyc_sh/3600/L9,"")</f>
        <v>0.056727562957165</v>
      </c>
      <c r="N9" s="12" t="str">
        <f aca="false">IF(M9="","",IF(M9&lt;=rho_max,"OK","CHECK"))</f>
        <v>OK</v>
      </c>
    </row>
    <row r="10" customFormat="false" ht="15" hidden="false" customHeight="false" outlineLevel="0" collapsed="false">
      <c r="A10" s="12" t="n">
        <v>7</v>
      </c>
      <c r="B10" s="12" t="n">
        <f aca="false">IF(A10&lt;=N_T,1,0)</f>
        <v>1</v>
      </c>
      <c r="C10" s="13" t="n">
        <f aca="false">IF(B10=1,(A10-1)*u_h,0)</f>
        <v>11.1</v>
      </c>
      <c r="D10" s="14" t="n">
        <f aca="false">IF(B10=1,1/N_T,0)</f>
        <v>0.1</v>
      </c>
      <c r="E10" s="14" t="n">
        <f aca="false">IF(B10=0,0,IF(A10&lt;=nA,shareA/nA,IF(A10&lt;=nA+nB,shareB/nB,IF(N_T-nA-nB&gt;0,shareC/(N_T-nA-nB),0))))</f>
        <v>0.01</v>
      </c>
      <c r="F10" s="14" t="n">
        <f aca="false">IF(dist_mode="ABC",E10,D10)</f>
        <v>0.01</v>
      </c>
      <c r="G10" s="15" t="n">
        <f aca="false">IF((C10)&lt;=0,0,IF((C10)&gt;=v_lift^2/a_lift,(C10)/v_lift+v_lift/a_lift,2*SQRT((C10)/a_lift)))</f>
        <v>12.5285714285714</v>
      </c>
      <c r="H10" s="15" t="n">
        <f aca="false">IF(AND(A10&gt;=2,B10=1),t_ch+t_I+2*G10+2*t_pos,0)</f>
        <v>59.0571428571429</v>
      </c>
      <c r="I10" s="14" t="n">
        <f aca="false">IF(AND(A10&gt;=2,B10=1),D10/(1-$D$4),0)</f>
        <v>0.111111111111111</v>
      </c>
      <c r="J10" s="14" t="n">
        <f aca="false">IF(AND(A10&gt;=2,B10=1),E10/(1-$E$4),0)</f>
        <v>0.0166666666666667</v>
      </c>
      <c r="K10" s="15" t="n">
        <f aca="false">lam_total*F10</f>
        <v>1</v>
      </c>
      <c r="L10" s="15" t="n">
        <f aca="false">Inputs!B62</f>
        <v>0.4</v>
      </c>
      <c r="M10" s="14" t="n">
        <f aca="false">IF(AND(B10=1,L10&gt;0),K10*Tcyc_sh/3600/L10,"")</f>
        <v>0.056727562957165</v>
      </c>
      <c r="N10" s="12" t="str">
        <f aca="false">IF(M10="","",IF(M10&lt;=rho_max,"OK","CHECK"))</f>
        <v>OK</v>
      </c>
    </row>
    <row r="11" customFormat="false" ht="15" hidden="false" customHeight="false" outlineLevel="0" collapsed="false">
      <c r="A11" s="12" t="n">
        <v>8</v>
      </c>
      <c r="B11" s="12" t="n">
        <f aca="false">IF(A11&lt;=N_T,1,0)</f>
        <v>1</v>
      </c>
      <c r="C11" s="13" t="n">
        <f aca="false">IF(B11=1,(A11-1)*u_h,0)</f>
        <v>12.95</v>
      </c>
      <c r="D11" s="14" t="n">
        <f aca="false">IF(B11=1,1/N_T,0)</f>
        <v>0.1</v>
      </c>
      <c r="E11" s="14" t="n">
        <f aca="false">IF(B11=0,0,IF(A11&lt;=nA,shareA/nA,IF(A11&lt;=nA+nB,shareB/nB,IF(N_T-nA-nB&gt;0,shareC/(N_T-nA-nB),0))))</f>
        <v>0.01</v>
      </c>
      <c r="F11" s="14" t="n">
        <f aca="false">IF(dist_mode="ABC",E11,D11)</f>
        <v>0.01</v>
      </c>
      <c r="G11" s="15" t="n">
        <f aca="false">IF((C11)&lt;=0,0,IF((C11)&gt;=v_lift^2/a_lift,(C11)/v_lift+v_lift/a_lift,2*SQRT((C11)/a_lift)))</f>
        <v>14.3785714285714</v>
      </c>
      <c r="H11" s="15" t="n">
        <f aca="false">IF(AND(A11&gt;=2,B11=1),t_ch+t_I+2*G11+2*t_pos,0)</f>
        <v>62.7571428571429</v>
      </c>
      <c r="I11" s="14" t="n">
        <f aca="false">IF(AND(A11&gt;=2,B11=1),D11/(1-$D$4),0)</f>
        <v>0.111111111111111</v>
      </c>
      <c r="J11" s="14" t="n">
        <f aca="false">IF(AND(A11&gt;=2,B11=1),E11/(1-$E$4),0)</f>
        <v>0.0166666666666667</v>
      </c>
      <c r="K11" s="15" t="n">
        <f aca="false">lam_total*F11</f>
        <v>1</v>
      </c>
      <c r="L11" s="15" t="n">
        <f aca="false">Inputs!B63</f>
        <v>0.4</v>
      </c>
      <c r="M11" s="14" t="n">
        <f aca="false">IF(AND(B11=1,L11&gt;0),K11*Tcyc_sh/3600/L11,"")</f>
        <v>0.056727562957165</v>
      </c>
      <c r="N11" s="12" t="str">
        <f aca="false">IF(M11="","",IF(M11&lt;=rho_max,"OK","CHECK"))</f>
        <v>OK</v>
      </c>
    </row>
    <row r="12" customFormat="false" ht="15" hidden="false" customHeight="false" outlineLevel="0" collapsed="false">
      <c r="A12" s="12" t="n">
        <v>9</v>
      </c>
      <c r="B12" s="12" t="n">
        <f aca="false">IF(A12&lt;=N_T,1,0)</f>
        <v>1</v>
      </c>
      <c r="C12" s="13" t="n">
        <f aca="false">IF(B12=1,(A12-1)*u_h,0)</f>
        <v>14.8</v>
      </c>
      <c r="D12" s="14" t="n">
        <f aca="false">IF(B12=1,1/N_T,0)</f>
        <v>0.1</v>
      </c>
      <c r="E12" s="14" t="n">
        <f aca="false">IF(B12=0,0,IF(A12&lt;=nA,shareA/nA,IF(A12&lt;=nA+nB,shareB/nB,IF(N_T-nA-nB&gt;0,shareC/(N_T-nA-nB),0))))</f>
        <v>0.01</v>
      </c>
      <c r="F12" s="14" t="n">
        <f aca="false">IF(dist_mode="ABC",E12,D12)</f>
        <v>0.01</v>
      </c>
      <c r="G12" s="15" t="n">
        <f aca="false">IF((C12)&lt;=0,0,IF((C12)&gt;=v_lift^2/a_lift,(C12)/v_lift+v_lift/a_lift,2*SQRT((C12)/a_lift)))</f>
        <v>16.2285714285714</v>
      </c>
      <c r="H12" s="15" t="n">
        <f aca="false">IF(AND(A12&gt;=2,B12=1),t_ch+t_I+2*G12+2*t_pos,0)</f>
        <v>66.4571428571429</v>
      </c>
      <c r="I12" s="14" t="n">
        <f aca="false">IF(AND(A12&gt;=2,B12=1),D12/(1-$D$4),0)</f>
        <v>0.111111111111111</v>
      </c>
      <c r="J12" s="14" t="n">
        <f aca="false">IF(AND(A12&gt;=2,B12=1),E12/(1-$E$4),0)</f>
        <v>0.0166666666666667</v>
      </c>
      <c r="K12" s="15" t="n">
        <f aca="false">lam_total*F12</f>
        <v>1</v>
      </c>
      <c r="L12" s="15" t="n">
        <f aca="false">Inputs!B64</f>
        <v>0.4</v>
      </c>
      <c r="M12" s="14" t="n">
        <f aca="false">IF(AND(B12=1,L12&gt;0),K12*Tcyc_sh/3600/L12,"")</f>
        <v>0.056727562957165</v>
      </c>
      <c r="N12" s="12" t="str">
        <f aca="false">IF(M12="","",IF(M12&lt;=rho_max,"OK","CHECK"))</f>
        <v>OK</v>
      </c>
    </row>
    <row r="13" customFormat="false" ht="15" hidden="false" customHeight="false" outlineLevel="0" collapsed="false">
      <c r="A13" s="12" t="n">
        <v>10</v>
      </c>
      <c r="B13" s="12" t="n">
        <f aca="false">IF(A13&lt;=N_T,1,0)</f>
        <v>1</v>
      </c>
      <c r="C13" s="13" t="n">
        <f aca="false">IF(B13=1,(A13-1)*u_h,0)</f>
        <v>16.65</v>
      </c>
      <c r="D13" s="14" t="n">
        <f aca="false">IF(B13=1,1/N_T,0)</f>
        <v>0.1</v>
      </c>
      <c r="E13" s="14" t="n">
        <f aca="false">IF(B13=0,0,IF(A13&lt;=nA,shareA/nA,IF(A13&lt;=nA+nB,shareB/nB,IF(N_T-nA-nB&gt;0,shareC/(N_T-nA-nB),0))))</f>
        <v>0.01</v>
      </c>
      <c r="F13" s="14" t="n">
        <f aca="false">IF(dist_mode="ABC",E13,D13)</f>
        <v>0.01</v>
      </c>
      <c r="G13" s="15" t="n">
        <f aca="false">IF((C13)&lt;=0,0,IF((C13)&gt;=v_lift^2/a_lift,(C13)/v_lift+v_lift/a_lift,2*SQRT((C13)/a_lift)))</f>
        <v>18.0785714285714</v>
      </c>
      <c r="H13" s="15" t="n">
        <f aca="false">IF(AND(A13&gt;=2,B13=1),t_ch+t_I+2*G13+2*t_pos,0)</f>
        <v>70.1571428571429</v>
      </c>
      <c r="I13" s="14" t="n">
        <f aca="false">IF(AND(A13&gt;=2,B13=1),D13/(1-$D$4),0)</f>
        <v>0.111111111111111</v>
      </c>
      <c r="J13" s="14" t="n">
        <f aca="false">IF(AND(A13&gt;=2,B13=1),E13/(1-$E$4),0)</f>
        <v>0.0166666666666667</v>
      </c>
      <c r="K13" s="15" t="n">
        <f aca="false">lam_total*F13</f>
        <v>1</v>
      </c>
      <c r="L13" s="15" t="n">
        <f aca="false">Inputs!B65</f>
        <v>0.4</v>
      </c>
      <c r="M13" s="14" t="n">
        <f aca="false">IF(AND(B13=1,L13&gt;0),K13*Tcyc_sh/3600/L13,"")</f>
        <v>0.056727562957165</v>
      </c>
      <c r="N13" s="12" t="str">
        <f aca="false">IF(M13="","",IF(M13&lt;=rho_max,"OK","CHECK"))</f>
        <v>OK</v>
      </c>
    </row>
    <row r="14" customFormat="false" ht="15" hidden="false" customHeight="false" outlineLevel="0" collapsed="false">
      <c r="A14" s="12" t="n">
        <v>11</v>
      </c>
      <c r="B14" s="12" t="n">
        <f aca="false">IF(A14&lt;=N_T,1,0)</f>
        <v>0</v>
      </c>
      <c r="C14" s="13" t="n">
        <f aca="false">IF(B14=1,(A14-1)*u_h,0)</f>
        <v>0</v>
      </c>
      <c r="D14" s="14" t="n">
        <f aca="false">IF(B14=1,1/N_T,0)</f>
        <v>0</v>
      </c>
      <c r="E14" s="14" t="n">
        <f aca="false">IF(B14=0,0,IF(A14&lt;=nA,shareA/nA,IF(A14&lt;=nA+nB,shareB/nB,IF(N_T-nA-nB&gt;0,shareC/(N_T-nA-nB),0))))</f>
        <v>0</v>
      </c>
      <c r="F14" s="14" t="n">
        <f aca="false">IF(dist_mode="ABC",E14,D14)</f>
        <v>0</v>
      </c>
      <c r="G14" s="15" t="n">
        <f aca="false">IF((C14)&lt;=0,0,IF((C14)&gt;=v_lift^2/a_lift,(C14)/v_lift+v_lift/a_lift,2*SQRT((C14)/a_lift)))</f>
        <v>0</v>
      </c>
      <c r="H14" s="15" t="n">
        <f aca="false">IF(AND(A14&gt;=2,B14=1),t_ch+t_I+2*G14+2*t_pos,0)</f>
        <v>0</v>
      </c>
      <c r="I14" s="14" t="n">
        <f aca="false">IF(AND(A14&gt;=2,B14=1),D14/(1-$D$4),0)</f>
        <v>0</v>
      </c>
      <c r="J14" s="14" t="n">
        <f aca="false">IF(AND(A14&gt;=2,B14=1),E14/(1-$E$4),0)</f>
        <v>0</v>
      </c>
      <c r="K14" s="15" t="n">
        <f aca="false">lam_total*F14</f>
        <v>0</v>
      </c>
      <c r="L14" s="15" t="n">
        <f aca="false">Inputs!B66</f>
        <v>0</v>
      </c>
      <c r="M14" s="14" t="str">
        <f aca="false">IF(AND(B14=1,L14&gt;0),K14*Tcyc_sh/3600/L14,"")</f>
        <v/>
      </c>
      <c r="N14" s="12" t="str">
        <f aca="false">IF(M14="","",IF(M14&lt;=rho_max,"OK","CHECK"))</f>
        <v/>
      </c>
    </row>
    <row r="15" customFormat="false" ht="15" hidden="false" customHeight="false" outlineLevel="0" collapsed="false">
      <c r="A15" s="12" t="n">
        <v>12</v>
      </c>
      <c r="B15" s="12" t="n">
        <f aca="false">IF(A15&lt;=N_T,1,0)</f>
        <v>0</v>
      </c>
      <c r="C15" s="13" t="n">
        <f aca="false">IF(B15=1,(A15-1)*u_h,0)</f>
        <v>0</v>
      </c>
      <c r="D15" s="14" t="n">
        <f aca="false">IF(B15=1,1/N_T,0)</f>
        <v>0</v>
      </c>
      <c r="E15" s="14" t="n">
        <f aca="false">IF(B15=0,0,IF(A15&lt;=nA,shareA/nA,IF(A15&lt;=nA+nB,shareB/nB,IF(N_T-nA-nB&gt;0,shareC/(N_T-nA-nB),0))))</f>
        <v>0</v>
      </c>
      <c r="F15" s="14" t="n">
        <f aca="false">IF(dist_mode="ABC",E15,D15)</f>
        <v>0</v>
      </c>
      <c r="G15" s="15" t="n">
        <f aca="false">IF((C15)&lt;=0,0,IF((C15)&gt;=v_lift^2/a_lift,(C15)/v_lift+v_lift/a_lift,2*SQRT((C15)/a_lift)))</f>
        <v>0</v>
      </c>
      <c r="H15" s="15" t="n">
        <f aca="false">IF(AND(A15&gt;=2,B15=1),t_ch+t_I+2*G15+2*t_pos,0)</f>
        <v>0</v>
      </c>
      <c r="I15" s="14" t="n">
        <f aca="false">IF(AND(A15&gt;=2,B15=1),D15/(1-$D$4),0)</f>
        <v>0</v>
      </c>
      <c r="J15" s="14" t="n">
        <f aca="false">IF(AND(A15&gt;=2,B15=1),E15/(1-$E$4),0)</f>
        <v>0</v>
      </c>
      <c r="K15" s="15" t="n">
        <f aca="false">lam_total*F15</f>
        <v>0</v>
      </c>
      <c r="L15" s="15" t="n">
        <f aca="false">Inputs!B67</f>
        <v>0</v>
      </c>
      <c r="M15" s="14" t="str">
        <f aca="false">IF(AND(B15=1,L15&gt;0),K15*Tcyc_sh/3600/L15,"")</f>
        <v/>
      </c>
      <c r="N15" s="12" t="str">
        <f aca="false">IF(M15="","",IF(M15&lt;=rho_max,"OK","CHECK"))</f>
        <v/>
      </c>
    </row>
    <row r="16" customFormat="false" ht="15" hidden="false" customHeight="false" outlineLevel="0" collapsed="false">
      <c r="A16" s="12" t="n">
        <v>13</v>
      </c>
      <c r="B16" s="12" t="n">
        <f aca="false">IF(A16&lt;=N_T,1,0)</f>
        <v>0</v>
      </c>
      <c r="C16" s="13" t="n">
        <f aca="false">IF(B16=1,(A16-1)*u_h,0)</f>
        <v>0</v>
      </c>
      <c r="D16" s="14" t="n">
        <f aca="false">IF(B16=1,1/N_T,0)</f>
        <v>0</v>
      </c>
      <c r="E16" s="14" t="n">
        <f aca="false">IF(B16=0,0,IF(A16&lt;=nA,shareA/nA,IF(A16&lt;=nA+nB,shareB/nB,IF(N_T-nA-nB&gt;0,shareC/(N_T-nA-nB),0))))</f>
        <v>0</v>
      </c>
      <c r="F16" s="14" t="n">
        <f aca="false">IF(dist_mode="ABC",E16,D16)</f>
        <v>0</v>
      </c>
      <c r="G16" s="15" t="n">
        <f aca="false">IF((C16)&lt;=0,0,IF((C16)&gt;=v_lift^2/a_lift,(C16)/v_lift+v_lift/a_lift,2*SQRT((C16)/a_lift)))</f>
        <v>0</v>
      </c>
      <c r="H16" s="15" t="n">
        <f aca="false">IF(AND(A16&gt;=2,B16=1),t_ch+t_I+2*G16+2*t_pos,0)</f>
        <v>0</v>
      </c>
      <c r="I16" s="14" t="n">
        <f aca="false">IF(AND(A16&gt;=2,B16=1),D16/(1-$D$4),0)</f>
        <v>0</v>
      </c>
      <c r="J16" s="14" t="n">
        <f aca="false">IF(AND(A16&gt;=2,B16=1),E16/(1-$E$4),0)</f>
        <v>0</v>
      </c>
      <c r="K16" s="15" t="n">
        <f aca="false">lam_total*F16</f>
        <v>0</v>
      </c>
      <c r="L16" s="15" t="n">
        <f aca="false">Inputs!B68</f>
        <v>0</v>
      </c>
      <c r="M16" s="14" t="str">
        <f aca="false">IF(AND(B16=1,L16&gt;0),K16*Tcyc_sh/3600/L16,"")</f>
        <v/>
      </c>
      <c r="N16" s="12" t="str">
        <f aca="false">IF(M16="","",IF(M16&lt;=rho_max,"OK","CHECK"))</f>
        <v/>
      </c>
    </row>
    <row r="17" customFormat="false" ht="15" hidden="false" customHeight="false" outlineLevel="0" collapsed="false">
      <c r="A17" s="12" t="n">
        <v>14</v>
      </c>
      <c r="B17" s="12" t="n">
        <f aca="false">IF(A17&lt;=N_T,1,0)</f>
        <v>0</v>
      </c>
      <c r="C17" s="13" t="n">
        <f aca="false">IF(B17=1,(A17-1)*u_h,0)</f>
        <v>0</v>
      </c>
      <c r="D17" s="14" t="n">
        <f aca="false">IF(B17=1,1/N_T,0)</f>
        <v>0</v>
      </c>
      <c r="E17" s="14" t="n">
        <f aca="false">IF(B17=0,0,IF(A17&lt;=nA,shareA/nA,IF(A17&lt;=nA+nB,shareB/nB,IF(N_T-nA-nB&gt;0,shareC/(N_T-nA-nB),0))))</f>
        <v>0</v>
      </c>
      <c r="F17" s="14" t="n">
        <f aca="false">IF(dist_mode="ABC",E17,D17)</f>
        <v>0</v>
      </c>
      <c r="G17" s="15" t="n">
        <f aca="false">IF((C17)&lt;=0,0,IF((C17)&gt;=v_lift^2/a_lift,(C17)/v_lift+v_lift/a_lift,2*SQRT((C17)/a_lift)))</f>
        <v>0</v>
      </c>
      <c r="H17" s="15" t="n">
        <f aca="false">IF(AND(A17&gt;=2,B17=1),t_ch+t_I+2*G17+2*t_pos,0)</f>
        <v>0</v>
      </c>
      <c r="I17" s="14" t="n">
        <f aca="false">IF(AND(A17&gt;=2,B17=1),D17/(1-$D$4),0)</f>
        <v>0</v>
      </c>
      <c r="J17" s="14" t="n">
        <f aca="false">IF(AND(A17&gt;=2,B17=1),E17/(1-$E$4),0)</f>
        <v>0</v>
      </c>
      <c r="K17" s="15" t="n">
        <f aca="false">lam_total*F17</f>
        <v>0</v>
      </c>
      <c r="L17" s="15" t="n">
        <f aca="false">Inputs!B69</f>
        <v>0</v>
      </c>
      <c r="M17" s="14" t="str">
        <f aca="false">IF(AND(B17=1,L17&gt;0),K17*Tcyc_sh/3600/L17,"")</f>
        <v/>
      </c>
      <c r="N17" s="12" t="str">
        <f aca="false">IF(M17="","",IF(M17&lt;=rho_max,"OK","CHECK"))</f>
        <v/>
      </c>
    </row>
    <row r="18" customFormat="false" ht="15" hidden="false" customHeight="false" outlineLevel="0" collapsed="false">
      <c r="A18" s="12" t="n">
        <v>15</v>
      </c>
      <c r="B18" s="12" t="n">
        <f aca="false">IF(A18&lt;=N_T,1,0)</f>
        <v>0</v>
      </c>
      <c r="C18" s="13" t="n">
        <f aca="false">IF(B18=1,(A18-1)*u_h,0)</f>
        <v>0</v>
      </c>
      <c r="D18" s="14" t="n">
        <f aca="false">IF(B18=1,1/N_T,0)</f>
        <v>0</v>
      </c>
      <c r="E18" s="14" t="n">
        <f aca="false">IF(B18=0,0,IF(A18&lt;=nA,shareA/nA,IF(A18&lt;=nA+nB,shareB/nB,IF(N_T-nA-nB&gt;0,shareC/(N_T-nA-nB),0))))</f>
        <v>0</v>
      </c>
      <c r="F18" s="14" t="n">
        <f aca="false">IF(dist_mode="ABC",E18,D18)</f>
        <v>0</v>
      </c>
      <c r="G18" s="15" t="n">
        <f aca="false">IF((C18)&lt;=0,0,IF((C18)&gt;=v_lift^2/a_lift,(C18)/v_lift+v_lift/a_lift,2*SQRT((C18)/a_lift)))</f>
        <v>0</v>
      </c>
      <c r="H18" s="15" t="n">
        <f aca="false">IF(AND(A18&gt;=2,B18=1),t_ch+t_I+2*G18+2*t_pos,0)</f>
        <v>0</v>
      </c>
      <c r="I18" s="14" t="n">
        <f aca="false">IF(AND(A18&gt;=2,B18=1),D18/(1-$D$4),0)</f>
        <v>0</v>
      </c>
      <c r="J18" s="14" t="n">
        <f aca="false">IF(AND(A18&gt;=2,B18=1),E18/(1-$E$4),0)</f>
        <v>0</v>
      </c>
      <c r="K18" s="15" t="n">
        <f aca="false">lam_total*F18</f>
        <v>0</v>
      </c>
      <c r="L18" s="15" t="n">
        <f aca="false">Inputs!B70</f>
        <v>0</v>
      </c>
      <c r="M18" s="14" t="str">
        <f aca="false">IF(AND(B18=1,L18&gt;0),K18*Tcyc_sh/3600/L18,"")</f>
        <v/>
      </c>
      <c r="N18" s="12" t="str">
        <f aca="false">IF(M18="","",IF(M18&lt;=rho_max,"OK","CHECK"))</f>
        <v/>
      </c>
    </row>
    <row r="19" customFormat="false" ht="15" hidden="false" customHeight="false" outlineLevel="0" collapsed="false">
      <c r="A19" s="12" t="n">
        <v>16</v>
      </c>
      <c r="B19" s="12" t="n">
        <f aca="false">IF(A19&lt;=N_T,1,0)</f>
        <v>0</v>
      </c>
      <c r="C19" s="13" t="n">
        <f aca="false">IF(B19=1,(A19-1)*u_h,0)</f>
        <v>0</v>
      </c>
      <c r="D19" s="14" t="n">
        <f aca="false">IF(B19=1,1/N_T,0)</f>
        <v>0</v>
      </c>
      <c r="E19" s="14" t="n">
        <f aca="false">IF(B19=0,0,IF(A19&lt;=nA,shareA/nA,IF(A19&lt;=nA+nB,shareB/nB,IF(N_T-nA-nB&gt;0,shareC/(N_T-nA-nB),0))))</f>
        <v>0</v>
      </c>
      <c r="F19" s="14" t="n">
        <f aca="false">IF(dist_mode="ABC",E19,D19)</f>
        <v>0</v>
      </c>
      <c r="G19" s="15" t="n">
        <f aca="false">IF((C19)&lt;=0,0,IF((C19)&gt;=v_lift^2/a_lift,(C19)/v_lift+v_lift/a_lift,2*SQRT((C19)/a_lift)))</f>
        <v>0</v>
      </c>
      <c r="H19" s="15" t="n">
        <f aca="false">IF(AND(A19&gt;=2,B19=1),t_ch+t_I+2*G19+2*t_pos,0)</f>
        <v>0</v>
      </c>
      <c r="I19" s="14" t="n">
        <f aca="false">IF(AND(A19&gt;=2,B19=1),D19/(1-$D$4),0)</f>
        <v>0</v>
      </c>
      <c r="J19" s="14" t="n">
        <f aca="false">IF(AND(A19&gt;=2,B19=1),E19/(1-$E$4),0)</f>
        <v>0</v>
      </c>
      <c r="K19" s="15" t="n">
        <f aca="false">lam_total*F19</f>
        <v>0</v>
      </c>
      <c r="L19" s="15" t="n">
        <f aca="false">Inputs!B71</f>
        <v>0</v>
      </c>
      <c r="M19" s="14" t="str">
        <f aca="false">IF(AND(B19=1,L19&gt;0),K19*Tcyc_sh/3600/L19,"")</f>
        <v/>
      </c>
      <c r="N19" s="12" t="str">
        <f aca="false">IF(M19="","",IF(M19&lt;=rho_max,"OK","CHECK"))</f>
        <v/>
      </c>
    </row>
    <row r="20" customFormat="false" ht="15" hidden="false" customHeight="false" outlineLevel="0" collapsed="false">
      <c r="A20" s="12" t="n">
        <v>17</v>
      </c>
      <c r="B20" s="12" t="n">
        <f aca="false">IF(A20&lt;=N_T,1,0)</f>
        <v>0</v>
      </c>
      <c r="C20" s="13" t="n">
        <f aca="false">IF(B20=1,(A20-1)*u_h,0)</f>
        <v>0</v>
      </c>
      <c r="D20" s="14" t="n">
        <f aca="false">IF(B20=1,1/N_T,0)</f>
        <v>0</v>
      </c>
      <c r="E20" s="14" t="n">
        <f aca="false">IF(B20=0,0,IF(A20&lt;=nA,shareA/nA,IF(A20&lt;=nA+nB,shareB/nB,IF(N_T-nA-nB&gt;0,shareC/(N_T-nA-nB),0))))</f>
        <v>0</v>
      </c>
      <c r="F20" s="14" t="n">
        <f aca="false">IF(dist_mode="ABC",E20,D20)</f>
        <v>0</v>
      </c>
      <c r="G20" s="15" t="n">
        <f aca="false">IF((C20)&lt;=0,0,IF((C20)&gt;=v_lift^2/a_lift,(C20)/v_lift+v_lift/a_lift,2*SQRT((C20)/a_lift)))</f>
        <v>0</v>
      </c>
      <c r="H20" s="15" t="n">
        <f aca="false">IF(AND(A20&gt;=2,B20=1),t_ch+t_I+2*G20+2*t_pos,0)</f>
        <v>0</v>
      </c>
      <c r="I20" s="14" t="n">
        <f aca="false">IF(AND(A20&gt;=2,B20=1),D20/(1-$D$4),0)</f>
        <v>0</v>
      </c>
      <c r="J20" s="14" t="n">
        <f aca="false">IF(AND(A20&gt;=2,B20=1),E20/(1-$E$4),0)</f>
        <v>0</v>
      </c>
      <c r="K20" s="15" t="n">
        <f aca="false">lam_total*F20</f>
        <v>0</v>
      </c>
      <c r="L20" s="15" t="n">
        <f aca="false">Inputs!B72</f>
        <v>0</v>
      </c>
      <c r="M20" s="14" t="str">
        <f aca="false">IF(AND(B20=1,L20&gt;0),K20*Tcyc_sh/3600/L20,"")</f>
        <v/>
      </c>
      <c r="N20" s="12" t="str">
        <f aca="false">IF(M20="","",IF(M20&lt;=rho_max,"OK","CHECK"))</f>
        <v/>
      </c>
    </row>
    <row r="21" customFormat="false" ht="15" hidden="false" customHeight="false" outlineLevel="0" collapsed="false">
      <c r="A21" s="12" t="n">
        <v>18</v>
      </c>
      <c r="B21" s="12" t="n">
        <f aca="false">IF(A21&lt;=N_T,1,0)</f>
        <v>0</v>
      </c>
      <c r="C21" s="13" t="n">
        <f aca="false">IF(B21=1,(A21-1)*u_h,0)</f>
        <v>0</v>
      </c>
      <c r="D21" s="14" t="n">
        <f aca="false">IF(B21=1,1/N_T,0)</f>
        <v>0</v>
      </c>
      <c r="E21" s="14" t="n">
        <f aca="false">IF(B21=0,0,IF(A21&lt;=nA,shareA/nA,IF(A21&lt;=nA+nB,shareB/nB,IF(N_T-nA-nB&gt;0,shareC/(N_T-nA-nB),0))))</f>
        <v>0</v>
      </c>
      <c r="F21" s="14" t="n">
        <f aca="false">IF(dist_mode="ABC",E21,D21)</f>
        <v>0</v>
      </c>
      <c r="G21" s="15" t="n">
        <f aca="false">IF((C21)&lt;=0,0,IF((C21)&gt;=v_lift^2/a_lift,(C21)/v_lift+v_lift/a_lift,2*SQRT((C21)/a_lift)))</f>
        <v>0</v>
      </c>
      <c r="H21" s="15" t="n">
        <f aca="false">IF(AND(A21&gt;=2,B21=1),t_ch+t_I+2*G21+2*t_pos,0)</f>
        <v>0</v>
      </c>
      <c r="I21" s="14" t="n">
        <f aca="false">IF(AND(A21&gt;=2,B21=1),D21/(1-$D$4),0)</f>
        <v>0</v>
      </c>
      <c r="J21" s="14" t="n">
        <f aca="false">IF(AND(A21&gt;=2,B21=1),E21/(1-$E$4),0)</f>
        <v>0</v>
      </c>
      <c r="K21" s="15" t="n">
        <f aca="false">lam_total*F21</f>
        <v>0</v>
      </c>
      <c r="L21" s="15" t="n">
        <f aca="false">Inputs!B73</f>
        <v>0</v>
      </c>
      <c r="M21" s="14" t="str">
        <f aca="false">IF(AND(B21=1,L21&gt;0),K21*Tcyc_sh/3600/L21,"")</f>
        <v/>
      </c>
      <c r="N21" s="12" t="str">
        <f aca="false">IF(M21="","",IF(M21&lt;=rho_max,"OK","CHECK"))</f>
        <v/>
      </c>
    </row>
    <row r="22" customFormat="false" ht="15" hidden="false" customHeight="false" outlineLevel="0" collapsed="false">
      <c r="A22" s="12" t="n">
        <v>19</v>
      </c>
      <c r="B22" s="12" t="n">
        <f aca="false">IF(A22&lt;=N_T,1,0)</f>
        <v>0</v>
      </c>
      <c r="C22" s="13" t="n">
        <f aca="false">IF(B22=1,(A22-1)*u_h,0)</f>
        <v>0</v>
      </c>
      <c r="D22" s="14" t="n">
        <f aca="false">IF(B22=1,1/N_T,0)</f>
        <v>0</v>
      </c>
      <c r="E22" s="14" t="n">
        <f aca="false">IF(B22=0,0,IF(A22&lt;=nA,shareA/nA,IF(A22&lt;=nA+nB,shareB/nB,IF(N_T-nA-nB&gt;0,shareC/(N_T-nA-nB),0))))</f>
        <v>0</v>
      </c>
      <c r="F22" s="14" t="n">
        <f aca="false">IF(dist_mode="ABC",E22,D22)</f>
        <v>0</v>
      </c>
      <c r="G22" s="15" t="n">
        <f aca="false">IF((C22)&lt;=0,0,IF((C22)&gt;=v_lift^2/a_lift,(C22)/v_lift+v_lift/a_lift,2*SQRT((C22)/a_lift)))</f>
        <v>0</v>
      </c>
      <c r="H22" s="15" t="n">
        <f aca="false">IF(AND(A22&gt;=2,B22=1),t_ch+t_I+2*G22+2*t_pos,0)</f>
        <v>0</v>
      </c>
      <c r="I22" s="14" t="n">
        <f aca="false">IF(AND(A22&gt;=2,B22=1),D22/(1-$D$4),0)</f>
        <v>0</v>
      </c>
      <c r="J22" s="14" t="n">
        <f aca="false">IF(AND(A22&gt;=2,B22=1),E22/(1-$E$4),0)</f>
        <v>0</v>
      </c>
      <c r="K22" s="15" t="n">
        <f aca="false">lam_total*F22</f>
        <v>0</v>
      </c>
      <c r="L22" s="15" t="n">
        <f aca="false">Inputs!B74</f>
        <v>0</v>
      </c>
      <c r="M22" s="14" t="str">
        <f aca="false">IF(AND(B22=1,L22&gt;0),K22*Tcyc_sh/3600/L22,"")</f>
        <v/>
      </c>
      <c r="N22" s="12" t="str">
        <f aca="false">IF(M22="","",IF(M22&lt;=rho_max,"OK","CHECK"))</f>
        <v/>
      </c>
    </row>
    <row r="23" customFormat="false" ht="15" hidden="false" customHeight="false" outlineLevel="0" collapsed="false">
      <c r="A23" s="12" t="n">
        <v>20</v>
      </c>
      <c r="B23" s="12" t="n">
        <f aca="false">IF(A23&lt;=N_T,1,0)</f>
        <v>0</v>
      </c>
      <c r="C23" s="13" t="n">
        <f aca="false">IF(B23=1,(A23-1)*u_h,0)</f>
        <v>0</v>
      </c>
      <c r="D23" s="14" t="n">
        <f aca="false">IF(B23=1,1/N_T,0)</f>
        <v>0</v>
      </c>
      <c r="E23" s="14" t="n">
        <f aca="false">IF(B23=0,0,IF(A23&lt;=nA,shareA/nA,IF(A23&lt;=nA+nB,shareB/nB,IF(N_T-nA-nB&gt;0,shareC/(N_T-nA-nB),0))))</f>
        <v>0</v>
      </c>
      <c r="F23" s="14" t="n">
        <f aca="false">IF(dist_mode="ABC",E23,D23)</f>
        <v>0</v>
      </c>
      <c r="G23" s="15" t="n">
        <f aca="false">IF((C23)&lt;=0,0,IF((C23)&gt;=v_lift^2/a_lift,(C23)/v_lift+v_lift/a_lift,2*SQRT((C23)/a_lift)))</f>
        <v>0</v>
      </c>
      <c r="H23" s="15" t="n">
        <f aca="false">IF(AND(A23&gt;=2,B23=1),t_ch+t_I+2*G23+2*t_pos,0)</f>
        <v>0</v>
      </c>
      <c r="I23" s="14" t="n">
        <f aca="false">IF(AND(A23&gt;=2,B23=1),D23/(1-$D$4),0)</f>
        <v>0</v>
      </c>
      <c r="J23" s="14" t="n">
        <f aca="false">IF(AND(A23&gt;=2,B23=1),E23/(1-$E$4),0)</f>
        <v>0</v>
      </c>
      <c r="K23" s="15" t="n">
        <f aca="false">lam_total*F23</f>
        <v>0</v>
      </c>
      <c r="L23" s="15" t="n">
        <f aca="false">Inputs!B75</f>
        <v>0</v>
      </c>
      <c r="M23" s="14" t="str">
        <f aca="false">IF(AND(B23=1,L23&gt;0),K23*Tcyc_sh/3600/L23,"")</f>
        <v/>
      </c>
      <c r="N23" s="12" t="str">
        <f aca="false">IF(M23="","",IF(M23&lt;=rho_max,"OK","CHECK"))</f>
        <v/>
      </c>
    </row>
    <row r="25" customFormat="false" ht="15" hidden="false" customHeight="false" outlineLevel="0" collapsed="false">
      <c r="A25" s="11" t="s">
        <v>140</v>
      </c>
      <c r="B25" s="11"/>
      <c r="C25" s="11"/>
      <c r="D25" s="16" t="n">
        <f aca="false">SUM(D4:D23)</f>
        <v>1</v>
      </c>
      <c r="E25" s="16" t="n">
        <f aca="false">SUM(E4:E23)</f>
        <v>1</v>
      </c>
      <c r="F25" s="16" t="n">
        <f aca="false">SUM(F4:F23)</f>
        <v>1</v>
      </c>
      <c r="G25" s="11"/>
      <c r="H25" s="11"/>
      <c r="I25" s="11"/>
      <c r="J25" s="11"/>
      <c r="K25" s="17" t="n">
        <f aca="false">SUM(K4:K23)</f>
        <v>100</v>
      </c>
      <c r="L25" s="17" t="n">
        <f aca="false">SUM(L4:L23)</f>
        <v>9</v>
      </c>
      <c r="M25" s="11"/>
      <c r="N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23" min="4" style="0" width="8"/>
  </cols>
  <sheetData>
    <row r="1" customFormat="false" ht="17.3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11" t="s">
        <v>142</v>
      </c>
    </row>
    <row r="4" customFormat="false" ht="15" hidden="false" customHeight="false" outlineLevel="0" collapsed="false">
      <c r="C4" s="7" t="s">
        <v>143</v>
      </c>
      <c r="D4" s="11" t="n">
        <v>1</v>
      </c>
      <c r="E4" s="11" t="n">
        <v>2</v>
      </c>
      <c r="F4" s="11" t="n">
        <v>3</v>
      </c>
      <c r="G4" s="11" t="n">
        <v>4</v>
      </c>
      <c r="H4" s="11" t="n">
        <v>5</v>
      </c>
      <c r="I4" s="11" t="n">
        <v>6</v>
      </c>
      <c r="J4" s="11" t="n">
        <v>7</v>
      </c>
      <c r="K4" s="11" t="n">
        <v>8</v>
      </c>
      <c r="L4" s="11" t="n">
        <v>9</v>
      </c>
      <c r="M4" s="11" t="n">
        <v>10</v>
      </c>
      <c r="N4" s="11" t="n">
        <v>11</v>
      </c>
      <c r="O4" s="11" t="n">
        <v>12</v>
      </c>
      <c r="P4" s="11" t="n">
        <v>13</v>
      </c>
      <c r="Q4" s="11" t="n">
        <v>14</v>
      </c>
      <c r="R4" s="11" t="n">
        <v>15</v>
      </c>
      <c r="S4" s="11" t="n">
        <v>16</v>
      </c>
      <c r="T4" s="11" t="n">
        <v>17</v>
      </c>
      <c r="U4" s="11" t="n">
        <v>18</v>
      </c>
      <c r="V4" s="11" t="n">
        <v>19</v>
      </c>
      <c r="W4" s="11" t="n">
        <v>20</v>
      </c>
    </row>
    <row r="5" customFormat="false" ht="15" hidden="false" customHeight="false" outlineLevel="0" collapsed="false">
      <c r="C5" s="7" t="s">
        <v>144</v>
      </c>
      <c r="D5" s="18" t="n">
        <f aca="false">Tiers!C4</f>
        <v>0</v>
      </c>
      <c r="E5" s="18" t="n">
        <f aca="false">Tiers!C5</f>
        <v>1.85</v>
      </c>
      <c r="F5" s="18" t="n">
        <f aca="false">Tiers!C6</f>
        <v>3.7</v>
      </c>
      <c r="G5" s="18" t="n">
        <f aca="false">Tiers!C7</f>
        <v>5.55</v>
      </c>
      <c r="H5" s="18" t="n">
        <f aca="false">Tiers!C8</f>
        <v>7.4</v>
      </c>
      <c r="I5" s="18" t="n">
        <f aca="false">Tiers!C9</f>
        <v>9.25</v>
      </c>
      <c r="J5" s="18" t="n">
        <f aca="false">Tiers!C10</f>
        <v>11.1</v>
      </c>
      <c r="K5" s="18" t="n">
        <f aca="false">Tiers!C11</f>
        <v>12.95</v>
      </c>
      <c r="L5" s="18" t="n">
        <f aca="false">Tiers!C12</f>
        <v>14.8</v>
      </c>
      <c r="M5" s="18" t="n">
        <f aca="false">Tiers!C13</f>
        <v>16.65</v>
      </c>
      <c r="N5" s="18" t="n">
        <f aca="false">Tiers!C14</f>
        <v>0</v>
      </c>
      <c r="O5" s="18" t="n">
        <f aca="false">Tiers!C15</f>
        <v>0</v>
      </c>
      <c r="P5" s="18" t="n">
        <f aca="false">Tiers!C16</f>
        <v>0</v>
      </c>
      <c r="Q5" s="18" t="n">
        <f aca="false">Tiers!C17</f>
        <v>0</v>
      </c>
      <c r="R5" s="18" t="n">
        <f aca="false">Tiers!C18</f>
        <v>0</v>
      </c>
      <c r="S5" s="18" t="n">
        <f aca="false">Tiers!C19</f>
        <v>0</v>
      </c>
      <c r="T5" s="18" t="n">
        <f aca="false">Tiers!C20</f>
        <v>0</v>
      </c>
      <c r="U5" s="18" t="n">
        <f aca="false">Tiers!C21</f>
        <v>0</v>
      </c>
      <c r="V5" s="18" t="n">
        <f aca="false">Tiers!C22</f>
        <v>0</v>
      </c>
      <c r="W5" s="18" t="n">
        <f aca="false">Tiers!C23</f>
        <v>0</v>
      </c>
    </row>
    <row r="6" customFormat="false" ht="15" hidden="false" customHeight="false" outlineLevel="0" collapsed="false">
      <c r="C6" s="7" t="s">
        <v>145</v>
      </c>
      <c r="D6" s="19" t="n">
        <f aca="false">Tiers!I4</f>
        <v>0</v>
      </c>
      <c r="E6" s="19" t="n">
        <f aca="false">Tiers!I5</f>
        <v>0.111111111111111</v>
      </c>
      <c r="F6" s="19" t="n">
        <f aca="false">Tiers!I6</f>
        <v>0.111111111111111</v>
      </c>
      <c r="G6" s="19" t="n">
        <f aca="false">Tiers!I7</f>
        <v>0.111111111111111</v>
      </c>
      <c r="H6" s="19" t="n">
        <f aca="false">Tiers!I8</f>
        <v>0.111111111111111</v>
      </c>
      <c r="I6" s="19" t="n">
        <f aca="false">Tiers!I9</f>
        <v>0.111111111111111</v>
      </c>
      <c r="J6" s="19" t="n">
        <f aca="false">Tiers!I10</f>
        <v>0.111111111111111</v>
      </c>
      <c r="K6" s="19" t="n">
        <f aca="false">Tiers!I11</f>
        <v>0.111111111111111</v>
      </c>
      <c r="L6" s="19" t="n">
        <f aca="false">Tiers!I12</f>
        <v>0.111111111111111</v>
      </c>
      <c r="M6" s="19" t="n">
        <f aca="false">Tiers!I13</f>
        <v>0.111111111111111</v>
      </c>
      <c r="N6" s="19" t="n">
        <f aca="false">Tiers!I14</f>
        <v>0</v>
      </c>
      <c r="O6" s="19" t="n">
        <f aca="false">Tiers!I15</f>
        <v>0</v>
      </c>
      <c r="P6" s="19" t="n">
        <f aca="false">Tiers!I16</f>
        <v>0</v>
      </c>
      <c r="Q6" s="19" t="n">
        <f aca="false">Tiers!I17</f>
        <v>0</v>
      </c>
      <c r="R6" s="19" t="n">
        <f aca="false">Tiers!I18</f>
        <v>0</v>
      </c>
      <c r="S6" s="19" t="n">
        <f aca="false">Tiers!I19</f>
        <v>0</v>
      </c>
      <c r="T6" s="19" t="n">
        <f aca="false">Tiers!I20</f>
        <v>0</v>
      </c>
      <c r="U6" s="19" t="n">
        <f aca="false">Tiers!I21</f>
        <v>0</v>
      </c>
      <c r="V6" s="19" t="n">
        <f aca="false">Tiers!I22</f>
        <v>0</v>
      </c>
      <c r="W6" s="19" t="n">
        <f aca="false">Tiers!I23</f>
        <v>0</v>
      </c>
    </row>
    <row r="7" customFormat="false" ht="15" hidden="false" customHeight="false" outlineLevel="0" collapsed="false">
      <c r="A7" s="11" t="s">
        <v>146</v>
      </c>
      <c r="B7" s="11" t="s">
        <v>147</v>
      </c>
      <c r="C7" s="11" t="s">
        <v>148</v>
      </c>
    </row>
    <row r="8" customFormat="false" ht="15" hidden="false" customHeight="false" outlineLevel="0" collapsed="false">
      <c r="A8" s="7" t="n">
        <v>1</v>
      </c>
      <c r="B8" s="18" t="n">
        <f aca="false">Tiers!C4</f>
        <v>0</v>
      </c>
      <c r="C8" s="19" t="n">
        <f aca="false">Tiers!I4</f>
        <v>0</v>
      </c>
      <c r="D8" s="20" t="n">
        <f aca="false">$C8*D$6*(t_ch+IF(($B8)&lt;=0,0,IF(($B8)&gt;=v_lift^2/a_lift,($B8)/v_lift+v_lift/a_lift,2*SQRT(($B8)/a_lift)))+t_pos+t_I+IF((ABS($B8-D$5))&lt;=0,0,IF((ABS($B8-D$5))&gt;=v_lift^2/a_lift,(ABS($B8-D$5))/v_lift+v_lift/a_lift,2*SQRT((ABS($B8-D$5))/a_lift)))+t_pos+t_I+IF((D$5)&lt;=0,0,IF((D$5)&gt;=v_lift^2/a_lift,(D$5)/v_lift+v_lift/a_lift,2*SQRT((D$5)/a_lift)))+t_pos+t_ch)</f>
        <v>0</v>
      </c>
      <c r="E8" s="20" t="n">
        <f aca="false">$C8*E$6*(t_ch+IF(($B8)&lt;=0,0,IF(($B8)&gt;=v_lift^2/a_lift,($B8)/v_lift+v_lift/a_lift,2*SQRT(($B8)/a_lift)))+t_pos+t_I+IF((ABS($B8-E$5))&lt;=0,0,IF((ABS($B8-E$5))&gt;=v_lift^2/a_lift,(ABS($B8-E$5))/v_lift+v_lift/a_lift,2*SQRT((ABS($B8-E$5))/a_lift)))+t_pos+t_I+IF((E$5)&lt;=0,0,IF((E$5)&gt;=v_lift^2/a_lift,(E$5)/v_lift+v_lift/a_lift,2*SQRT((E$5)/a_lift)))+t_pos+t_ch)</f>
        <v>0</v>
      </c>
      <c r="F8" s="20" t="n">
        <f aca="false">$C8*F$6*(t_ch+IF(($B8)&lt;=0,0,IF(($B8)&gt;=v_lift^2/a_lift,($B8)/v_lift+v_lift/a_lift,2*SQRT(($B8)/a_lift)))+t_pos+t_I+IF((ABS($B8-F$5))&lt;=0,0,IF((ABS($B8-F$5))&gt;=v_lift^2/a_lift,(ABS($B8-F$5))/v_lift+v_lift/a_lift,2*SQRT((ABS($B8-F$5))/a_lift)))+t_pos+t_I+IF((F$5)&lt;=0,0,IF((F$5)&gt;=v_lift^2/a_lift,(F$5)/v_lift+v_lift/a_lift,2*SQRT((F$5)/a_lift)))+t_pos+t_ch)</f>
        <v>0</v>
      </c>
      <c r="G8" s="20" t="n">
        <f aca="false">$C8*G$6*(t_ch+IF(($B8)&lt;=0,0,IF(($B8)&gt;=v_lift^2/a_lift,($B8)/v_lift+v_lift/a_lift,2*SQRT(($B8)/a_lift)))+t_pos+t_I+IF((ABS($B8-G$5))&lt;=0,0,IF((ABS($B8-G$5))&gt;=v_lift^2/a_lift,(ABS($B8-G$5))/v_lift+v_lift/a_lift,2*SQRT((ABS($B8-G$5))/a_lift)))+t_pos+t_I+IF((G$5)&lt;=0,0,IF((G$5)&gt;=v_lift^2/a_lift,(G$5)/v_lift+v_lift/a_lift,2*SQRT((G$5)/a_lift)))+t_pos+t_ch)</f>
        <v>0</v>
      </c>
      <c r="H8" s="20" t="n">
        <f aca="false">$C8*H$6*(t_ch+IF(($B8)&lt;=0,0,IF(($B8)&gt;=v_lift^2/a_lift,($B8)/v_lift+v_lift/a_lift,2*SQRT(($B8)/a_lift)))+t_pos+t_I+IF((ABS($B8-H$5))&lt;=0,0,IF((ABS($B8-H$5))&gt;=v_lift^2/a_lift,(ABS($B8-H$5))/v_lift+v_lift/a_lift,2*SQRT((ABS($B8-H$5))/a_lift)))+t_pos+t_I+IF((H$5)&lt;=0,0,IF((H$5)&gt;=v_lift^2/a_lift,(H$5)/v_lift+v_lift/a_lift,2*SQRT((H$5)/a_lift)))+t_pos+t_ch)</f>
        <v>0</v>
      </c>
      <c r="I8" s="20" t="n">
        <f aca="false">$C8*I$6*(t_ch+IF(($B8)&lt;=0,0,IF(($B8)&gt;=v_lift^2/a_lift,($B8)/v_lift+v_lift/a_lift,2*SQRT(($B8)/a_lift)))+t_pos+t_I+IF((ABS($B8-I$5))&lt;=0,0,IF((ABS($B8-I$5))&gt;=v_lift^2/a_lift,(ABS($B8-I$5))/v_lift+v_lift/a_lift,2*SQRT((ABS($B8-I$5))/a_lift)))+t_pos+t_I+IF((I$5)&lt;=0,0,IF((I$5)&gt;=v_lift^2/a_lift,(I$5)/v_lift+v_lift/a_lift,2*SQRT((I$5)/a_lift)))+t_pos+t_ch)</f>
        <v>0</v>
      </c>
      <c r="J8" s="20" t="n">
        <f aca="false">$C8*J$6*(t_ch+IF(($B8)&lt;=0,0,IF(($B8)&gt;=v_lift^2/a_lift,($B8)/v_lift+v_lift/a_lift,2*SQRT(($B8)/a_lift)))+t_pos+t_I+IF((ABS($B8-J$5))&lt;=0,0,IF((ABS($B8-J$5))&gt;=v_lift^2/a_lift,(ABS($B8-J$5))/v_lift+v_lift/a_lift,2*SQRT((ABS($B8-J$5))/a_lift)))+t_pos+t_I+IF((J$5)&lt;=0,0,IF((J$5)&gt;=v_lift^2/a_lift,(J$5)/v_lift+v_lift/a_lift,2*SQRT((J$5)/a_lift)))+t_pos+t_ch)</f>
        <v>0</v>
      </c>
      <c r="K8" s="20" t="n">
        <f aca="false">$C8*K$6*(t_ch+IF(($B8)&lt;=0,0,IF(($B8)&gt;=v_lift^2/a_lift,($B8)/v_lift+v_lift/a_lift,2*SQRT(($B8)/a_lift)))+t_pos+t_I+IF((ABS($B8-K$5))&lt;=0,0,IF((ABS($B8-K$5))&gt;=v_lift^2/a_lift,(ABS($B8-K$5))/v_lift+v_lift/a_lift,2*SQRT((ABS($B8-K$5))/a_lift)))+t_pos+t_I+IF((K$5)&lt;=0,0,IF((K$5)&gt;=v_lift^2/a_lift,(K$5)/v_lift+v_lift/a_lift,2*SQRT((K$5)/a_lift)))+t_pos+t_ch)</f>
        <v>0</v>
      </c>
      <c r="L8" s="20" t="n">
        <f aca="false">$C8*L$6*(t_ch+IF(($B8)&lt;=0,0,IF(($B8)&gt;=v_lift^2/a_lift,($B8)/v_lift+v_lift/a_lift,2*SQRT(($B8)/a_lift)))+t_pos+t_I+IF((ABS($B8-L$5))&lt;=0,0,IF((ABS($B8-L$5))&gt;=v_lift^2/a_lift,(ABS($B8-L$5))/v_lift+v_lift/a_lift,2*SQRT((ABS($B8-L$5))/a_lift)))+t_pos+t_I+IF((L$5)&lt;=0,0,IF((L$5)&gt;=v_lift^2/a_lift,(L$5)/v_lift+v_lift/a_lift,2*SQRT((L$5)/a_lift)))+t_pos+t_ch)</f>
        <v>0</v>
      </c>
      <c r="M8" s="20" t="n">
        <f aca="false">$C8*M$6*(t_ch+IF(($B8)&lt;=0,0,IF(($B8)&gt;=v_lift^2/a_lift,($B8)/v_lift+v_lift/a_lift,2*SQRT(($B8)/a_lift)))+t_pos+t_I+IF((ABS($B8-M$5))&lt;=0,0,IF((ABS($B8-M$5))&gt;=v_lift^2/a_lift,(ABS($B8-M$5))/v_lift+v_lift/a_lift,2*SQRT((ABS($B8-M$5))/a_lift)))+t_pos+t_I+IF((M$5)&lt;=0,0,IF((M$5)&gt;=v_lift^2/a_lift,(M$5)/v_lift+v_lift/a_lift,2*SQRT((M$5)/a_lift)))+t_pos+t_ch)</f>
        <v>0</v>
      </c>
      <c r="N8" s="20" t="n">
        <f aca="false">$C8*N$6*(t_ch+IF(($B8)&lt;=0,0,IF(($B8)&gt;=v_lift^2/a_lift,($B8)/v_lift+v_lift/a_lift,2*SQRT(($B8)/a_lift)))+t_pos+t_I+IF((ABS($B8-N$5))&lt;=0,0,IF((ABS($B8-N$5))&gt;=v_lift^2/a_lift,(ABS($B8-N$5))/v_lift+v_lift/a_lift,2*SQRT((ABS($B8-N$5))/a_lift)))+t_pos+t_I+IF((N$5)&lt;=0,0,IF((N$5)&gt;=v_lift^2/a_lift,(N$5)/v_lift+v_lift/a_lift,2*SQRT((N$5)/a_lift)))+t_pos+t_ch)</f>
        <v>0</v>
      </c>
      <c r="O8" s="20" t="n">
        <f aca="false">$C8*O$6*(t_ch+IF(($B8)&lt;=0,0,IF(($B8)&gt;=v_lift^2/a_lift,($B8)/v_lift+v_lift/a_lift,2*SQRT(($B8)/a_lift)))+t_pos+t_I+IF((ABS($B8-O$5))&lt;=0,0,IF((ABS($B8-O$5))&gt;=v_lift^2/a_lift,(ABS($B8-O$5))/v_lift+v_lift/a_lift,2*SQRT((ABS($B8-O$5))/a_lift)))+t_pos+t_I+IF((O$5)&lt;=0,0,IF((O$5)&gt;=v_lift^2/a_lift,(O$5)/v_lift+v_lift/a_lift,2*SQRT((O$5)/a_lift)))+t_pos+t_ch)</f>
        <v>0</v>
      </c>
      <c r="P8" s="20" t="n">
        <f aca="false">$C8*P$6*(t_ch+IF(($B8)&lt;=0,0,IF(($B8)&gt;=v_lift^2/a_lift,($B8)/v_lift+v_lift/a_lift,2*SQRT(($B8)/a_lift)))+t_pos+t_I+IF((ABS($B8-P$5))&lt;=0,0,IF((ABS($B8-P$5))&gt;=v_lift^2/a_lift,(ABS($B8-P$5))/v_lift+v_lift/a_lift,2*SQRT((ABS($B8-P$5))/a_lift)))+t_pos+t_I+IF((P$5)&lt;=0,0,IF((P$5)&gt;=v_lift^2/a_lift,(P$5)/v_lift+v_lift/a_lift,2*SQRT((P$5)/a_lift)))+t_pos+t_ch)</f>
        <v>0</v>
      </c>
      <c r="Q8" s="20" t="n">
        <f aca="false">$C8*Q$6*(t_ch+IF(($B8)&lt;=0,0,IF(($B8)&gt;=v_lift^2/a_lift,($B8)/v_lift+v_lift/a_lift,2*SQRT(($B8)/a_lift)))+t_pos+t_I+IF((ABS($B8-Q$5))&lt;=0,0,IF((ABS($B8-Q$5))&gt;=v_lift^2/a_lift,(ABS($B8-Q$5))/v_lift+v_lift/a_lift,2*SQRT((ABS($B8-Q$5))/a_lift)))+t_pos+t_I+IF((Q$5)&lt;=0,0,IF((Q$5)&gt;=v_lift^2/a_lift,(Q$5)/v_lift+v_lift/a_lift,2*SQRT((Q$5)/a_lift)))+t_pos+t_ch)</f>
        <v>0</v>
      </c>
      <c r="R8" s="20" t="n">
        <f aca="false">$C8*R$6*(t_ch+IF(($B8)&lt;=0,0,IF(($B8)&gt;=v_lift^2/a_lift,($B8)/v_lift+v_lift/a_lift,2*SQRT(($B8)/a_lift)))+t_pos+t_I+IF((ABS($B8-R$5))&lt;=0,0,IF((ABS($B8-R$5))&gt;=v_lift^2/a_lift,(ABS($B8-R$5))/v_lift+v_lift/a_lift,2*SQRT((ABS($B8-R$5))/a_lift)))+t_pos+t_I+IF((R$5)&lt;=0,0,IF((R$5)&gt;=v_lift^2/a_lift,(R$5)/v_lift+v_lift/a_lift,2*SQRT((R$5)/a_lift)))+t_pos+t_ch)</f>
        <v>0</v>
      </c>
      <c r="S8" s="20" t="n">
        <f aca="false">$C8*S$6*(t_ch+IF(($B8)&lt;=0,0,IF(($B8)&gt;=v_lift^2/a_lift,($B8)/v_lift+v_lift/a_lift,2*SQRT(($B8)/a_lift)))+t_pos+t_I+IF((ABS($B8-S$5))&lt;=0,0,IF((ABS($B8-S$5))&gt;=v_lift^2/a_lift,(ABS($B8-S$5))/v_lift+v_lift/a_lift,2*SQRT((ABS($B8-S$5))/a_lift)))+t_pos+t_I+IF((S$5)&lt;=0,0,IF((S$5)&gt;=v_lift^2/a_lift,(S$5)/v_lift+v_lift/a_lift,2*SQRT((S$5)/a_lift)))+t_pos+t_ch)</f>
        <v>0</v>
      </c>
      <c r="T8" s="20" t="n">
        <f aca="false">$C8*T$6*(t_ch+IF(($B8)&lt;=0,0,IF(($B8)&gt;=v_lift^2/a_lift,($B8)/v_lift+v_lift/a_lift,2*SQRT(($B8)/a_lift)))+t_pos+t_I+IF((ABS($B8-T$5))&lt;=0,0,IF((ABS($B8-T$5))&gt;=v_lift^2/a_lift,(ABS($B8-T$5))/v_lift+v_lift/a_lift,2*SQRT((ABS($B8-T$5))/a_lift)))+t_pos+t_I+IF((T$5)&lt;=0,0,IF((T$5)&gt;=v_lift^2/a_lift,(T$5)/v_lift+v_lift/a_lift,2*SQRT((T$5)/a_lift)))+t_pos+t_ch)</f>
        <v>0</v>
      </c>
      <c r="U8" s="20" t="n">
        <f aca="false">$C8*U$6*(t_ch+IF(($B8)&lt;=0,0,IF(($B8)&gt;=v_lift^2/a_lift,($B8)/v_lift+v_lift/a_lift,2*SQRT(($B8)/a_lift)))+t_pos+t_I+IF((ABS($B8-U$5))&lt;=0,0,IF((ABS($B8-U$5))&gt;=v_lift^2/a_lift,(ABS($B8-U$5))/v_lift+v_lift/a_lift,2*SQRT((ABS($B8-U$5))/a_lift)))+t_pos+t_I+IF((U$5)&lt;=0,0,IF((U$5)&gt;=v_lift^2/a_lift,(U$5)/v_lift+v_lift/a_lift,2*SQRT((U$5)/a_lift)))+t_pos+t_ch)</f>
        <v>0</v>
      </c>
      <c r="V8" s="20" t="n">
        <f aca="false">$C8*V$6*(t_ch+IF(($B8)&lt;=0,0,IF(($B8)&gt;=v_lift^2/a_lift,($B8)/v_lift+v_lift/a_lift,2*SQRT(($B8)/a_lift)))+t_pos+t_I+IF((ABS($B8-V$5))&lt;=0,0,IF((ABS($B8-V$5))&gt;=v_lift^2/a_lift,(ABS($B8-V$5))/v_lift+v_lift/a_lift,2*SQRT((ABS($B8-V$5))/a_lift)))+t_pos+t_I+IF((V$5)&lt;=0,0,IF((V$5)&gt;=v_lift^2/a_lift,(V$5)/v_lift+v_lift/a_lift,2*SQRT((V$5)/a_lift)))+t_pos+t_ch)</f>
        <v>0</v>
      </c>
      <c r="W8" s="20" t="n">
        <f aca="false">$C8*W$6*(t_ch+IF(($B8)&lt;=0,0,IF(($B8)&gt;=v_lift^2/a_lift,($B8)/v_lift+v_lift/a_lift,2*SQRT(($B8)/a_lift)))+t_pos+t_I+IF((ABS($B8-W$5))&lt;=0,0,IF((ABS($B8-W$5))&gt;=v_lift^2/a_lift,(ABS($B8-W$5))/v_lift+v_lift/a_lift,2*SQRT((ABS($B8-W$5))/a_lift)))+t_pos+t_I+IF((W$5)&lt;=0,0,IF((W$5)&gt;=v_lift^2/a_lift,(W$5)/v_lift+v_lift/a_lift,2*SQRT((W$5)/a_lift)))+t_pos+t_ch)</f>
        <v>0</v>
      </c>
    </row>
    <row r="9" customFormat="false" ht="15" hidden="false" customHeight="false" outlineLevel="0" collapsed="false">
      <c r="A9" s="7" t="n">
        <v>2</v>
      </c>
      <c r="B9" s="18" t="n">
        <f aca="false">Tiers!C5</f>
        <v>1.85</v>
      </c>
      <c r="C9" s="19" t="n">
        <f aca="false">Tiers!I5</f>
        <v>0.111111111111111</v>
      </c>
      <c r="D9" s="20" t="n">
        <f aca="false">$C9*D$6*(t_ch+IF(($B9)&lt;=0,0,IF(($B9)&gt;=v_lift^2/a_lift,($B9)/v_lift+v_lift/a_lift,2*SQRT(($B9)/a_lift)))+t_pos+t_I+IF((ABS($B9-D$5))&lt;=0,0,IF((ABS($B9-D$5))&gt;=v_lift^2/a_lift,(ABS($B9-D$5))/v_lift+v_lift/a_lift,2*SQRT((ABS($B9-D$5))/a_lift)))+t_pos+t_I+IF((D$5)&lt;=0,0,IF((D$5)&gt;=v_lift^2/a_lift,(D$5)/v_lift+v_lift/a_lift,2*SQRT((D$5)/a_lift)))+t_pos+t_ch)</f>
        <v>0</v>
      </c>
      <c r="E9" s="20" t="n">
        <f aca="false">$C9*E$6*(t_ch+IF(($B9)&lt;=0,0,IF(($B9)&gt;=v_lift^2/a_lift,($B9)/v_lift+v_lift/a_lift,2*SQRT(($B9)/a_lift)))+t_pos+t_I+IF((ABS($B9-E$5))&lt;=0,0,IF((ABS($B9-E$5))&gt;=v_lift^2/a_lift,(ABS($B9-E$5))/v_lift+v_lift/a_lift,2*SQRT((ABS($B9-E$5))/a_lift)))+t_pos+t_I+IF((E$5)&lt;=0,0,IF((E$5)&gt;=v_lift^2/a_lift,(E$5)/v_lift+v_lift/a_lift,2*SQRT((E$5)/a_lift)))+t_pos+t_ch)</f>
        <v>0.908112874779541</v>
      </c>
      <c r="F9" s="20" t="n">
        <f aca="false">$C9*F$6*(t_ch+IF(($B9)&lt;=0,0,IF(($B9)&gt;=v_lift^2/a_lift,($B9)/v_lift+v_lift/a_lift,2*SQRT(($B9)/a_lift)))+t_pos+t_I+IF((ABS($B9-F$5))&lt;=0,0,IF((ABS($B9-F$5))&gt;=v_lift^2/a_lift,(ABS($B9-F$5))/v_lift+v_lift/a_lift,2*SQRT((ABS($B9-F$5))/a_lift)))+t_pos+t_I+IF((F$5)&lt;=0,0,IF((F$5)&gt;=v_lift^2/a_lift,(F$5)/v_lift+v_lift/a_lift,2*SQRT((F$5)/a_lift)))+t_pos+t_ch)</f>
        <v>0.971428571428572</v>
      </c>
      <c r="G9" s="20" t="n">
        <f aca="false">$C9*G$6*(t_ch+IF(($B9)&lt;=0,0,IF(($B9)&gt;=v_lift^2/a_lift,($B9)/v_lift+v_lift/a_lift,2*SQRT(($B9)/a_lift)))+t_pos+t_I+IF((ABS($B9-G$5))&lt;=0,0,IF((ABS($B9-G$5))&gt;=v_lift^2/a_lift,(ABS($B9-G$5))/v_lift+v_lift/a_lift,2*SQRT((ABS($B9-G$5))/a_lift)))+t_pos+t_I+IF((G$5)&lt;=0,0,IF((G$5)&gt;=v_lift^2/a_lift,(G$5)/v_lift+v_lift/a_lift,2*SQRT((G$5)/a_lift)))+t_pos+t_ch)</f>
        <v>1.01710758377425</v>
      </c>
      <c r="H9" s="20" t="n">
        <f aca="false">$C9*H$6*(t_ch+IF(($B9)&lt;=0,0,IF(($B9)&gt;=v_lift^2/a_lift,($B9)/v_lift+v_lift/a_lift,2*SQRT(($B9)/a_lift)))+t_pos+t_I+IF((ABS($B9-H$5))&lt;=0,0,IF((ABS($B9-H$5))&gt;=v_lift^2/a_lift,(ABS($B9-H$5))/v_lift+v_lift/a_lift,2*SQRT((ABS($B9-H$5))/a_lift)))+t_pos+t_I+IF((H$5)&lt;=0,0,IF((H$5)&gt;=v_lift^2/a_lift,(H$5)/v_lift+v_lift/a_lift,2*SQRT((H$5)/a_lift)))+t_pos+t_ch)</f>
        <v>1.06278659611993</v>
      </c>
      <c r="I9" s="20" t="n">
        <f aca="false">$C9*I$6*(t_ch+IF(($B9)&lt;=0,0,IF(($B9)&gt;=v_lift^2/a_lift,($B9)/v_lift+v_lift/a_lift,2*SQRT(($B9)/a_lift)))+t_pos+t_I+IF((ABS($B9-I$5))&lt;=0,0,IF((ABS($B9-I$5))&gt;=v_lift^2/a_lift,(ABS($B9-I$5))/v_lift+v_lift/a_lift,2*SQRT((ABS($B9-I$5))/a_lift)))+t_pos+t_I+IF((I$5)&lt;=0,0,IF((I$5)&gt;=v_lift^2/a_lift,(I$5)/v_lift+v_lift/a_lift,2*SQRT((I$5)/a_lift)))+t_pos+t_ch)</f>
        <v>1.10846560846561</v>
      </c>
      <c r="J9" s="20" t="n">
        <f aca="false">$C9*J$6*(t_ch+IF(($B9)&lt;=0,0,IF(($B9)&gt;=v_lift^2/a_lift,($B9)/v_lift+v_lift/a_lift,2*SQRT(($B9)/a_lift)))+t_pos+t_I+IF((ABS($B9-J$5))&lt;=0,0,IF((ABS($B9-J$5))&gt;=v_lift^2/a_lift,(ABS($B9-J$5))/v_lift+v_lift/a_lift,2*SQRT((ABS($B9-J$5))/a_lift)))+t_pos+t_I+IF((J$5)&lt;=0,0,IF((J$5)&gt;=v_lift^2/a_lift,(J$5)/v_lift+v_lift/a_lift,2*SQRT((J$5)/a_lift)))+t_pos+t_ch)</f>
        <v>1.15414462081129</v>
      </c>
      <c r="K9" s="20" t="n">
        <f aca="false">$C9*K$6*(t_ch+IF(($B9)&lt;=0,0,IF(($B9)&gt;=v_lift^2/a_lift,($B9)/v_lift+v_lift/a_lift,2*SQRT(($B9)/a_lift)))+t_pos+t_I+IF((ABS($B9-K$5))&lt;=0,0,IF((ABS($B9-K$5))&gt;=v_lift^2/a_lift,(ABS($B9-K$5))/v_lift+v_lift/a_lift,2*SQRT((ABS($B9-K$5))/a_lift)))+t_pos+t_I+IF((K$5)&lt;=0,0,IF((K$5)&gt;=v_lift^2/a_lift,(K$5)/v_lift+v_lift/a_lift,2*SQRT((K$5)/a_lift)))+t_pos+t_ch)</f>
        <v>1.19982363315697</v>
      </c>
      <c r="L9" s="20" t="n">
        <f aca="false">$C9*L$6*(t_ch+IF(($B9)&lt;=0,0,IF(($B9)&gt;=v_lift^2/a_lift,($B9)/v_lift+v_lift/a_lift,2*SQRT(($B9)/a_lift)))+t_pos+t_I+IF((ABS($B9-L$5))&lt;=0,0,IF((ABS($B9-L$5))&gt;=v_lift^2/a_lift,(ABS($B9-L$5))/v_lift+v_lift/a_lift,2*SQRT((ABS($B9-L$5))/a_lift)))+t_pos+t_I+IF((L$5)&lt;=0,0,IF((L$5)&gt;=v_lift^2/a_lift,(L$5)/v_lift+v_lift/a_lift,2*SQRT((L$5)/a_lift)))+t_pos+t_ch)</f>
        <v>1.24550264550265</v>
      </c>
      <c r="M9" s="20" t="n">
        <f aca="false">$C9*M$6*(t_ch+IF(($B9)&lt;=0,0,IF(($B9)&gt;=v_lift^2/a_lift,($B9)/v_lift+v_lift/a_lift,2*SQRT(($B9)/a_lift)))+t_pos+t_I+IF((ABS($B9-M$5))&lt;=0,0,IF((ABS($B9-M$5))&gt;=v_lift^2/a_lift,(ABS($B9-M$5))/v_lift+v_lift/a_lift,2*SQRT((ABS($B9-M$5))/a_lift)))+t_pos+t_I+IF((M$5)&lt;=0,0,IF((M$5)&gt;=v_lift^2/a_lift,(M$5)/v_lift+v_lift/a_lift,2*SQRT((M$5)/a_lift)))+t_pos+t_ch)</f>
        <v>1.29118165784832</v>
      </c>
      <c r="N9" s="20" t="n">
        <f aca="false">$C9*N$6*(t_ch+IF(($B9)&lt;=0,0,IF(($B9)&gt;=v_lift^2/a_lift,($B9)/v_lift+v_lift/a_lift,2*SQRT(($B9)/a_lift)))+t_pos+t_I+IF((ABS($B9-N$5))&lt;=0,0,IF((ABS($B9-N$5))&gt;=v_lift^2/a_lift,(ABS($B9-N$5))/v_lift+v_lift/a_lift,2*SQRT((ABS($B9-N$5))/a_lift)))+t_pos+t_I+IF((N$5)&lt;=0,0,IF((N$5)&gt;=v_lift^2/a_lift,(N$5)/v_lift+v_lift/a_lift,2*SQRT((N$5)/a_lift)))+t_pos+t_ch)</f>
        <v>0</v>
      </c>
      <c r="O9" s="20" t="n">
        <f aca="false">$C9*O$6*(t_ch+IF(($B9)&lt;=0,0,IF(($B9)&gt;=v_lift^2/a_lift,($B9)/v_lift+v_lift/a_lift,2*SQRT(($B9)/a_lift)))+t_pos+t_I+IF((ABS($B9-O$5))&lt;=0,0,IF((ABS($B9-O$5))&gt;=v_lift^2/a_lift,(ABS($B9-O$5))/v_lift+v_lift/a_lift,2*SQRT((ABS($B9-O$5))/a_lift)))+t_pos+t_I+IF((O$5)&lt;=0,0,IF((O$5)&gt;=v_lift^2/a_lift,(O$5)/v_lift+v_lift/a_lift,2*SQRT((O$5)/a_lift)))+t_pos+t_ch)</f>
        <v>0</v>
      </c>
      <c r="P9" s="20" t="n">
        <f aca="false">$C9*P$6*(t_ch+IF(($B9)&lt;=0,0,IF(($B9)&gt;=v_lift^2/a_lift,($B9)/v_lift+v_lift/a_lift,2*SQRT(($B9)/a_lift)))+t_pos+t_I+IF((ABS($B9-P$5))&lt;=0,0,IF((ABS($B9-P$5))&gt;=v_lift^2/a_lift,(ABS($B9-P$5))/v_lift+v_lift/a_lift,2*SQRT((ABS($B9-P$5))/a_lift)))+t_pos+t_I+IF((P$5)&lt;=0,0,IF((P$5)&gt;=v_lift^2/a_lift,(P$5)/v_lift+v_lift/a_lift,2*SQRT((P$5)/a_lift)))+t_pos+t_ch)</f>
        <v>0</v>
      </c>
      <c r="Q9" s="20" t="n">
        <f aca="false">$C9*Q$6*(t_ch+IF(($B9)&lt;=0,0,IF(($B9)&gt;=v_lift^2/a_lift,($B9)/v_lift+v_lift/a_lift,2*SQRT(($B9)/a_lift)))+t_pos+t_I+IF((ABS($B9-Q$5))&lt;=0,0,IF((ABS($B9-Q$5))&gt;=v_lift^2/a_lift,(ABS($B9-Q$5))/v_lift+v_lift/a_lift,2*SQRT((ABS($B9-Q$5))/a_lift)))+t_pos+t_I+IF((Q$5)&lt;=0,0,IF((Q$5)&gt;=v_lift^2/a_lift,(Q$5)/v_lift+v_lift/a_lift,2*SQRT((Q$5)/a_lift)))+t_pos+t_ch)</f>
        <v>0</v>
      </c>
      <c r="R9" s="20" t="n">
        <f aca="false">$C9*R$6*(t_ch+IF(($B9)&lt;=0,0,IF(($B9)&gt;=v_lift^2/a_lift,($B9)/v_lift+v_lift/a_lift,2*SQRT(($B9)/a_lift)))+t_pos+t_I+IF((ABS($B9-R$5))&lt;=0,0,IF((ABS($B9-R$5))&gt;=v_lift^2/a_lift,(ABS($B9-R$5))/v_lift+v_lift/a_lift,2*SQRT((ABS($B9-R$5))/a_lift)))+t_pos+t_I+IF((R$5)&lt;=0,0,IF((R$5)&gt;=v_lift^2/a_lift,(R$5)/v_lift+v_lift/a_lift,2*SQRT((R$5)/a_lift)))+t_pos+t_ch)</f>
        <v>0</v>
      </c>
      <c r="S9" s="20" t="n">
        <f aca="false">$C9*S$6*(t_ch+IF(($B9)&lt;=0,0,IF(($B9)&gt;=v_lift^2/a_lift,($B9)/v_lift+v_lift/a_lift,2*SQRT(($B9)/a_lift)))+t_pos+t_I+IF((ABS($B9-S$5))&lt;=0,0,IF((ABS($B9-S$5))&gt;=v_lift^2/a_lift,(ABS($B9-S$5))/v_lift+v_lift/a_lift,2*SQRT((ABS($B9-S$5))/a_lift)))+t_pos+t_I+IF((S$5)&lt;=0,0,IF((S$5)&gt;=v_lift^2/a_lift,(S$5)/v_lift+v_lift/a_lift,2*SQRT((S$5)/a_lift)))+t_pos+t_ch)</f>
        <v>0</v>
      </c>
      <c r="T9" s="20" t="n">
        <f aca="false">$C9*T$6*(t_ch+IF(($B9)&lt;=0,0,IF(($B9)&gt;=v_lift^2/a_lift,($B9)/v_lift+v_lift/a_lift,2*SQRT(($B9)/a_lift)))+t_pos+t_I+IF((ABS($B9-T$5))&lt;=0,0,IF((ABS($B9-T$5))&gt;=v_lift^2/a_lift,(ABS($B9-T$5))/v_lift+v_lift/a_lift,2*SQRT((ABS($B9-T$5))/a_lift)))+t_pos+t_I+IF((T$5)&lt;=0,0,IF((T$5)&gt;=v_lift^2/a_lift,(T$5)/v_lift+v_lift/a_lift,2*SQRT((T$5)/a_lift)))+t_pos+t_ch)</f>
        <v>0</v>
      </c>
      <c r="U9" s="20" t="n">
        <f aca="false">$C9*U$6*(t_ch+IF(($B9)&lt;=0,0,IF(($B9)&gt;=v_lift^2/a_lift,($B9)/v_lift+v_lift/a_lift,2*SQRT(($B9)/a_lift)))+t_pos+t_I+IF((ABS($B9-U$5))&lt;=0,0,IF((ABS($B9-U$5))&gt;=v_lift^2/a_lift,(ABS($B9-U$5))/v_lift+v_lift/a_lift,2*SQRT((ABS($B9-U$5))/a_lift)))+t_pos+t_I+IF((U$5)&lt;=0,0,IF((U$5)&gt;=v_lift^2/a_lift,(U$5)/v_lift+v_lift/a_lift,2*SQRT((U$5)/a_lift)))+t_pos+t_ch)</f>
        <v>0</v>
      </c>
      <c r="V9" s="20" t="n">
        <f aca="false">$C9*V$6*(t_ch+IF(($B9)&lt;=0,0,IF(($B9)&gt;=v_lift^2/a_lift,($B9)/v_lift+v_lift/a_lift,2*SQRT(($B9)/a_lift)))+t_pos+t_I+IF((ABS($B9-V$5))&lt;=0,0,IF((ABS($B9-V$5))&gt;=v_lift^2/a_lift,(ABS($B9-V$5))/v_lift+v_lift/a_lift,2*SQRT((ABS($B9-V$5))/a_lift)))+t_pos+t_I+IF((V$5)&lt;=0,0,IF((V$5)&gt;=v_lift^2/a_lift,(V$5)/v_lift+v_lift/a_lift,2*SQRT((V$5)/a_lift)))+t_pos+t_ch)</f>
        <v>0</v>
      </c>
      <c r="W9" s="20" t="n">
        <f aca="false">$C9*W$6*(t_ch+IF(($B9)&lt;=0,0,IF(($B9)&gt;=v_lift^2/a_lift,($B9)/v_lift+v_lift/a_lift,2*SQRT(($B9)/a_lift)))+t_pos+t_I+IF((ABS($B9-W$5))&lt;=0,0,IF((ABS($B9-W$5))&gt;=v_lift^2/a_lift,(ABS($B9-W$5))/v_lift+v_lift/a_lift,2*SQRT((ABS($B9-W$5))/a_lift)))+t_pos+t_I+IF((W$5)&lt;=0,0,IF((W$5)&gt;=v_lift^2/a_lift,(W$5)/v_lift+v_lift/a_lift,2*SQRT((W$5)/a_lift)))+t_pos+t_ch)</f>
        <v>0</v>
      </c>
    </row>
    <row r="10" customFormat="false" ht="15" hidden="false" customHeight="false" outlineLevel="0" collapsed="false">
      <c r="A10" s="7" t="n">
        <v>3</v>
      </c>
      <c r="B10" s="18" t="n">
        <f aca="false">Tiers!C6</f>
        <v>3.7</v>
      </c>
      <c r="C10" s="19" t="n">
        <f aca="false">Tiers!I6</f>
        <v>0.111111111111111</v>
      </c>
      <c r="D10" s="20" t="n">
        <f aca="false">$C10*D$6*(t_ch+IF(($B10)&lt;=0,0,IF(($B10)&gt;=v_lift^2/a_lift,($B10)/v_lift+v_lift/a_lift,2*SQRT(($B10)/a_lift)))+t_pos+t_I+IF((ABS($B10-D$5))&lt;=0,0,IF((ABS($B10-D$5))&gt;=v_lift^2/a_lift,(ABS($B10-D$5))/v_lift+v_lift/a_lift,2*SQRT((ABS($B10-D$5))/a_lift)))+t_pos+t_I+IF((D$5)&lt;=0,0,IF((D$5)&gt;=v_lift^2/a_lift,(D$5)/v_lift+v_lift/a_lift,2*SQRT((D$5)/a_lift)))+t_pos+t_ch)</f>
        <v>0</v>
      </c>
      <c r="E10" s="20" t="n">
        <f aca="false">$C10*E$6*(t_ch+IF(($B10)&lt;=0,0,IF(($B10)&gt;=v_lift^2/a_lift,($B10)/v_lift+v_lift/a_lift,2*SQRT(($B10)/a_lift)))+t_pos+t_I+IF((ABS($B10-E$5))&lt;=0,0,IF((ABS($B10-E$5))&gt;=v_lift^2/a_lift,(ABS($B10-E$5))/v_lift+v_lift/a_lift,2*SQRT((ABS($B10-E$5))/a_lift)))+t_pos+t_I+IF((E$5)&lt;=0,0,IF((E$5)&gt;=v_lift^2/a_lift,(E$5)/v_lift+v_lift/a_lift,2*SQRT((E$5)/a_lift)))+t_pos+t_ch)</f>
        <v>0.971428571428572</v>
      </c>
      <c r="F10" s="20" t="n">
        <f aca="false">$C10*F$6*(t_ch+IF(($B10)&lt;=0,0,IF(($B10)&gt;=v_lift^2/a_lift,($B10)/v_lift+v_lift/a_lift,2*SQRT(($B10)/a_lift)))+t_pos+t_I+IF((ABS($B10-F$5))&lt;=0,0,IF((ABS($B10-F$5))&gt;=v_lift^2/a_lift,(ABS($B10-F$5))/v_lift+v_lift/a_lift,2*SQRT((ABS($B10-F$5))/a_lift)))+t_pos+t_I+IF((F$5)&lt;=0,0,IF((F$5)&gt;=v_lift^2/a_lift,(F$5)/v_lift+v_lift/a_lift,2*SQRT((F$5)/a_lift)))+t_pos+t_ch)</f>
        <v>0.953791887125221</v>
      </c>
      <c r="G10" s="20" t="n">
        <f aca="false">$C10*G$6*(t_ch+IF(($B10)&lt;=0,0,IF(($B10)&gt;=v_lift^2/a_lift,($B10)/v_lift+v_lift/a_lift,2*SQRT(($B10)/a_lift)))+t_pos+t_I+IF((ABS($B10-G$5))&lt;=0,0,IF((ABS($B10-G$5))&gt;=v_lift^2/a_lift,(ABS($B10-G$5))/v_lift+v_lift/a_lift,2*SQRT((ABS($B10-G$5))/a_lift)))+t_pos+t_I+IF((G$5)&lt;=0,0,IF((G$5)&gt;=v_lift^2/a_lift,(G$5)/v_lift+v_lift/a_lift,2*SQRT((G$5)/a_lift)))+t_pos+t_ch)</f>
        <v>1.01710758377425</v>
      </c>
      <c r="H10" s="20" t="n">
        <f aca="false">$C10*H$6*(t_ch+IF(($B10)&lt;=0,0,IF(($B10)&gt;=v_lift^2/a_lift,($B10)/v_lift+v_lift/a_lift,2*SQRT(($B10)/a_lift)))+t_pos+t_I+IF((ABS($B10-H$5))&lt;=0,0,IF((ABS($B10-H$5))&gt;=v_lift^2/a_lift,(ABS($B10-H$5))/v_lift+v_lift/a_lift,2*SQRT((ABS($B10-H$5))/a_lift)))+t_pos+t_I+IF((H$5)&lt;=0,0,IF((H$5)&gt;=v_lift^2/a_lift,(H$5)/v_lift+v_lift/a_lift,2*SQRT((H$5)/a_lift)))+t_pos+t_ch)</f>
        <v>1.06278659611993</v>
      </c>
      <c r="I10" s="20" t="n">
        <f aca="false">$C10*I$6*(t_ch+IF(($B10)&lt;=0,0,IF(($B10)&gt;=v_lift^2/a_lift,($B10)/v_lift+v_lift/a_lift,2*SQRT(($B10)/a_lift)))+t_pos+t_I+IF((ABS($B10-I$5))&lt;=0,0,IF((ABS($B10-I$5))&gt;=v_lift^2/a_lift,(ABS($B10-I$5))/v_lift+v_lift/a_lift,2*SQRT((ABS($B10-I$5))/a_lift)))+t_pos+t_I+IF((I$5)&lt;=0,0,IF((I$5)&gt;=v_lift^2/a_lift,(I$5)/v_lift+v_lift/a_lift,2*SQRT((I$5)/a_lift)))+t_pos+t_ch)</f>
        <v>1.10846560846561</v>
      </c>
      <c r="J10" s="20" t="n">
        <f aca="false">$C10*J$6*(t_ch+IF(($B10)&lt;=0,0,IF(($B10)&gt;=v_lift^2/a_lift,($B10)/v_lift+v_lift/a_lift,2*SQRT(($B10)/a_lift)))+t_pos+t_I+IF((ABS($B10-J$5))&lt;=0,0,IF((ABS($B10-J$5))&gt;=v_lift^2/a_lift,(ABS($B10-J$5))/v_lift+v_lift/a_lift,2*SQRT((ABS($B10-J$5))/a_lift)))+t_pos+t_I+IF((J$5)&lt;=0,0,IF((J$5)&gt;=v_lift^2/a_lift,(J$5)/v_lift+v_lift/a_lift,2*SQRT((J$5)/a_lift)))+t_pos+t_ch)</f>
        <v>1.15414462081129</v>
      </c>
      <c r="K10" s="20" t="n">
        <f aca="false">$C10*K$6*(t_ch+IF(($B10)&lt;=0,0,IF(($B10)&gt;=v_lift^2/a_lift,($B10)/v_lift+v_lift/a_lift,2*SQRT(($B10)/a_lift)))+t_pos+t_I+IF((ABS($B10-K$5))&lt;=0,0,IF((ABS($B10-K$5))&gt;=v_lift^2/a_lift,(ABS($B10-K$5))/v_lift+v_lift/a_lift,2*SQRT((ABS($B10-K$5))/a_lift)))+t_pos+t_I+IF((K$5)&lt;=0,0,IF((K$5)&gt;=v_lift^2/a_lift,(K$5)/v_lift+v_lift/a_lift,2*SQRT((K$5)/a_lift)))+t_pos+t_ch)</f>
        <v>1.19982363315697</v>
      </c>
      <c r="L10" s="20" t="n">
        <f aca="false">$C10*L$6*(t_ch+IF(($B10)&lt;=0,0,IF(($B10)&gt;=v_lift^2/a_lift,($B10)/v_lift+v_lift/a_lift,2*SQRT(($B10)/a_lift)))+t_pos+t_I+IF((ABS($B10-L$5))&lt;=0,0,IF((ABS($B10-L$5))&gt;=v_lift^2/a_lift,(ABS($B10-L$5))/v_lift+v_lift/a_lift,2*SQRT((ABS($B10-L$5))/a_lift)))+t_pos+t_I+IF((L$5)&lt;=0,0,IF((L$5)&gt;=v_lift^2/a_lift,(L$5)/v_lift+v_lift/a_lift,2*SQRT((L$5)/a_lift)))+t_pos+t_ch)</f>
        <v>1.24550264550265</v>
      </c>
      <c r="M10" s="20" t="n">
        <f aca="false">$C10*M$6*(t_ch+IF(($B10)&lt;=0,0,IF(($B10)&gt;=v_lift^2/a_lift,($B10)/v_lift+v_lift/a_lift,2*SQRT(($B10)/a_lift)))+t_pos+t_I+IF((ABS($B10-M$5))&lt;=0,0,IF((ABS($B10-M$5))&gt;=v_lift^2/a_lift,(ABS($B10-M$5))/v_lift+v_lift/a_lift,2*SQRT((ABS($B10-M$5))/a_lift)))+t_pos+t_I+IF((M$5)&lt;=0,0,IF((M$5)&gt;=v_lift^2/a_lift,(M$5)/v_lift+v_lift/a_lift,2*SQRT((M$5)/a_lift)))+t_pos+t_ch)</f>
        <v>1.29118165784832</v>
      </c>
      <c r="N10" s="20" t="n">
        <f aca="false">$C10*N$6*(t_ch+IF(($B10)&lt;=0,0,IF(($B10)&gt;=v_lift^2/a_lift,($B10)/v_lift+v_lift/a_lift,2*SQRT(($B10)/a_lift)))+t_pos+t_I+IF((ABS($B10-N$5))&lt;=0,0,IF((ABS($B10-N$5))&gt;=v_lift^2/a_lift,(ABS($B10-N$5))/v_lift+v_lift/a_lift,2*SQRT((ABS($B10-N$5))/a_lift)))+t_pos+t_I+IF((N$5)&lt;=0,0,IF((N$5)&gt;=v_lift^2/a_lift,(N$5)/v_lift+v_lift/a_lift,2*SQRT((N$5)/a_lift)))+t_pos+t_ch)</f>
        <v>0</v>
      </c>
      <c r="O10" s="20" t="n">
        <f aca="false">$C10*O$6*(t_ch+IF(($B10)&lt;=0,0,IF(($B10)&gt;=v_lift^2/a_lift,($B10)/v_lift+v_lift/a_lift,2*SQRT(($B10)/a_lift)))+t_pos+t_I+IF((ABS($B10-O$5))&lt;=0,0,IF((ABS($B10-O$5))&gt;=v_lift^2/a_lift,(ABS($B10-O$5))/v_lift+v_lift/a_lift,2*SQRT((ABS($B10-O$5))/a_lift)))+t_pos+t_I+IF((O$5)&lt;=0,0,IF((O$5)&gt;=v_lift^2/a_lift,(O$5)/v_lift+v_lift/a_lift,2*SQRT((O$5)/a_lift)))+t_pos+t_ch)</f>
        <v>0</v>
      </c>
      <c r="P10" s="20" t="n">
        <f aca="false">$C10*P$6*(t_ch+IF(($B10)&lt;=0,0,IF(($B10)&gt;=v_lift^2/a_lift,($B10)/v_lift+v_lift/a_lift,2*SQRT(($B10)/a_lift)))+t_pos+t_I+IF((ABS($B10-P$5))&lt;=0,0,IF((ABS($B10-P$5))&gt;=v_lift^2/a_lift,(ABS($B10-P$5))/v_lift+v_lift/a_lift,2*SQRT((ABS($B10-P$5))/a_lift)))+t_pos+t_I+IF((P$5)&lt;=0,0,IF((P$5)&gt;=v_lift^2/a_lift,(P$5)/v_lift+v_lift/a_lift,2*SQRT((P$5)/a_lift)))+t_pos+t_ch)</f>
        <v>0</v>
      </c>
      <c r="Q10" s="20" t="n">
        <f aca="false">$C10*Q$6*(t_ch+IF(($B10)&lt;=0,0,IF(($B10)&gt;=v_lift^2/a_lift,($B10)/v_lift+v_lift/a_lift,2*SQRT(($B10)/a_lift)))+t_pos+t_I+IF((ABS($B10-Q$5))&lt;=0,0,IF((ABS($B10-Q$5))&gt;=v_lift^2/a_lift,(ABS($B10-Q$5))/v_lift+v_lift/a_lift,2*SQRT((ABS($B10-Q$5))/a_lift)))+t_pos+t_I+IF((Q$5)&lt;=0,0,IF((Q$5)&gt;=v_lift^2/a_lift,(Q$5)/v_lift+v_lift/a_lift,2*SQRT((Q$5)/a_lift)))+t_pos+t_ch)</f>
        <v>0</v>
      </c>
      <c r="R10" s="20" t="n">
        <f aca="false">$C10*R$6*(t_ch+IF(($B10)&lt;=0,0,IF(($B10)&gt;=v_lift^2/a_lift,($B10)/v_lift+v_lift/a_lift,2*SQRT(($B10)/a_lift)))+t_pos+t_I+IF((ABS($B10-R$5))&lt;=0,0,IF((ABS($B10-R$5))&gt;=v_lift^2/a_lift,(ABS($B10-R$5))/v_lift+v_lift/a_lift,2*SQRT((ABS($B10-R$5))/a_lift)))+t_pos+t_I+IF((R$5)&lt;=0,0,IF((R$5)&gt;=v_lift^2/a_lift,(R$5)/v_lift+v_lift/a_lift,2*SQRT((R$5)/a_lift)))+t_pos+t_ch)</f>
        <v>0</v>
      </c>
      <c r="S10" s="20" t="n">
        <f aca="false">$C10*S$6*(t_ch+IF(($B10)&lt;=0,0,IF(($B10)&gt;=v_lift^2/a_lift,($B10)/v_lift+v_lift/a_lift,2*SQRT(($B10)/a_lift)))+t_pos+t_I+IF((ABS($B10-S$5))&lt;=0,0,IF((ABS($B10-S$5))&gt;=v_lift^2/a_lift,(ABS($B10-S$5))/v_lift+v_lift/a_lift,2*SQRT((ABS($B10-S$5))/a_lift)))+t_pos+t_I+IF((S$5)&lt;=0,0,IF((S$5)&gt;=v_lift^2/a_lift,(S$5)/v_lift+v_lift/a_lift,2*SQRT((S$5)/a_lift)))+t_pos+t_ch)</f>
        <v>0</v>
      </c>
      <c r="T10" s="20" t="n">
        <f aca="false">$C10*T$6*(t_ch+IF(($B10)&lt;=0,0,IF(($B10)&gt;=v_lift^2/a_lift,($B10)/v_lift+v_lift/a_lift,2*SQRT(($B10)/a_lift)))+t_pos+t_I+IF((ABS($B10-T$5))&lt;=0,0,IF((ABS($B10-T$5))&gt;=v_lift^2/a_lift,(ABS($B10-T$5))/v_lift+v_lift/a_lift,2*SQRT((ABS($B10-T$5))/a_lift)))+t_pos+t_I+IF((T$5)&lt;=0,0,IF((T$5)&gt;=v_lift^2/a_lift,(T$5)/v_lift+v_lift/a_lift,2*SQRT((T$5)/a_lift)))+t_pos+t_ch)</f>
        <v>0</v>
      </c>
      <c r="U10" s="20" t="n">
        <f aca="false">$C10*U$6*(t_ch+IF(($B10)&lt;=0,0,IF(($B10)&gt;=v_lift^2/a_lift,($B10)/v_lift+v_lift/a_lift,2*SQRT(($B10)/a_lift)))+t_pos+t_I+IF((ABS($B10-U$5))&lt;=0,0,IF((ABS($B10-U$5))&gt;=v_lift^2/a_lift,(ABS($B10-U$5))/v_lift+v_lift/a_lift,2*SQRT((ABS($B10-U$5))/a_lift)))+t_pos+t_I+IF((U$5)&lt;=0,0,IF((U$5)&gt;=v_lift^2/a_lift,(U$5)/v_lift+v_lift/a_lift,2*SQRT((U$5)/a_lift)))+t_pos+t_ch)</f>
        <v>0</v>
      </c>
      <c r="V10" s="20" t="n">
        <f aca="false">$C10*V$6*(t_ch+IF(($B10)&lt;=0,0,IF(($B10)&gt;=v_lift^2/a_lift,($B10)/v_lift+v_lift/a_lift,2*SQRT(($B10)/a_lift)))+t_pos+t_I+IF((ABS($B10-V$5))&lt;=0,0,IF((ABS($B10-V$5))&gt;=v_lift^2/a_lift,(ABS($B10-V$5))/v_lift+v_lift/a_lift,2*SQRT((ABS($B10-V$5))/a_lift)))+t_pos+t_I+IF((V$5)&lt;=0,0,IF((V$5)&gt;=v_lift^2/a_lift,(V$5)/v_lift+v_lift/a_lift,2*SQRT((V$5)/a_lift)))+t_pos+t_ch)</f>
        <v>0</v>
      </c>
      <c r="W10" s="20" t="n">
        <f aca="false">$C10*W$6*(t_ch+IF(($B10)&lt;=0,0,IF(($B10)&gt;=v_lift^2/a_lift,($B10)/v_lift+v_lift/a_lift,2*SQRT(($B10)/a_lift)))+t_pos+t_I+IF((ABS($B10-W$5))&lt;=0,0,IF((ABS($B10-W$5))&gt;=v_lift^2/a_lift,(ABS($B10-W$5))/v_lift+v_lift/a_lift,2*SQRT((ABS($B10-W$5))/a_lift)))+t_pos+t_I+IF((W$5)&lt;=0,0,IF((W$5)&gt;=v_lift^2/a_lift,(W$5)/v_lift+v_lift/a_lift,2*SQRT((W$5)/a_lift)))+t_pos+t_ch)</f>
        <v>0</v>
      </c>
    </row>
    <row r="11" customFormat="false" ht="15" hidden="false" customHeight="false" outlineLevel="0" collapsed="false">
      <c r="A11" s="7" t="n">
        <v>4</v>
      </c>
      <c r="B11" s="18" t="n">
        <f aca="false">Tiers!C7</f>
        <v>5.55</v>
      </c>
      <c r="C11" s="19" t="n">
        <f aca="false">Tiers!I7</f>
        <v>0.111111111111111</v>
      </c>
      <c r="D11" s="20" t="n">
        <f aca="false">$C11*D$6*(t_ch+IF(($B11)&lt;=0,0,IF(($B11)&gt;=v_lift^2/a_lift,($B11)/v_lift+v_lift/a_lift,2*SQRT(($B11)/a_lift)))+t_pos+t_I+IF((ABS($B11-D$5))&lt;=0,0,IF((ABS($B11-D$5))&gt;=v_lift^2/a_lift,(ABS($B11-D$5))/v_lift+v_lift/a_lift,2*SQRT((ABS($B11-D$5))/a_lift)))+t_pos+t_I+IF((D$5)&lt;=0,0,IF((D$5)&gt;=v_lift^2/a_lift,(D$5)/v_lift+v_lift/a_lift,2*SQRT((D$5)/a_lift)))+t_pos+t_ch)</f>
        <v>0</v>
      </c>
      <c r="E11" s="20" t="n">
        <f aca="false">$C11*E$6*(t_ch+IF(($B11)&lt;=0,0,IF(($B11)&gt;=v_lift^2/a_lift,($B11)/v_lift+v_lift/a_lift,2*SQRT(($B11)/a_lift)))+t_pos+t_I+IF((ABS($B11-E$5))&lt;=0,0,IF((ABS($B11-E$5))&gt;=v_lift^2/a_lift,(ABS($B11-E$5))/v_lift+v_lift/a_lift,2*SQRT((ABS($B11-E$5))/a_lift)))+t_pos+t_I+IF((E$5)&lt;=0,0,IF((E$5)&gt;=v_lift^2/a_lift,(E$5)/v_lift+v_lift/a_lift,2*SQRT((E$5)/a_lift)))+t_pos+t_ch)</f>
        <v>1.01710758377425</v>
      </c>
      <c r="F11" s="20" t="n">
        <f aca="false">$C11*F$6*(t_ch+IF(($B11)&lt;=0,0,IF(($B11)&gt;=v_lift^2/a_lift,($B11)/v_lift+v_lift/a_lift,2*SQRT(($B11)/a_lift)))+t_pos+t_I+IF((ABS($B11-F$5))&lt;=0,0,IF((ABS($B11-F$5))&gt;=v_lift^2/a_lift,(ABS($B11-F$5))/v_lift+v_lift/a_lift,2*SQRT((ABS($B11-F$5))/a_lift)))+t_pos+t_I+IF((F$5)&lt;=0,0,IF((F$5)&gt;=v_lift^2/a_lift,(F$5)/v_lift+v_lift/a_lift,2*SQRT((F$5)/a_lift)))+t_pos+t_ch)</f>
        <v>1.01710758377425</v>
      </c>
      <c r="G11" s="20" t="n">
        <f aca="false">$C11*G$6*(t_ch+IF(($B11)&lt;=0,0,IF(($B11)&gt;=v_lift^2/a_lift,($B11)/v_lift+v_lift/a_lift,2*SQRT(($B11)/a_lift)))+t_pos+t_I+IF((ABS($B11-G$5))&lt;=0,0,IF((ABS($B11-G$5))&gt;=v_lift^2/a_lift,(ABS($B11-G$5))/v_lift+v_lift/a_lift,2*SQRT((ABS($B11-G$5))/a_lift)))+t_pos+t_I+IF((G$5)&lt;=0,0,IF((G$5)&gt;=v_lift^2/a_lift,(G$5)/v_lift+v_lift/a_lift,2*SQRT((G$5)/a_lift)))+t_pos+t_ch)</f>
        <v>0.9994708994709</v>
      </c>
      <c r="H11" s="20" t="n">
        <f aca="false">$C11*H$6*(t_ch+IF(($B11)&lt;=0,0,IF(($B11)&gt;=v_lift^2/a_lift,($B11)/v_lift+v_lift/a_lift,2*SQRT(($B11)/a_lift)))+t_pos+t_I+IF((ABS($B11-H$5))&lt;=0,0,IF((ABS($B11-H$5))&gt;=v_lift^2/a_lift,(ABS($B11-H$5))/v_lift+v_lift/a_lift,2*SQRT((ABS($B11-H$5))/a_lift)))+t_pos+t_I+IF((H$5)&lt;=0,0,IF((H$5)&gt;=v_lift^2/a_lift,(H$5)/v_lift+v_lift/a_lift,2*SQRT((H$5)/a_lift)))+t_pos+t_ch)</f>
        <v>1.06278659611993</v>
      </c>
      <c r="I11" s="20" t="n">
        <f aca="false">$C11*I$6*(t_ch+IF(($B11)&lt;=0,0,IF(($B11)&gt;=v_lift^2/a_lift,($B11)/v_lift+v_lift/a_lift,2*SQRT(($B11)/a_lift)))+t_pos+t_I+IF((ABS($B11-I$5))&lt;=0,0,IF((ABS($B11-I$5))&gt;=v_lift^2/a_lift,(ABS($B11-I$5))/v_lift+v_lift/a_lift,2*SQRT((ABS($B11-I$5))/a_lift)))+t_pos+t_I+IF((I$5)&lt;=0,0,IF((I$5)&gt;=v_lift^2/a_lift,(I$5)/v_lift+v_lift/a_lift,2*SQRT((I$5)/a_lift)))+t_pos+t_ch)</f>
        <v>1.10846560846561</v>
      </c>
      <c r="J11" s="20" t="n">
        <f aca="false">$C11*J$6*(t_ch+IF(($B11)&lt;=0,0,IF(($B11)&gt;=v_lift^2/a_lift,($B11)/v_lift+v_lift/a_lift,2*SQRT(($B11)/a_lift)))+t_pos+t_I+IF((ABS($B11-J$5))&lt;=0,0,IF((ABS($B11-J$5))&gt;=v_lift^2/a_lift,(ABS($B11-J$5))/v_lift+v_lift/a_lift,2*SQRT((ABS($B11-J$5))/a_lift)))+t_pos+t_I+IF((J$5)&lt;=0,0,IF((J$5)&gt;=v_lift^2/a_lift,(J$5)/v_lift+v_lift/a_lift,2*SQRT((J$5)/a_lift)))+t_pos+t_ch)</f>
        <v>1.15414462081129</v>
      </c>
      <c r="K11" s="20" t="n">
        <f aca="false">$C11*K$6*(t_ch+IF(($B11)&lt;=0,0,IF(($B11)&gt;=v_lift^2/a_lift,($B11)/v_lift+v_lift/a_lift,2*SQRT(($B11)/a_lift)))+t_pos+t_I+IF((ABS($B11-K$5))&lt;=0,0,IF((ABS($B11-K$5))&gt;=v_lift^2/a_lift,(ABS($B11-K$5))/v_lift+v_lift/a_lift,2*SQRT((ABS($B11-K$5))/a_lift)))+t_pos+t_I+IF((K$5)&lt;=0,0,IF((K$5)&gt;=v_lift^2/a_lift,(K$5)/v_lift+v_lift/a_lift,2*SQRT((K$5)/a_lift)))+t_pos+t_ch)</f>
        <v>1.19982363315697</v>
      </c>
      <c r="L11" s="20" t="n">
        <f aca="false">$C11*L$6*(t_ch+IF(($B11)&lt;=0,0,IF(($B11)&gt;=v_lift^2/a_lift,($B11)/v_lift+v_lift/a_lift,2*SQRT(($B11)/a_lift)))+t_pos+t_I+IF((ABS($B11-L$5))&lt;=0,0,IF((ABS($B11-L$5))&gt;=v_lift^2/a_lift,(ABS($B11-L$5))/v_lift+v_lift/a_lift,2*SQRT((ABS($B11-L$5))/a_lift)))+t_pos+t_I+IF((L$5)&lt;=0,0,IF((L$5)&gt;=v_lift^2/a_lift,(L$5)/v_lift+v_lift/a_lift,2*SQRT((L$5)/a_lift)))+t_pos+t_ch)</f>
        <v>1.24550264550265</v>
      </c>
      <c r="M11" s="20" t="n">
        <f aca="false">$C11*M$6*(t_ch+IF(($B11)&lt;=0,0,IF(($B11)&gt;=v_lift^2/a_lift,($B11)/v_lift+v_lift/a_lift,2*SQRT(($B11)/a_lift)))+t_pos+t_I+IF((ABS($B11-M$5))&lt;=0,0,IF((ABS($B11-M$5))&gt;=v_lift^2/a_lift,(ABS($B11-M$5))/v_lift+v_lift/a_lift,2*SQRT((ABS($B11-M$5))/a_lift)))+t_pos+t_I+IF((M$5)&lt;=0,0,IF((M$5)&gt;=v_lift^2/a_lift,(M$5)/v_lift+v_lift/a_lift,2*SQRT((M$5)/a_lift)))+t_pos+t_ch)</f>
        <v>1.29118165784832</v>
      </c>
      <c r="N11" s="20" t="n">
        <f aca="false">$C11*N$6*(t_ch+IF(($B11)&lt;=0,0,IF(($B11)&gt;=v_lift^2/a_lift,($B11)/v_lift+v_lift/a_lift,2*SQRT(($B11)/a_lift)))+t_pos+t_I+IF((ABS($B11-N$5))&lt;=0,0,IF((ABS($B11-N$5))&gt;=v_lift^2/a_lift,(ABS($B11-N$5))/v_lift+v_lift/a_lift,2*SQRT((ABS($B11-N$5))/a_lift)))+t_pos+t_I+IF((N$5)&lt;=0,0,IF((N$5)&gt;=v_lift^2/a_lift,(N$5)/v_lift+v_lift/a_lift,2*SQRT((N$5)/a_lift)))+t_pos+t_ch)</f>
        <v>0</v>
      </c>
      <c r="O11" s="20" t="n">
        <f aca="false">$C11*O$6*(t_ch+IF(($B11)&lt;=0,0,IF(($B11)&gt;=v_lift^2/a_lift,($B11)/v_lift+v_lift/a_lift,2*SQRT(($B11)/a_lift)))+t_pos+t_I+IF((ABS($B11-O$5))&lt;=0,0,IF((ABS($B11-O$5))&gt;=v_lift^2/a_lift,(ABS($B11-O$5))/v_lift+v_lift/a_lift,2*SQRT((ABS($B11-O$5))/a_lift)))+t_pos+t_I+IF((O$5)&lt;=0,0,IF((O$5)&gt;=v_lift^2/a_lift,(O$5)/v_lift+v_lift/a_lift,2*SQRT((O$5)/a_lift)))+t_pos+t_ch)</f>
        <v>0</v>
      </c>
      <c r="P11" s="20" t="n">
        <f aca="false">$C11*P$6*(t_ch+IF(($B11)&lt;=0,0,IF(($B11)&gt;=v_lift^2/a_lift,($B11)/v_lift+v_lift/a_lift,2*SQRT(($B11)/a_lift)))+t_pos+t_I+IF((ABS($B11-P$5))&lt;=0,0,IF((ABS($B11-P$5))&gt;=v_lift^2/a_lift,(ABS($B11-P$5))/v_lift+v_lift/a_lift,2*SQRT((ABS($B11-P$5))/a_lift)))+t_pos+t_I+IF((P$5)&lt;=0,0,IF((P$5)&gt;=v_lift^2/a_lift,(P$5)/v_lift+v_lift/a_lift,2*SQRT((P$5)/a_lift)))+t_pos+t_ch)</f>
        <v>0</v>
      </c>
      <c r="Q11" s="20" t="n">
        <f aca="false">$C11*Q$6*(t_ch+IF(($B11)&lt;=0,0,IF(($B11)&gt;=v_lift^2/a_lift,($B11)/v_lift+v_lift/a_lift,2*SQRT(($B11)/a_lift)))+t_pos+t_I+IF((ABS($B11-Q$5))&lt;=0,0,IF((ABS($B11-Q$5))&gt;=v_lift^2/a_lift,(ABS($B11-Q$5))/v_lift+v_lift/a_lift,2*SQRT((ABS($B11-Q$5))/a_lift)))+t_pos+t_I+IF((Q$5)&lt;=0,0,IF((Q$5)&gt;=v_lift^2/a_lift,(Q$5)/v_lift+v_lift/a_lift,2*SQRT((Q$5)/a_lift)))+t_pos+t_ch)</f>
        <v>0</v>
      </c>
      <c r="R11" s="20" t="n">
        <f aca="false">$C11*R$6*(t_ch+IF(($B11)&lt;=0,0,IF(($B11)&gt;=v_lift^2/a_lift,($B11)/v_lift+v_lift/a_lift,2*SQRT(($B11)/a_lift)))+t_pos+t_I+IF((ABS($B11-R$5))&lt;=0,0,IF((ABS($B11-R$5))&gt;=v_lift^2/a_lift,(ABS($B11-R$5))/v_lift+v_lift/a_lift,2*SQRT((ABS($B11-R$5))/a_lift)))+t_pos+t_I+IF((R$5)&lt;=0,0,IF((R$5)&gt;=v_lift^2/a_lift,(R$5)/v_lift+v_lift/a_lift,2*SQRT((R$5)/a_lift)))+t_pos+t_ch)</f>
        <v>0</v>
      </c>
      <c r="S11" s="20" t="n">
        <f aca="false">$C11*S$6*(t_ch+IF(($B11)&lt;=0,0,IF(($B11)&gt;=v_lift^2/a_lift,($B11)/v_lift+v_lift/a_lift,2*SQRT(($B11)/a_lift)))+t_pos+t_I+IF((ABS($B11-S$5))&lt;=0,0,IF((ABS($B11-S$5))&gt;=v_lift^2/a_lift,(ABS($B11-S$5))/v_lift+v_lift/a_lift,2*SQRT((ABS($B11-S$5))/a_lift)))+t_pos+t_I+IF((S$5)&lt;=0,0,IF((S$5)&gt;=v_lift^2/a_lift,(S$5)/v_lift+v_lift/a_lift,2*SQRT((S$5)/a_lift)))+t_pos+t_ch)</f>
        <v>0</v>
      </c>
      <c r="T11" s="20" t="n">
        <f aca="false">$C11*T$6*(t_ch+IF(($B11)&lt;=0,0,IF(($B11)&gt;=v_lift^2/a_lift,($B11)/v_lift+v_lift/a_lift,2*SQRT(($B11)/a_lift)))+t_pos+t_I+IF((ABS($B11-T$5))&lt;=0,0,IF((ABS($B11-T$5))&gt;=v_lift^2/a_lift,(ABS($B11-T$5))/v_lift+v_lift/a_lift,2*SQRT((ABS($B11-T$5))/a_lift)))+t_pos+t_I+IF((T$5)&lt;=0,0,IF((T$5)&gt;=v_lift^2/a_lift,(T$5)/v_lift+v_lift/a_lift,2*SQRT((T$5)/a_lift)))+t_pos+t_ch)</f>
        <v>0</v>
      </c>
      <c r="U11" s="20" t="n">
        <f aca="false">$C11*U$6*(t_ch+IF(($B11)&lt;=0,0,IF(($B11)&gt;=v_lift^2/a_lift,($B11)/v_lift+v_lift/a_lift,2*SQRT(($B11)/a_lift)))+t_pos+t_I+IF((ABS($B11-U$5))&lt;=0,0,IF((ABS($B11-U$5))&gt;=v_lift^2/a_lift,(ABS($B11-U$5))/v_lift+v_lift/a_lift,2*SQRT((ABS($B11-U$5))/a_lift)))+t_pos+t_I+IF((U$5)&lt;=0,0,IF((U$5)&gt;=v_lift^2/a_lift,(U$5)/v_lift+v_lift/a_lift,2*SQRT((U$5)/a_lift)))+t_pos+t_ch)</f>
        <v>0</v>
      </c>
      <c r="V11" s="20" t="n">
        <f aca="false">$C11*V$6*(t_ch+IF(($B11)&lt;=0,0,IF(($B11)&gt;=v_lift^2/a_lift,($B11)/v_lift+v_lift/a_lift,2*SQRT(($B11)/a_lift)))+t_pos+t_I+IF((ABS($B11-V$5))&lt;=0,0,IF((ABS($B11-V$5))&gt;=v_lift^2/a_lift,(ABS($B11-V$5))/v_lift+v_lift/a_lift,2*SQRT((ABS($B11-V$5))/a_lift)))+t_pos+t_I+IF((V$5)&lt;=0,0,IF((V$5)&gt;=v_lift^2/a_lift,(V$5)/v_lift+v_lift/a_lift,2*SQRT((V$5)/a_lift)))+t_pos+t_ch)</f>
        <v>0</v>
      </c>
      <c r="W11" s="20" t="n">
        <f aca="false">$C11*W$6*(t_ch+IF(($B11)&lt;=0,0,IF(($B11)&gt;=v_lift^2/a_lift,($B11)/v_lift+v_lift/a_lift,2*SQRT(($B11)/a_lift)))+t_pos+t_I+IF((ABS($B11-W$5))&lt;=0,0,IF((ABS($B11-W$5))&gt;=v_lift^2/a_lift,(ABS($B11-W$5))/v_lift+v_lift/a_lift,2*SQRT((ABS($B11-W$5))/a_lift)))+t_pos+t_I+IF((W$5)&lt;=0,0,IF((W$5)&gt;=v_lift^2/a_lift,(W$5)/v_lift+v_lift/a_lift,2*SQRT((W$5)/a_lift)))+t_pos+t_ch)</f>
        <v>0</v>
      </c>
    </row>
    <row r="12" customFormat="false" ht="15" hidden="false" customHeight="false" outlineLevel="0" collapsed="false">
      <c r="A12" s="7" t="n">
        <v>5</v>
      </c>
      <c r="B12" s="18" t="n">
        <f aca="false">Tiers!C8</f>
        <v>7.4</v>
      </c>
      <c r="C12" s="19" t="n">
        <f aca="false">Tiers!I8</f>
        <v>0.111111111111111</v>
      </c>
      <c r="D12" s="20" t="n">
        <f aca="false">$C12*D$6*(t_ch+IF(($B12)&lt;=0,0,IF(($B12)&gt;=v_lift^2/a_lift,($B12)/v_lift+v_lift/a_lift,2*SQRT(($B12)/a_lift)))+t_pos+t_I+IF((ABS($B12-D$5))&lt;=0,0,IF((ABS($B12-D$5))&gt;=v_lift^2/a_lift,(ABS($B12-D$5))/v_lift+v_lift/a_lift,2*SQRT((ABS($B12-D$5))/a_lift)))+t_pos+t_I+IF((D$5)&lt;=0,0,IF((D$5)&gt;=v_lift^2/a_lift,(D$5)/v_lift+v_lift/a_lift,2*SQRT((D$5)/a_lift)))+t_pos+t_ch)</f>
        <v>0</v>
      </c>
      <c r="E12" s="20" t="n">
        <f aca="false">$C12*E$6*(t_ch+IF(($B12)&lt;=0,0,IF(($B12)&gt;=v_lift^2/a_lift,($B12)/v_lift+v_lift/a_lift,2*SQRT(($B12)/a_lift)))+t_pos+t_I+IF((ABS($B12-E$5))&lt;=0,0,IF((ABS($B12-E$5))&gt;=v_lift^2/a_lift,(ABS($B12-E$5))/v_lift+v_lift/a_lift,2*SQRT((ABS($B12-E$5))/a_lift)))+t_pos+t_I+IF((E$5)&lt;=0,0,IF((E$5)&gt;=v_lift^2/a_lift,(E$5)/v_lift+v_lift/a_lift,2*SQRT((E$5)/a_lift)))+t_pos+t_ch)</f>
        <v>1.06278659611993</v>
      </c>
      <c r="F12" s="20" t="n">
        <f aca="false">$C12*F$6*(t_ch+IF(($B12)&lt;=0,0,IF(($B12)&gt;=v_lift^2/a_lift,($B12)/v_lift+v_lift/a_lift,2*SQRT(($B12)/a_lift)))+t_pos+t_I+IF((ABS($B12-F$5))&lt;=0,0,IF((ABS($B12-F$5))&gt;=v_lift^2/a_lift,(ABS($B12-F$5))/v_lift+v_lift/a_lift,2*SQRT((ABS($B12-F$5))/a_lift)))+t_pos+t_I+IF((F$5)&lt;=0,0,IF((F$5)&gt;=v_lift^2/a_lift,(F$5)/v_lift+v_lift/a_lift,2*SQRT((F$5)/a_lift)))+t_pos+t_ch)</f>
        <v>1.06278659611993</v>
      </c>
      <c r="G12" s="20" t="n">
        <f aca="false">$C12*G$6*(t_ch+IF(($B12)&lt;=0,0,IF(($B12)&gt;=v_lift^2/a_lift,($B12)/v_lift+v_lift/a_lift,2*SQRT(($B12)/a_lift)))+t_pos+t_I+IF((ABS($B12-G$5))&lt;=0,0,IF((ABS($B12-G$5))&gt;=v_lift^2/a_lift,(ABS($B12-G$5))/v_lift+v_lift/a_lift,2*SQRT((ABS($B12-G$5))/a_lift)))+t_pos+t_I+IF((G$5)&lt;=0,0,IF((G$5)&gt;=v_lift^2/a_lift,(G$5)/v_lift+v_lift/a_lift,2*SQRT((G$5)/a_lift)))+t_pos+t_ch)</f>
        <v>1.06278659611993</v>
      </c>
      <c r="H12" s="20" t="n">
        <f aca="false">$C12*H$6*(t_ch+IF(($B12)&lt;=0,0,IF(($B12)&gt;=v_lift^2/a_lift,($B12)/v_lift+v_lift/a_lift,2*SQRT(($B12)/a_lift)))+t_pos+t_I+IF((ABS($B12-H$5))&lt;=0,0,IF((ABS($B12-H$5))&gt;=v_lift^2/a_lift,(ABS($B12-H$5))/v_lift+v_lift/a_lift,2*SQRT((ABS($B12-H$5))/a_lift)))+t_pos+t_I+IF((H$5)&lt;=0,0,IF((H$5)&gt;=v_lift^2/a_lift,(H$5)/v_lift+v_lift/a_lift,2*SQRT((H$5)/a_lift)))+t_pos+t_ch)</f>
        <v>1.04514991181658</v>
      </c>
      <c r="I12" s="20" t="n">
        <f aca="false">$C12*I$6*(t_ch+IF(($B12)&lt;=0,0,IF(($B12)&gt;=v_lift^2/a_lift,($B12)/v_lift+v_lift/a_lift,2*SQRT(($B12)/a_lift)))+t_pos+t_I+IF((ABS($B12-I$5))&lt;=0,0,IF((ABS($B12-I$5))&gt;=v_lift^2/a_lift,(ABS($B12-I$5))/v_lift+v_lift/a_lift,2*SQRT((ABS($B12-I$5))/a_lift)))+t_pos+t_I+IF((I$5)&lt;=0,0,IF((I$5)&gt;=v_lift^2/a_lift,(I$5)/v_lift+v_lift/a_lift,2*SQRT((I$5)/a_lift)))+t_pos+t_ch)</f>
        <v>1.10846560846561</v>
      </c>
      <c r="J12" s="20" t="n">
        <f aca="false">$C12*J$6*(t_ch+IF(($B12)&lt;=0,0,IF(($B12)&gt;=v_lift^2/a_lift,($B12)/v_lift+v_lift/a_lift,2*SQRT(($B12)/a_lift)))+t_pos+t_I+IF((ABS($B12-J$5))&lt;=0,0,IF((ABS($B12-J$5))&gt;=v_lift^2/a_lift,(ABS($B12-J$5))/v_lift+v_lift/a_lift,2*SQRT((ABS($B12-J$5))/a_lift)))+t_pos+t_I+IF((J$5)&lt;=0,0,IF((J$5)&gt;=v_lift^2/a_lift,(J$5)/v_lift+v_lift/a_lift,2*SQRT((J$5)/a_lift)))+t_pos+t_ch)</f>
        <v>1.15414462081129</v>
      </c>
      <c r="K12" s="20" t="n">
        <f aca="false">$C12*K$6*(t_ch+IF(($B12)&lt;=0,0,IF(($B12)&gt;=v_lift^2/a_lift,($B12)/v_lift+v_lift/a_lift,2*SQRT(($B12)/a_lift)))+t_pos+t_I+IF((ABS($B12-K$5))&lt;=0,0,IF((ABS($B12-K$5))&gt;=v_lift^2/a_lift,(ABS($B12-K$5))/v_lift+v_lift/a_lift,2*SQRT((ABS($B12-K$5))/a_lift)))+t_pos+t_I+IF((K$5)&lt;=0,0,IF((K$5)&gt;=v_lift^2/a_lift,(K$5)/v_lift+v_lift/a_lift,2*SQRT((K$5)/a_lift)))+t_pos+t_ch)</f>
        <v>1.19982363315697</v>
      </c>
      <c r="L12" s="20" t="n">
        <f aca="false">$C12*L$6*(t_ch+IF(($B12)&lt;=0,0,IF(($B12)&gt;=v_lift^2/a_lift,($B12)/v_lift+v_lift/a_lift,2*SQRT(($B12)/a_lift)))+t_pos+t_I+IF((ABS($B12-L$5))&lt;=0,0,IF((ABS($B12-L$5))&gt;=v_lift^2/a_lift,(ABS($B12-L$5))/v_lift+v_lift/a_lift,2*SQRT((ABS($B12-L$5))/a_lift)))+t_pos+t_I+IF((L$5)&lt;=0,0,IF((L$5)&gt;=v_lift^2/a_lift,(L$5)/v_lift+v_lift/a_lift,2*SQRT((L$5)/a_lift)))+t_pos+t_ch)</f>
        <v>1.24550264550265</v>
      </c>
      <c r="M12" s="20" t="n">
        <f aca="false">$C12*M$6*(t_ch+IF(($B12)&lt;=0,0,IF(($B12)&gt;=v_lift^2/a_lift,($B12)/v_lift+v_lift/a_lift,2*SQRT(($B12)/a_lift)))+t_pos+t_I+IF((ABS($B12-M$5))&lt;=0,0,IF((ABS($B12-M$5))&gt;=v_lift^2/a_lift,(ABS($B12-M$5))/v_lift+v_lift/a_lift,2*SQRT((ABS($B12-M$5))/a_lift)))+t_pos+t_I+IF((M$5)&lt;=0,0,IF((M$5)&gt;=v_lift^2/a_lift,(M$5)/v_lift+v_lift/a_lift,2*SQRT((M$5)/a_lift)))+t_pos+t_ch)</f>
        <v>1.29118165784832</v>
      </c>
      <c r="N12" s="20" t="n">
        <f aca="false">$C12*N$6*(t_ch+IF(($B12)&lt;=0,0,IF(($B12)&gt;=v_lift^2/a_lift,($B12)/v_lift+v_lift/a_lift,2*SQRT(($B12)/a_lift)))+t_pos+t_I+IF((ABS($B12-N$5))&lt;=0,0,IF((ABS($B12-N$5))&gt;=v_lift^2/a_lift,(ABS($B12-N$5))/v_lift+v_lift/a_lift,2*SQRT((ABS($B12-N$5))/a_lift)))+t_pos+t_I+IF((N$5)&lt;=0,0,IF((N$5)&gt;=v_lift^2/a_lift,(N$5)/v_lift+v_lift/a_lift,2*SQRT((N$5)/a_lift)))+t_pos+t_ch)</f>
        <v>0</v>
      </c>
      <c r="O12" s="20" t="n">
        <f aca="false">$C12*O$6*(t_ch+IF(($B12)&lt;=0,0,IF(($B12)&gt;=v_lift^2/a_lift,($B12)/v_lift+v_lift/a_lift,2*SQRT(($B12)/a_lift)))+t_pos+t_I+IF((ABS($B12-O$5))&lt;=0,0,IF((ABS($B12-O$5))&gt;=v_lift^2/a_lift,(ABS($B12-O$5))/v_lift+v_lift/a_lift,2*SQRT((ABS($B12-O$5))/a_lift)))+t_pos+t_I+IF((O$5)&lt;=0,0,IF((O$5)&gt;=v_lift^2/a_lift,(O$5)/v_lift+v_lift/a_lift,2*SQRT((O$5)/a_lift)))+t_pos+t_ch)</f>
        <v>0</v>
      </c>
      <c r="P12" s="20" t="n">
        <f aca="false">$C12*P$6*(t_ch+IF(($B12)&lt;=0,0,IF(($B12)&gt;=v_lift^2/a_lift,($B12)/v_lift+v_lift/a_lift,2*SQRT(($B12)/a_lift)))+t_pos+t_I+IF((ABS($B12-P$5))&lt;=0,0,IF((ABS($B12-P$5))&gt;=v_lift^2/a_lift,(ABS($B12-P$5))/v_lift+v_lift/a_lift,2*SQRT((ABS($B12-P$5))/a_lift)))+t_pos+t_I+IF((P$5)&lt;=0,0,IF((P$5)&gt;=v_lift^2/a_lift,(P$5)/v_lift+v_lift/a_lift,2*SQRT((P$5)/a_lift)))+t_pos+t_ch)</f>
        <v>0</v>
      </c>
      <c r="Q12" s="20" t="n">
        <f aca="false">$C12*Q$6*(t_ch+IF(($B12)&lt;=0,0,IF(($B12)&gt;=v_lift^2/a_lift,($B12)/v_lift+v_lift/a_lift,2*SQRT(($B12)/a_lift)))+t_pos+t_I+IF((ABS($B12-Q$5))&lt;=0,0,IF((ABS($B12-Q$5))&gt;=v_lift^2/a_lift,(ABS($B12-Q$5))/v_lift+v_lift/a_lift,2*SQRT((ABS($B12-Q$5))/a_lift)))+t_pos+t_I+IF((Q$5)&lt;=0,0,IF((Q$5)&gt;=v_lift^2/a_lift,(Q$5)/v_lift+v_lift/a_lift,2*SQRT((Q$5)/a_lift)))+t_pos+t_ch)</f>
        <v>0</v>
      </c>
      <c r="R12" s="20" t="n">
        <f aca="false">$C12*R$6*(t_ch+IF(($B12)&lt;=0,0,IF(($B12)&gt;=v_lift^2/a_lift,($B12)/v_lift+v_lift/a_lift,2*SQRT(($B12)/a_lift)))+t_pos+t_I+IF((ABS($B12-R$5))&lt;=0,0,IF((ABS($B12-R$5))&gt;=v_lift^2/a_lift,(ABS($B12-R$5))/v_lift+v_lift/a_lift,2*SQRT((ABS($B12-R$5))/a_lift)))+t_pos+t_I+IF((R$5)&lt;=0,0,IF((R$5)&gt;=v_lift^2/a_lift,(R$5)/v_lift+v_lift/a_lift,2*SQRT((R$5)/a_lift)))+t_pos+t_ch)</f>
        <v>0</v>
      </c>
      <c r="S12" s="20" t="n">
        <f aca="false">$C12*S$6*(t_ch+IF(($B12)&lt;=0,0,IF(($B12)&gt;=v_lift^2/a_lift,($B12)/v_lift+v_lift/a_lift,2*SQRT(($B12)/a_lift)))+t_pos+t_I+IF((ABS($B12-S$5))&lt;=0,0,IF((ABS($B12-S$5))&gt;=v_lift^2/a_lift,(ABS($B12-S$5))/v_lift+v_lift/a_lift,2*SQRT((ABS($B12-S$5))/a_lift)))+t_pos+t_I+IF((S$5)&lt;=0,0,IF((S$5)&gt;=v_lift^2/a_lift,(S$5)/v_lift+v_lift/a_lift,2*SQRT((S$5)/a_lift)))+t_pos+t_ch)</f>
        <v>0</v>
      </c>
      <c r="T12" s="20" t="n">
        <f aca="false">$C12*T$6*(t_ch+IF(($B12)&lt;=0,0,IF(($B12)&gt;=v_lift^2/a_lift,($B12)/v_lift+v_lift/a_lift,2*SQRT(($B12)/a_lift)))+t_pos+t_I+IF((ABS($B12-T$5))&lt;=0,0,IF((ABS($B12-T$5))&gt;=v_lift^2/a_lift,(ABS($B12-T$5))/v_lift+v_lift/a_lift,2*SQRT((ABS($B12-T$5))/a_lift)))+t_pos+t_I+IF((T$5)&lt;=0,0,IF((T$5)&gt;=v_lift^2/a_lift,(T$5)/v_lift+v_lift/a_lift,2*SQRT((T$5)/a_lift)))+t_pos+t_ch)</f>
        <v>0</v>
      </c>
      <c r="U12" s="20" t="n">
        <f aca="false">$C12*U$6*(t_ch+IF(($B12)&lt;=0,0,IF(($B12)&gt;=v_lift^2/a_lift,($B12)/v_lift+v_lift/a_lift,2*SQRT(($B12)/a_lift)))+t_pos+t_I+IF((ABS($B12-U$5))&lt;=0,0,IF((ABS($B12-U$5))&gt;=v_lift^2/a_lift,(ABS($B12-U$5))/v_lift+v_lift/a_lift,2*SQRT((ABS($B12-U$5))/a_lift)))+t_pos+t_I+IF((U$5)&lt;=0,0,IF((U$5)&gt;=v_lift^2/a_lift,(U$5)/v_lift+v_lift/a_lift,2*SQRT((U$5)/a_lift)))+t_pos+t_ch)</f>
        <v>0</v>
      </c>
      <c r="V12" s="20" t="n">
        <f aca="false">$C12*V$6*(t_ch+IF(($B12)&lt;=0,0,IF(($B12)&gt;=v_lift^2/a_lift,($B12)/v_lift+v_lift/a_lift,2*SQRT(($B12)/a_lift)))+t_pos+t_I+IF((ABS($B12-V$5))&lt;=0,0,IF((ABS($B12-V$5))&gt;=v_lift^2/a_lift,(ABS($B12-V$5))/v_lift+v_lift/a_lift,2*SQRT((ABS($B12-V$5))/a_lift)))+t_pos+t_I+IF((V$5)&lt;=0,0,IF((V$5)&gt;=v_lift^2/a_lift,(V$5)/v_lift+v_lift/a_lift,2*SQRT((V$5)/a_lift)))+t_pos+t_ch)</f>
        <v>0</v>
      </c>
      <c r="W12" s="20" t="n">
        <f aca="false">$C12*W$6*(t_ch+IF(($B12)&lt;=0,0,IF(($B12)&gt;=v_lift^2/a_lift,($B12)/v_lift+v_lift/a_lift,2*SQRT(($B12)/a_lift)))+t_pos+t_I+IF((ABS($B12-W$5))&lt;=0,0,IF((ABS($B12-W$5))&gt;=v_lift^2/a_lift,(ABS($B12-W$5))/v_lift+v_lift/a_lift,2*SQRT((ABS($B12-W$5))/a_lift)))+t_pos+t_I+IF((W$5)&lt;=0,0,IF((W$5)&gt;=v_lift^2/a_lift,(W$5)/v_lift+v_lift/a_lift,2*SQRT((W$5)/a_lift)))+t_pos+t_ch)</f>
        <v>0</v>
      </c>
    </row>
    <row r="13" customFormat="false" ht="15" hidden="false" customHeight="false" outlineLevel="0" collapsed="false">
      <c r="A13" s="7" t="n">
        <v>6</v>
      </c>
      <c r="B13" s="18" t="n">
        <f aca="false">Tiers!C9</f>
        <v>9.25</v>
      </c>
      <c r="C13" s="19" t="n">
        <f aca="false">Tiers!I9</f>
        <v>0.111111111111111</v>
      </c>
      <c r="D13" s="20" t="n">
        <f aca="false">$C13*D$6*(t_ch+IF(($B13)&lt;=0,0,IF(($B13)&gt;=v_lift^2/a_lift,($B13)/v_lift+v_lift/a_lift,2*SQRT(($B13)/a_lift)))+t_pos+t_I+IF((ABS($B13-D$5))&lt;=0,0,IF((ABS($B13-D$5))&gt;=v_lift^2/a_lift,(ABS($B13-D$5))/v_lift+v_lift/a_lift,2*SQRT((ABS($B13-D$5))/a_lift)))+t_pos+t_I+IF((D$5)&lt;=0,0,IF((D$5)&gt;=v_lift^2/a_lift,(D$5)/v_lift+v_lift/a_lift,2*SQRT((D$5)/a_lift)))+t_pos+t_ch)</f>
        <v>0</v>
      </c>
      <c r="E13" s="20" t="n">
        <f aca="false">$C13*E$6*(t_ch+IF(($B13)&lt;=0,0,IF(($B13)&gt;=v_lift^2/a_lift,($B13)/v_lift+v_lift/a_lift,2*SQRT(($B13)/a_lift)))+t_pos+t_I+IF((ABS($B13-E$5))&lt;=0,0,IF((ABS($B13-E$5))&gt;=v_lift^2/a_lift,(ABS($B13-E$5))/v_lift+v_lift/a_lift,2*SQRT((ABS($B13-E$5))/a_lift)))+t_pos+t_I+IF((E$5)&lt;=0,0,IF((E$5)&gt;=v_lift^2/a_lift,(E$5)/v_lift+v_lift/a_lift,2*SQRT((E$5)/a_lift)))+t_pos+t_ch)</f>
        <v>1.10846560846561</v>
      </c>
      <c r="F13" s="20" t="n">
        <f aca="false">$C13*F$6*(t_ch+IF(($B13)&lt;=0,0,IF(($B13)&gt;=v_lift^2/a_lift,($B13)/v_lift+v_lift/a_lift,2*SQRT(($B13)/a_lift)))+t_pos+t_I+IF((ABS($B13-F$5))&lt;=0,0,IF((ABS($B13-F$5))&gt;=v_lift^2/a_lift,(ABS($B13-F$5))/v_lift+v_lift/a_lift,2*SQRT((ABS($B13-F$5))/a_lift)))+t_pos+t_I+IF((F$5)&lt;=0,0,IF((F$5)&gt;=v_lift^2/a_lift,(F$5)/v_lift+v_lift/a_lift,2*SQRT((F$5)/a_lift)))+t_pos+t_ch)</f>
        <v>1.10846560846561</v>
      </c>
      <c r="G13" s="20" t="n">
        <f aca="false">$C13*G$6*(t_ch+IF(($B13)&lt;=0,0,IF(($B13)&gt;=v_lift^2/a_lift,($B13)/v_lift+v_lift/a_lift,2*SQRT(($B13)/a_lift)))+t_pos+t_I+IF((ABS($B13-G$5))&lt;=0,0,IF((ABS($B13-G$5))&gt;=v_lift^2/a_lift,(ABS($B13-G$5))/v_lift+v_lift/a_lift,2*SQRT((ABS($B13-G$5))/a_lift)))+t_pos+t_I+IF((G$5)&lt;=0,0,IF((G$5)&gt;=v_lift^2/a_lift,(G$5)/v_lift+v_lift/a_lift,2*SQRT((G$5)/a_lift)))+t_pos+t_ch)</f>
        <v>1.10846560846561</v>
      </c>
      <c r="H13" s="20" t="n">
        <f aca="false">$C13*H$6*(t_ch+IF(($B13)&lt;=0,0,IF(($B13)&gt;=v_lift^2/a_lift,($B13)/v_lift+v_lift/a_lift,2*SQRT(($B13)/a_lift)))+t_pos+t_I+IF((ABS($B13-H$5))&lt;=0,0,IF((ABS($B13-H$5))&gt;=v_lift^2/a_lift,(ABS($B13-H$5))/v_lift+v_lift/a_lift,2*SQRT((ABS($B13-H$5))/a_lift)))+t_pos+t_I+IF((H$5)&lt;=0,0,IF((H$5)&gt;=v_lift^2/a_lift,(H$5)/v_lift+v_lift/a_lift,2*SQRT((H$5)/a_lift)))+t_pos+t_ch)</f>
        <v>1.10846560846561</v>
      </c>
      <c r="I13" s="20" t="n">
        <f aca="false">$C13*I$6*(t_ch+IF(($B13)&lt;=0,0,IF(($B13)&gt;=v_lift^2/a_lift,($B13)/v_lift+v_lift/a_lift,2*SQRT(($B13)/a_lift)))+t_pos+t_I+IF((ABS($B13-I$5))&lt;=0,0,IF((ABS($B13-I$5))&gt;=v_lift^2/a_lift,(ABS($B13-I$5))/v_lift+v_lift/a_lift,2*SQRT((ABS($B13-I$5))/a_lift)))+t_pos+t_I+IF((I$5)&lt;=0,0,IF((I$5)&gt;=v_lift^2/a_lift,(I$5)/v_lift+v_lift/a_lift,2*SQRT((I$5)/a_lift)))+t_pos+t_ch)</f>
        <v>1.09082892416226</v>
      </c>
      <c r="J13" s="20" t="n">
        <f aca="false">$C13*J$6*(t_ch+IF(($B13)&lt;=0,0,IF(($B13)&gt;=v_lift^2/a_lift,($B13)/v_lift+v_lift/a_lift,2*SQRT(($B13)/a_lift)))+t_pos+t_I+IF((ABS($B13-J$5))&lt;=0,0,IF((ABS($B13-J$5))&gt;=v_lift^2/a_lift,(ABS($B13-J$5))/v_lift+v_lift/a_lift,2*SQRT((ABS($B13-J$5))/a_lift)))+t_pos+t_I+IF((J$5)&lt;=0,0,IF((J$5)&gt;=v_lift^2/a_lift,(J$5)/v_lift+v_lift/a_lift,2*SQRT((J$5)/a_lift)))+t_pos+t_ch)</f>
        <v>1.15414462081129</v>
      </c>
      <c r="K13" s="20" t="n">
        <f aca="false">$C13*K$6*(t_ch+IF(($B13)&lt;=0,0,IF(($B13)&gt;=v_lift^2/a_lift,($B13)/v_lift+v_lift/a_lift,2*SQRT(($B13)/a_lift)))+t_pos+t_I+IF((ABS($B13-K$5))&lt;=0,0,IF((ABS($B13-K$5))&gt;=v_lift^2/a_lift,(ABS($B13-K$5))/v_lift+v_lift/a_lift,2*SQRT((ABS($B13-K$5))/a_lift)))+t_pos+t_I+IF((K$5)&lt;=0,0,IF((K$5)&gt;=v_lift^2/a_lift,(K$5)/v_lift+v_lift/a_lift,2*SQRT((K$5)/a_lift)))+t_pos+t_ch)</f>
        <v>1.19982363315697</v>
      </c>
      <c r="L13" s="20" t="n">
        <f aca="false">$C13*L$6*(t_ch+IF(($B13)&lt;=0,0,IF(($B13)&gt;=v_lift^2/a_lift,($B13)/v_lift+v_lift/a_lift,2*SQRT(($B13)/a_lift)))+t_pos+t_I+IF((ABS($B13-L$5))&lt;=0,0,IF((ABS($B13-L$5))&gt;=v_lift^2/a_lift,(ABS($B13-L$5))/v_lift+v_lift/a_lift,2*SQRT((ABS($B13-L$5))/a_lift)))+t_pos+t_I+IF((L$5)&lt;=0,0,IF((L$5)&gt;=v_lift^2/a_lift,(L$5)/v_lift+v_lift/a_lift,2*SQRT((L$5)/a_lift)))+t_pos+t_ch)</f>
        <v>1.24550264550265</v>
      </c>
      <c r="M13" s="20" t="n">
        <f aca="false">$C13*M$6*(t_ch+IF(($B13)&lt;=0,0,IF(($B13)&gt;=v_lift^2/a_lift,($B13)/v_lift+v_lift/a_lift,2*SQRT(($B13)/a_lift)))+t_pos+t_I+IF((ABS($B13-M$5))&lt;=0,0,IF((ABS($B13-M$5))&gt;=v_lift^2/a_lift,(ABS($B13-M$5))/v_lift+v_lift/a_lift,2*SQRT((ABS($B13-M$5))/a_lift)))+t_pos+t_I+IF((M$5)&lt;=0,0,IF((M$5)&gt;=v_lift^2/a_lift,(M$5)/v_lift+v_lift/a_lift,2*SQRT((M$5)/a_lift)))+t_pos+t_ch)</f>
        <v>1.29118165784832</v>
      </c>
      <c r="N13" s="20" t="n">
        <f aca="false">$C13*N$6*(t_ch+IF(($B13)&lt;=0,0,IF(($B13)&gt;=v_lift^2/a_lift,($B13)/v_lift+v_lift/a_lift,2*SQRT(($B13)/a_lift)))+t_pos+t_I+IF((ABS($B13-N$5))&lt;=0,0,IF((ABS($B13-N$5))&gt;=v_lift^2/a_lift,(ABS($B13-N$5))/v_lift+v_lift/a_lift,2*SQRT((ABS($B13-N$5))/a_lift)))+t_pos+t_I+IF((N$5)&lt;=0,0,IF((N$5)&gt;=v_lift^2/a_lift,(N$5)/v_lift+v_lift/a_lift,2*SQRT((N$5)/a_lift)))+t_pos+t_ch)</f>
        <v>0</v>
      </c>
      <c r="O13" s="20" t="n">
        <f aca="false">$C13*O$6*(t_ch+IF(($B13)&lt;=0,0,IF(($B13)&gt;=v_lift^2/a_lift,($B13)/v_lift+v_lift/a_lift,2*SQRT(($B13)/a_lift)))+t_pos+t_I+IF((ABS($B13-O$5))&lt;=0,0,IF((ABS($B13-O$5))&gt;=v_lift^2/a_lift,(ABS($B13-O$5))/v_lift+v_lift/a_lift,2*SQRT((ABS($B13-O$5))/a_lift)))+t_pos+t_I+IF((O$5)&lt;=0,0,IF((O$5)&gt;=v_lift^2/a_lift,(O$5)/v_lift+v_lift/a_lift,2*SQRT((O$5)/a_lift)))+t_pos+t_ch)</f>
        <v>0</v>
      </c>
      <c r="P13" s="20" t="n">
        <f aca="false">$C13*P$6*(t_ch+IF(($B13)&lt;=0,0,IF(($B13)&gt;=v_lift^2/a_lift,($B13)/v_lift+v_lift/a_lift,2*SQRT(($B13)/a_lift)))+t_pos+t_I+IF((ABS($B13-P$5))&lt;=0,0,IF((ABS($B13-P$5))&gt;=v_lift^2/a_lift,(ABS($B13-P$5))/v_lift+v_lift/a_lift,2*SQRT((ABS($B13-P$5))/a_lift)))+t_pos+t_I+IF((P$5)&lt;=0,0,IF((P$5)&gt;=v_lift^2/a_lift,(P$5)/v_lift+v_lift/a_lift,2*SQRT((P$5)/a_lift)))+t_pos+t_ch)</f>
        <v>0</v>
      </c>
      <c r="Q13" s="20" t="n">
        <f aca="false">$C13*Q$6*(t_ch+IF(($B13)&lt;=0,0,IF(($B13)&gt;=v_lift^2/a_lift,($B13)/v_lift+v_lift/a_lift,2*SQRT(($B13)/a_lift)))+t_pos+t_I+IF((ABS($B13-Q$5))&lt;=0,0,IF((ABS($B13-Q$5))&gt;=v_lift^2/a_lift,(ABS($B13-Q$5))/v_lift+v_lift/a_lift,2*SQRT((ABS($B13-Q$5))/a_lift)))+t_pos+t_I+IF((Q$5)&lt;=0,0,IF((Q$5)&gt;=v_lift^2/a_lift,(Q$5)/v_lift+v_lift/a_lift,2*SQRT((Q$5)/a_lift)))+t_pos+t_ch)</f>
        <v>0</v>
      </c>
      <c r="R13" s="20" t="n">
        <f aca="false">$C13*R$6*(t_ch+IF(($B13)&lt;=0,0,IF(($B13)&gt;=v_lift^2/a_lift,($B13)/v_lift+v_lift/a_lift,2*SQRT(($B13)/a_lift)))+t_pos+t_I+IF((ABS($B13-R$5))&lt;=0,0,IF((ABS($B13-R$5))&gt;=v_lift^2/a_lift,(ABS($B13-R$5))/v_lift+v_lift/a_lift,2*SQRT((ABS($B13-R$5))/a_lift)))+t_pos+t_I+IF((R$5)&lt;=0,0,IF((R$5)&gt;=v_lift^2/a_lift,(R$5)/v_lift+v_lift/a_lift,2*SQRT((R$5)/a_lift)))+t_pos+t_ch)</f>
        <v>0</v>
      </c>
      <c r="S13" s="20" t="n">
        <f aca="false">$C13*S$6*(t_ch+IF(($B13)&lt;=0,0,IF(($B13)&gt;=v_lift^2/a_lift,($B13)/v_lift+v_lift/a_lift,2*SQRT(($B13)/a_lift)))+t_pos+t_I+IF((ABS($B13-S$5))&lt;=0,0,IF((ABS($B13-S$5))&gt;=v_lift^2/a_lift,(ABS($B13-S$5))/v_lift+v_lift/a_lift,2*SQRT((ABS($B13-S$5))/a_lift)))+t_pos+t_I+IF((S$5)&lt;=0,0,IF((S$5)&gt;=v_lift^2/a_lift,(S$5)/v_lift+v_lift/a_lift,2*SQRT((S$5)/a_lift)))+t_pos+t_ch)</f>
        <v>0</v>
      </c>
      <c r="T13" s="20" t="n">
        <f aca="false">$C13*T$6*(t_ch+IF(($B13)&lt;=0,0,IF(($B13)&gt;=v_lift^2/a_lift,($B13)/v_lift+v_lift/a_lift,2*SQRT(($B13)/a_lift)))+t_pos+t_I+IF((ABS($B13-T$5))&lt;=0,0,IF((ABS($B13-T$5))&gt;=v_lift^2/a_lift,(ABS($B13-T$5))/v_lift+v_lift/a_lift,2*SQRT((ABS($B13-T$5))/a_lift)))+t_pos+t_I+IF((T$5)&lt;=0,0,IF((T$5)&gt;=v_lift^2/a_lift,(T$5)/v_lift+v_lift/a_lift,2*SQRT((T$5)/a_lift)))+t_pos+t_ch)</f>
        <v>0</v>
      </c>
      <c r="U13" s="20" t="n">
        <f aca="false">$C13*U$6*(t_ch+IF(($B13)&lt;=0,0,IF(($B13)&gt;=v_lift^2/a_lift,($B13)/v_lift+v_lift/a_lift,2*SQRT(($B13)/a_lift)))+t_pos+t_I+IF((ABS($B13-U$5))&lt;=0,0,IF((ABS($B13-U$5))&gt;=v_lift^2/a_lift,(ABS($B13-U$5))/v_lift+v_lift/a_lift,2*SQRT((ABS($B13-U$5))/a_lift)))+t_pos+t_I+IF((U$5)&lt;=0,0,IF((U$5)&gt;=v_lift^2/a_lift,(U$5)/v_lift+v_lift/a_lift,2*SQRT((U$5)/a_lift)))+t_pos+t_ch)</f>
        <v>0</v>
      </c>
      <c r="V13" s="20" t="n">
        <f aca="false">$C13*V$6*(t_ch+IF(($B13)&lt;=0,0,IF(($B13)&gt;=v_lift^2/a_lift,($B13)/v_lift+v_lift/a_lift,2*SQRT(($B13)/a_lift)))+t_pos+t_I+IF((ABS($B13-V$5))&lt;=0,0,IF((ABS($B13-V$5))&gt;=v_lift^2/a_lift,(ABS($B13-V$5))/v_lift+v_lift/a_lift,2*SQRT((ABS($B13-V$5))/a_lift)))+t_pos+t_I+IF((V$5)&lt;=0,0,IF((V$5)&gt;=v_lift^2/a_lift,(V$5)/v_lift+v_lift/a_lift,2*SQRT((V$5)/a_lift)))+t_pos+t_ch)</f>
        <v>0</v>
      </c>
      <c r="W13" s="20" t="n">
        <f aca="false">$C13*W$6*(t_ch+IF(($B13)&lt;=0,0,IF(($B13)&gt;=v_lift^2/a_lift,($B13)/v_lift+v_lift/a_lift,2*SQRT(($B13)/a_lift)))+t_pos+t_I+IF((ABS($B13-W$5))&lt;=0,0,IF((ABS($B13-W$5))&gt;=v_lift^2/a_lift,(ABS($B13-W$5))/v_lift+v_lift/a_lift,2*SQRT((ABS($B13-W$5))/a_lift)))+t_pos+t_I+IF((W$5)&lt;=0,0,IF((W$5)&gt;=v_lift^2/a_lift,(W$5)/v_lift+v_lift/a_lift,2*SQRT((W$5)/a_lift)))+t_pos+t_ch)</f>
        <v>0</v>
      </c>
    </row>
    <row r="14" customFormat="false" ht="15" hidden="false" customHeight="false" outlineLevel="0" collapsed="false">
      <c r="A14" s="7" t="n">
        <v>7</v>
      </c>
      <c r="B14" s="18" t="n">
        <f aca="false">Tiers!C10</f>
        <v>11.1</v>
      </c>
      <c r="C14" s="19" t="n">
        <f aca="false">Tiers!I10</f>
        <v>0.111111111111111</v>
      </c>
      <c r="D14" s="20" t="n">
        <f aca="false">$C14*D$6*(t_ch+IF(($B14)&lt;=0,0,IF(($B14)&gt;=v_lift^2/a_lift,($B14)/v_lift+v_lift/a_lift,2*SQRT(($B14)/a_lift)))+t_pos+t_I+IF((ABS($B14-D$5))&lt;=0,0,IF((ABS($B14-D$5))&gt;=v_lift^2/a_lift,(ABS($B14-D$5))/v_lift+v_lift/a_lift,2*SQRT((ABS($B14-D$5))/a_lift)))+t_pos+t_I+IF((D$5)&lt;=0,0,IF((D$5)&gt;=v_lift^2/a_lift,(D$5)/v_lift+v_lift/a_lift,2*SQRT((D$5)/a_lift)))+t_pos+t_ch)</f>
        <v>0</v>
      </c>
      <c r="E14" s="20" t="n">
        <f aca="false">$C14*E$6*(t_ch+IF(($B14)&lt;=0,0,IF(($B14)&gt;=v_lift^2/a_lift,($B14)/v_lift+v_lift/a_lift,2*SQRT(($B14)/a_lift)))+t_pos+t_I+IF((ABS($B14-E$5))&lt;=0,0,IF((ABS($B14-E$5))&gt;=v_lift^2/a_lift,(ABS($B14-E$5))/v_lift+v_lift/a_lift,2*SQRT((ABS($B14-E$5))/a_lift)))+t_pos+t_I+IF((E$5)&lt;=0,0,IF((E$5)&gt;=v_lift^2/a_lift,(E$5)/v_lift+v_lift/a_lift,2*SQRT((E$5)/a_lift)))+t_pos+t_ch)</f>
        <v>1.15414462081129</v>
      </c>
      <c r="F14" s="20" t="n">
        <f aca="false">$C14*F$6*(t_ch+IF(($B14)&lt;=0,0,IF(($B14)&gt;=v_lift^2/a_lift,($B14)/v_lift+v_lift/a_lift,2*SQRT(($B14)/a_lift)))+t_pos+t_I+IF((ABS($B14-F$5))&lt;=0,0,IF((ABS($B14-F$5))&gt;=v_lift^2/a_lift,(ABS($B14-F$5))/v_lift+v_lift/a_lift,2*SQRT((ABS($B14-F$5))/a_lift)))+t_pos+t_I+IF((F$5)&lt;=0,0,IF((F$5)&gt;=v_lift^2/a_lift,(F$5)/v_lift+v_lift/a_lift,2*SQRT((F$5)/a_lift)))+t_pos+t_ch)</f>
        <v>1.15414462081129</v>
      </c>
      <c r="G14" s="20" t="n">
        <f aca="false">$C14*G$6*(t_ch+IF(($B14)&lt;=0,0,IF(($B14)&gt;=v_lift^2/a_lift,($B14)/v_lift+v_lift/a_lift,2*SQRT(($B14)/a_lift)))+t_pos+t_I+IF((ABS($B14-G$5))&lt;=0,0,IF((ABS($B14-G$5))&gt;=v_lift^2/a_lift,(ABS($B14-G$5))/v_lift+v_lift/a_lift,2*SQRT((ABS($B14-G$5))/a_lift)))+t_pos+t_I+IF((G$5)&lt;=0,0,IF((G$5)&gt;=v_lift^2/a_lift,(G$5)/v_lift+v_lift/a_lift,2*SQRT((G$5)/a_lift)))+t_pos+t_ch)</f>
        <v>1.15414462081129</v>
      </c>
      <c r="H14" s="20" t="n">
        <f aca="false">$C14*H$6*(t_ch+IF(($B14)&lt;=0,0,IF(($B14)&gt;=v_lift^2/a_lift,($B14)/v_lift+v_lift/a_lift,2*SQRT(($B14)/a_lift)))+t_pos+t_I+IF((ABS($B14-H$5))&lt;=0,0,IF((ABS($B14-H$5))&gt;=v_lift^2/a_lift,(ABS($B14-H$5))/v_lift+v_lift/a_lift,2*SQRT((ABS($B14-H$5))/a_lift)))+t_pos+t_I+IF((H$5)&lt;=0,0,IF((H$5)&gt;=v_lift^2/a_lift,(H$5)/v_lift+v_lift/a_lift,2*SQRT((H$5)/a_lift)))+t_pos+t_ch)</f>
        <v>1.15414462081129</v>
      </c>
      <c r="I14" s="20" t="n">
        <f aca="false">$C14*I$6*(t_ch+IF(($B14)&lt;=0,0,IF(($B14)&gt;=v_lift^2/a_lift,($B14)/v_lift+v_lift/a_lift,2*SQRT(($B14)/a_lift)))+t_pos+t_I+IF((ABS($B14-I$5))&lt;=0,0,IF((ABS($B14-I$5))&gt;=v_lift^2/a_lift,(ABS($B14-I$5))/v_lift+v_lift/a_lift,2*SQRT((ABS($B14-I$5))/a_lift)))+t_pos+t_I+IF((I$5)&lt;=0,0,IF((I$5)&gt;=v_lift^2/a_lift,(I$5)/v_lift+v_lift/a_lift,2*SQRT((I$5)/a_lift)))+t_pos+t_ch)</f>
        <v>1.15414462081129</v>
      </c>
      <c r="J14" s="20" t="n">
        <f aca="false">$C14*J$6*(t_ch+IF(($B14)&lt;=0,0,IF(($B14)&gt;=v_lift^2/a_lift,($B14)/v_lift+v_lift/a_lift,2*SQRT(($B14)/a_lift)))+t_pos+t_I+IF((ABS($B14-J$5))&lt;=0,0,IF((ABS($B14-J$5))&gt;=v_lift^2/a_lift,(ABS($B14-J$5))/v_lift+v_lift/a_lift,2*SQRT((ABS($B14-J$5))/a_lift)))+t_pos+t_I+IF((J$5)&lt;=0,0,IF((J$5)&gt;=v_lift^2/a_lift,(J$5)/v_lift+v_lift/a_lift,2*SQRT((J$5)/a_lift)))+t_pos+t_ch)</f>
        <v>1.13650793650794</v>
      </c>
      <c r="K14" s="20" t="n">
        <f aca="false">$C14*K$6*(t_ch+IF(($B14)&lt;=0,0,IF(($B14)&gt;=v_lift^2/a_lift,($B14)/v_lift+v_lift/a_lift,2*SQRT(($B14)/a_lift)))+t_pos+t_I+IF((ABS($B14-K$5))&lt;=0,0,IF((ABS($B14-K$5))&gt;=v_lift^2/a_lift,(ABS($B14-K$5))/v_lift+v_lift/a_lift,2*SQRT((ABS($B14-K$5))/a_lift)))+t_pos+t_I+IF((K$5)&lt;=0,0,IF((K$5)&gt;=v_lift^2/a_lift,(K$5)/v_lift+v_lift/a_lift,2*SQRT((K$5)/a_lift)))+t_pos+t_ch)</f>
        <v>1.19982363315697</v>
      </c>
      <c r="L14" s="20" t="n">
        <f aca="false">$C14*L$6*(t_ch+IF(($B14)&lt;=0,0,IF(($B14)&gt;=v_lift^2/a_lift,($B14)/v_lift+v_lift/a_lift,2*SQRT(($B14)/a_lift)))+t_pos+t_I+IF((ABS($B14-L$5))&lt;=0,0,IF((ABS($B14-L$5))&gt;=v_lift^2/a_lift,(ABS($B14-L$5))/v_lift+v_lift/a_lift,2*SQRT((ABS($B14-L$5))/a_lift)))+t_pos+t_I+IF((L$5)&lt;=0,0,IF((L$5)&gt;=v_lift^2/a_lift,(L$5)/v_lift+v_lift/a_lift,2*SQRT((L$5)/a_lift)))+t_pos+t_ch)</f>
        <v>1.24550264550265</v>
      </c>
      <c r="M14" s="20" t="n">
        <f aca="false">$C14*M$6*(t_ch+IF(($B14)&lt;=0,0,IF(($B14)&gt;=v_lift^2/a_lift,($B14)/v_lift+v_lift/a_lift,2*SQRT(($B14)/a_lift)))+t_pos+t_I+IF((ABS($B14-M$5))&lt;=0,0,IF((ABS($B14-M$5))&gt;=v_lift^2/a_lift,(ABS($B14-M$5))/v_lift+v_lift/a_lift,2*SQRT((ABS($B14-M$5))/a_lift)))+t_pos+t_I+IF((M$5)&lt;=0,0,IF((M$5)&gt;=v_lift^2/a_lift,(M$5)/v_lift+v_lift/a_lift,2*SQRT((M$5)/a_lift)))+t_pos+t_ch)</f>
        <v>1.29118165784832</v>
      </c>
      <c r="N14" s="20" t="n">
        <f aca="false">$C14*N$6*(t_ch+IF(($B14)&lt;=0,0,IF(($B14)&gt;=v_lift^2/a_lift,($B14)/v_lift+v_lift/a_lift,2*SQRT(($B14)/a_lift)))+t_pos+t_I+IF((ABS($B14-N$5))&lt;=0,0,IF((ABS($B14-N$5))&gt;=v_lift^2/a_lift,(ABS($B14-N$5))/v_lift+v_lift/a_lift,2*SQRT((ABS($B14-N$5))/a_lift)))+t_pos+t_I+IF((N$5)&lt;=0,0,IF((N$5)&gt;=v_lift^2/a_lift,(N$5)/v_lift+v_lift/a_lift,2*SQRT((N$5)/a_lift)))+t_pos+t_ch)</f>
        <v>0</v>
      </c>
      <c r="O14" s="20" t="n">
        <f aca="false">$C14*O$6*(t_ch+IF(($B14)&lt;=0,0,IF(($B14)&gt;=v_lift^2/a_lift,($B14)/v_lift+v_lift/a_lift,2*SQRT(($B14)/a_lift)))+t_pos+t_I+IF((ABS($B14-O$5))&lt;=0,0,IF((ABS($B14-O$5))&gt;=v_lift^2/a_lift,(ABS($B14-O$5))/v_lift+v_lift/a_lift,2*SQRT((ABS($B14-O$5))/a_lift)))+t_pos+t_I+IF((O$5)&lt;=0,0,IF((O$5)&gt;=v_lift^2/a_lift,(O$5)/v_lift+v_lift/a_lift,2*SQRT((O$5)/a_lift)))+t_pos+t_ch)</f>
        <v>0</v>
      </c>
      <c r="P14" s="20" t="n">
        <f aca="false">$C14*P$6*(t_ch+IF(($B14)&lt;=0,0,IF(($B14)&gt;=v_lift^2/a_lift,($B14)/v_lift+v_lift/a_lift,2*SQRT(($B14)/a_lift)))+t_pos+t_I+IF((ABS($B14-P$5))&lt;=0,0,IF((ABS($B14-P$5))&gt;=v_lift^2/a_lift,(ABS($B14-P$5))/v_lift+v_lift/a_lift,2*SQRT((ABS($B14-P$5))/a_lift)))+t_pos+t_I+IF((P$5)&lt;=0,0,IF((P$5)&gt;=v_lift^2/a_lift,(P$5)/v_lift+v_lift/a_lift,2*SQRT((P$5)/a_lift)))+t_pos+t_ch)</f>
        <v>0</v>
      </c>
      <c r="Q14" s="20" t="n">
        <f aca="false">$C14*Q$6*(t_ch+IF(($B14)&lt;=0,0,IF(($B14)&gt;=v_lift^2/a_lift,($B14)/v_lift+v_lift/a_lift,2*SQRT(($B14)/a_lift)))+t_pos+t_I+IF((ABS($B14-Q$5))&lt;=0,0,IF((ABS($B14-Q$5))&gt;=v_lift^2/a_lift,(ABS($B14-Q$5))/v_lift+v_lift/a_lift,2*SQRT((ABS($B14-Q$5))/a_lift)))+t_pos+t_I+IF((Q$5)&lt;=0,0,IF((Q$5)&gt;=v_lift^2/a_lift,(Q$5)/v_lift+v_lift/a_lift,2*SQRT((Q$5)/a_lift)))+t_pos+t_ch)</f>
        <v>0</v>
      </c>
      <c r="R14" s="20" t="n">
        <f aca="false">$C14*R$6*(t_ch+IF(($B14)&lt;=0,0,IF(($B14)&gt;=v_lift^2/a_lift,($B14)/v_lift+v_lift/a_lift,2*SQRT(($B14)/a_lift)))+t_pos+t_I+IF((ABS($B14-R$5))&lt;=0,0,IF((ABS($B14-R$5))&gt;=v_lift^2/a_lift,(ABS($B14-R$5))/v_lift+v_lift/a_lift,2*SQRT((ABS($B14-R$5))/a_lift)))+t_pos+t_I+IF((R$5)&lt;=0,0,IF((R$5)&gt;=v_lift^2/a_lift,(R$5)/v_lift+v_lift/a_lift,2*SQRT((R$5)/a_lift)))+t_pos+t_ch)</f>
        <v>0</v>
      </c>
      <c r="S14" s="20" t="n">
        <f aca="false">$C14*S$6*(t_ch+IF(($B14)&lt;=0,0,IF(($B14)&gt;=v_lift^2/a_lift,($B14)/v_lift+v_lift/a_lift,2*SQRT(($B14)/a_lift)))+t_pos+t_I+IF((ABS($B14-S$5))&lt;=0,0,IF((ABS($B14-S$5))&gt;=v_lift^2/a_lift,(ABS($B14-S$5))/v_lift+v_lift/a_lift,2*SQRT((ABS($B14-S$5))/a_lift)))+t_pos+t_I+IF((S$5)&lt;=0,0,IF((S$5)&gt;=v_lift^2/a_lift,(S$5)/v_lift+v_lift/a_lift,2*SQRT((S$5)/a_lift)))+t_pos+t_ch)</f>
        <v>0</v>
      </c>
      <c r="T14" s="20" t="n">
        <f aca="false">$C14*T$6*(t_ch+IF(($B14)&lt;=0,0,IF(($B14)&gt;=v_lift^2/a_lift,($B14)/v_lift+v_lift/a_lift,2*SQRT(($B14)/a_lift)))+t_pos+t_I+IF((ABS($B14-T$5))&lt;=0,0,IF((ABS($B14-T$5))&gt;=v_lift^2/a_lift,(ABS($B14-T$5))/v_lift+v_lift/a_lift,2*SQRT((ABS($B14-T$5))/a_lift)))+t_pos+t_I+IF((T$5)&lt;=0,0,IF((T$5)&gt;=v_lift^2/a_lift,(T$5)/v_lift+v_lift/a_lift,2*SQRT((T$5)/a_lift)))+t_pos+t_ch)</f>
        <v>0</v>
      </c>
      <c r="U14" s="20" t="n">
        <f aca="false">$C14*U$6*(t_ch+IF(($B14)&lt;=0,0,IF(($B14)&gt;=v_lift^2/a_lift,($B14)/v_lift+v_lift/a_lift,2*SQRT(($B14)/a_lift)))+t_pos+t_I+IF((ABS($B14-U$5))&lt;=0,0,IF((ABS($B14-U$5))&gt;=v_lift^2/a_lift,(ABS($B14-U$5))/v_lift+v_lift/a_lift,2*SQRT((ABS($B14-U$5))/a_lift)))+t_pos+t_I+IF((U$5)&lt;=0,0,IF((U$5)&gt;=v_lift^2/a_lift,(U$5)/v_lift+v_lift/a_lift,2*SQRT((U$5)/a_lift)))+t_pos+t_ch)</f>
        <v>0</v>
      </c>
      <c r="V14" s="20" t="n">
        <f aca="false">$C14*V$6*(t_ch+IF(($B14)&lt;=0,0,IF(($B14)&gt;=v_lift^2/a_lift,($B14)/v_lift+v_lift/a_lift,2*SQRT(($B14)/a_lift)))+t_pos+t_I+IF((ABS($B14-V$5))&lt;=0,0,IF((ABS($B14-V$5))&gt;=v_lift^2/a_lift,(ABS($B14-V$5))/v_lift+v_lift/a_lift,2*SQRT((ABS($B14-V$5))/a_lift)))+t_pos+t_I+IF((V$5)&lt;=0,0,IF((V$5)&gt;=v_lift^2/a_lift,(V$5)/v_lift+v_lift/a_lift,2*SQRT((V$5)/a_lift)))+t_pos+t_ch)</f>
        <v>0</v>
      </c>
      <c r="W14" s="20" t="n">
        <f aca="false">$C14*W$6*(t_ch+IF(($B14)&lt;=0,0,IF(($B14)&gt;=v_lift^2/a_lift,($B14)/v_lift+v_lift/a_lift,2*SQRT(($B14)/a_lift)))+t_pos+t_I+IF((ABS($B14-W$5))&lt;=0,0,IF((ABS($B14-W$5))&gt;=v_lift^2/a_lift,(ABS($B14-W$5))/v_lift+v_lift/a_lift,2*SQRT((ABS($B14-W$5))/a_lift)))+t_pos+t_I+IF((W$5)&lt;=0,0,IF((W$5)&gt;=v_lift^2/a_lift,(W$5)/v_lift+v_lift/a_lift,2*SQRT((W$5)/a_lift)))+t_pos+t_ch)</f>
        <v>0</v>
      </c>
    </row>
    <row r="15" customFormat="false" ht="15" hidden="false" customHeight="false" outlineLevel="0" collapsed="false">
      <c r="A15" s="7" t="n">
        <v>8</v>
      </c>
      <c r="B15" s="18" t="n">
        <f aca="false">Tiers!C11</f>
        <v>12.95</v>
      </c>
      <c r="C15" s="19" t="n">
        <f aca="false">Tiers!I11</f>
        <v>0.111111111111111</v>
      </c>
      <c r="D15" s="20" t="n">
        <f aca="false">$C15*D$6*(t_ch+IF(($B15)&lt;=0,0,IF(($B15)&gt;=v_lift^2/a_lift,($B15)/v_lift+v_lift/a_lift,2*SQRT(($B15)/a_lift)))+t_pos+t_I+IF((ABS($B15-D$5))&lt;=0,0,IF((ABS($B15-D$5))&gt;=v_lift^2/a_lift,(ABS($B15-D$5))/v_lift+v_lift/a_lift,2*SQRT((ABS($B15-D$5))/a_lift)))+t_pos+t_I+IF((D$5)&lt;=0,0,IF((D$5)&gt;=v_lift^2/a_lift,(D$5)/v_lift+v_lift/a_lift,2*SQRT((D$5)/a_lift)))+t_pos+t_ch)</f>
        <v>0</v>
      </c>
      <c r="E15" s="20" t="n">
        <f aca="false">$C15*E$6*(t_ch+IF(($B15)&lt;=0,0,IF(($B15)&gt;=v_lift^2/a_lift,($B15)/v_lift+v_lift/a_lift,2*SQRT(($B15)/a_lift)))+t_pos+t_I+IF((ABS($B15-E$5))&lt;=0,0,IF((ABS($B15-E$5))&gt;=v_lift^2/a_lift,(ABS($B15-E$5))/v_lift+v_lift/a_lift,2*SQRT((ABS($B15-E$5))/a_lift)))+t_pos+t_I+IF((E$5)&lt;=0,0,IF((E$5)&gt;=v_lift^2/a_lift,(E$5)/v_lift+v_lift/a_lift,2*SQRT((E$5)/a_lift)))+t_pos+t_ch)</f>
        <v>1.19982363315697</v>
      </c>
      <c r="F15" s="20" t="n">
        <f aca="false">$C15*F$6*(t_ch+IF(($B15)&lt;=0,0,IF(($B15)&gt;=v_lift^2/a_lift,($B15)/v_lift+v_lift/a_lift,2*SQRT(($B15)/a_lift)))+t_pos+t_I+IF((ABS($B15-F$5))&lt;=0,0,IF((ABS($B15-F$5))&gt;=v_lift^2/a_lift,(ABS($B15-F$5))/v_lift+v_lift/a_lift,2*SQRT((ABS($B15-F$5))/a_lift)))+t_pos+t_I+IF((F$5)&lt;=0,0,IF((F$5)&gt;=v_lift^2/a_lift,(F$5)/v_lift+v_lift/a_lift,2*SQRT((F$5)/a_lift)))+t_pos+t_ch)</f>
        <v>1.19982363315697</v>
      </c>
      <c r="G15" s="20" t="n">
        <f aca="false">$C15*G$6*(t_ch+IF(($B15)&lt;=0,0,IF(($B15)&gt;=v_lift^2/a_lift,($B15)/v_lift+v_lift/a_lift,2*SQRT(($B15)/a_lift)))+t_pos+t_I+IF((ABS($B15-G$5))&lt;=0,0,IF((ABS($B15-G$5))&gt;=v_lift^2/a_lift,(ABS($B15-G$5))/v_lift+v_lift/a_lift,2*SQRT((ABS($B15-G$5))/a_lift)))+t_pos+t_I+IF((G$5)&lt;=0,0,IF((G$5)&gt;=v_lift^2/a_lift,(G$5)/v_lift+v_lift/a_lift,2*SQRT((G$5)/a_lift)))+t_pos+t_ch)</f>
        <v>1.19982363315697</v>
      </c>
      <c r="H15" s="20" t="n">
        <f aca="false">$C15*H$6*(t_ch+IF(($B15)&lt;=0,0,IF(($B15)&gt;=v_lift^2/a_lift,($B15)/v_lift+v_lift/a_lift,2*SQRT(($B15)/a_lift)))+t_pos+t_I+IF((ABS($B15-H$5))&lt;=0,0,IF((ABS($B15-H$5))&gt;=v_lift^2/a_lift,(ABS($B15-H$5))/v_lift+v_lift/a_lift,2*SQRT((ABS($B15-H$5))/a_lift)))+t_pos+t_I+IF((H$5)&lt;=0,0,IF((H$5)&gt;=v_lift^2/a_lift,(H$5)/v_lift+v_lift/a_lift,2*SQRT((H$5)/a_lift)))+t_pos+t_ch)</f>
        <v>1.19982363315697</v>
      </c>
      <c r="I15" s="20" t="n">
        <f aca="false">$C15*I$6*(t_ch+IF(($B15)&lt;=0,0,IF(($B15)&gt;=v_lift^2/a_lift,($B15)/v_lift+v_lift/a_lift,2*SQRT(($B15)/a_lift)))+t_pos+t_I+IF((ABS($B15-I$5))&lt;=0,0,IF((ABS($B15-I$5))&gt;=v_lift^2/a_lift,(ABS($B15-I$5))/v_lift+v_lift/a_lift,2*SQRT((ABS($B15-I$5))/a_lift)))+t_pos+t_I+IF((I$5)&lt;=0,0,IF((I$5)&gt;=v_lift^2/a_lift,(I$5)/v_lift+v_lift/a_lift,2*SQRT((I$5)/a_lift)))+t_pos+t_ch)</f>
        <v>1.19982363315697</v>
      </c>
      <c r="J15" s="20" t="n">
        <f aca="false">$C15*J$6*(t_ch+IF(($B15)&lt;=0,0,IF(($B15)&gt;=v_lift^2/a_lift,($B15)/v_lift+v_lift/a_lift,2*SQRT(($B15)/a_lift)))+t_pos+t_I+IF((ABS($B15-J$5))&lt;=0,0,IF((ABS($B15-J$5))&gt;=v_lift^2/a_lift,(ABS($B15-J$5))/v_lift+v_lift/a_lift,2*SQRT((ABS($B15-J$5))/a_lift)))+t_pos+t_I+IF((J$5)&lt;=0,0,IF((J$5)&gt;=v_lift^2/a_lift,(J$5)/v_lift+v_lift/a_lift,2*SQRT((J$5)/a_lift)))+t_pos+t_ch)</f>
        <v>1.19982363315697</v>
      </c>
      <c r="K15" s="20" t="n">
        <f aca="false">$C15*K$6*(t_ch+IF(($B15)&lt;=0,0,IF(($B15)&gt;=v_lift^2/a_lift,($B15)/v_lift+v_lift/a_lift,2*SQRT(($B15)/a_lift)))+t_pos+t_I+IF((ABS($B15-K$5))&lt;=0,0,IF((ABS($B15-K$5))&gt;=v_lift^2/a_lift,(ABS($B15-K$5))/v_lift+v_lift/a_lift,2*SQRT((ABS($B15-K$5))/a_lift)))+t_pos+t_I+IF((K$5)&lt;=0,0,IF((K$5)&gt;=v_lift^2/a_lift,(K$5)/v_lift+v_lift/a_lift,2*SQRT((K$5)/a_lift)))+t_pos+t_ch)</f>
        <v>1.18218694885362</v>
      </c>
      <c r="L15" s="20" t="n">
        <f aca="false">$C15*L$6*(t_ch+IF(($B15)&lt;=0,0,IF(($B15)&gt;=v_lift^2/a_lift,($B15)/v_lift+v_lift/a_lift,2*SQRT(($B15)/a_lift)))+t_pos+t_I+IF((ABS($B15-L$5))&lt;=0,0,IF((ABS($B15-L$5))&gt;=v_lift^2/a_lift,(ABS($B15-L$5))/v_lift+v_lift/a_lift,2*SQRT((ABS($B15-L$5))/a_lift)))+t_pos+t_I+IF((L$5)&lt;=0,0,IF((L$5)&gt;=v_lift^2/a_lift,(L$5)/v_lift+v_lift/a_lift,2*SQRT((L$5)/a_lift)))+t_pos+t_ch)</f>
        <v>1.24550264550265</v>
      </c>
      <c r="M15" s="20" t="n">
        <f aca="false">$C15*M$6*(t_ch+IF(($B15)&lt;=0,0,IF(($B15)&gt;=v_lift^2/a_lift,($B15)/v_lift+v_lift/a_lift,2*SQRT(($B15)/a_lift)))+t_pos+t_I+IF((ABS($B15-M$5))&lt;=0,0,IF((ABS($B15-M$5))&gt;=v_lift^2/a_lift,(ABS($B15-M$5))/v_lift+v_lift/a_lift,2*SQRT((ABS($B15-M$5))/a_lift)))+t_pos+t_I+IF((M$5)&lt;=0,0,IF((M$5)&gt;=v_lift^2/a_lift,(M$5)/v_lift+v_lift/a_lift,2*SQRT((M$5)/a_lift)))+t_pos+t_ch)</f>
        <v>1.29118165784832</v>
      </c>
      <c r="N15" s="20" t="n">
        <f aca="false">$C15*N$6*(t_ch+IF(($B15)&lt;=0,0,IF(($B15)&gt;=v_lift^2/a_lift,($B15)/v_lift+v_lift/a_lift,2*SQRT(($B15)/a_lift)))+t_pos+t_I+IF((ABS($B15-N$5))&lt;=0,0,IF((ABS($B15-N$5))&gt;=v_lift^2/a_lift,(ABS($B15-N$5))/v_lift+v_lift/a_lift,2*SQRT((ABS($B15-N$5))/a_lift)))+t_pos+t_I+IF((N$5)&lt;=0,0,IF((N$5)&gt;=v_lift^2/a_lift,(N$5)/v_lift+v_lift/a_lift,2*SQRT((N$5)/a_lift)))+t_pos+t_ch)</f>
        <v>0</v>
      </c>
      <c r="O15" s="20" t="n">
        <f aca="false">$C15*O$6*(t_ch+IF(($B15)&lt;=0,0,IF(($B15)&gt;=v_lift^2/a_lift,($B15)/v_lift+v_lift/a_lift,2*SQRT(($B15)/a_lift)))+t_pos+t_I+IF((ABS($B15-O$5))&lt;=0,0,IF((ABS($B15-O$5))&gt;=v_lift^2/a_lift,(ABS($B15-O$5))/v_lift+v_lift/a_lift,2*SQRT((ABS($B15-O$5))/a_lift)))+t_pos+t_I+IF((O$5)&lt;=0,0,IF((O$5)&gt;=v_lift^2/a_lift,(O$5)/v_lift+v_lift/a_lift,2*SQRT((O$5)/a_lift)))+t_pos+t_ch)</f>
        <v>0</v>
      </c>
      <c r="P15" s="20" t="n">
        <f aca="false">$C15*P$6*(t_ch+IF(($B15)&lt;=0,0,IF(($B15)&gt;=v_lift^2/a_lift,($B15)/v_lift+v_lift/a_lift,2*SQRT(($B15)/a_lift)))+t_pos+t_I+IF((ABS($B15-P$5))&lt;=0,0,IF((ABS($B15-P$5))&gt;=v_lift^2/a_lift,(ABS($B15-P$5))/v_lift+v_lift/a_lift,2*SQRT((ABS($B15-P$5))/a_lift)))+t_pos+t_I+IF((P$5)&lt;=0,0,IF((P$5)&gt;=v_lift^2/a_lift,(P$5)/v_lift+v_lift/a_lift,2*SQRT((P$5)/a_lift)))+t_pos+t_ch)</f>
        <v>0</v>
      </c>
      <c r="Q15" s="20" t="n">
        <f aca="false">$C15*Q$6*(t_ch+IF(($B15)&lt;=0,0,IF(($B15)&gt;=v_lift^2/a_lift,($B15)/v_lift+v_lift/a_lift,2*SQRT(($B15)/a_lift)))+t_pos+t_I+IF((ABS($B15-Q$5))&lt;=0,0,IF((ABS($B15-Q$5))&gt;=v_lift^2/a_lift,(ABS($B15-Q$5))/v_lift+v_lift/a_lift,2*SQRT((ABS($B15-Q$5))/a_lift)))+t_pos+t_I+IF((Q$5)&lt;=0,0,IF((Q$5)&gt;=v_lift^2/a_lift,(Q$5)/v_lift+v_lift/a_lift,2*SQRT((Q$5)/a_lift)))+t_pos+t_ch)</f>
        <v>0</v>
      </c>
      <c r="R15" s="20" t="n">
        <f aca="false">$C15*R$6*(t_ch+IF(($B15)&lt;=0,0,IF(($B15)&gt;=v_lift^2/a_lift,($B15)/v_lift+v_lift/a_lift,2*SQRT(($B15)/a_lift)))+t_pos+t_I+IF((ABS($B15-R$5))&lt;=0,0,IF((ABS($B15-R$5))&gt;=v_lift^2/a_lift,(ABS($B15-R$5))/v_lift+v_lift/a_lift,2*SQRT((ABS($B15-R$5))/a_lift)))+t_pos+t_I+IF((R$5)&lt;=0,0,IF((R$5)&gt;=v_lift^2/a_lift,(R$5)/v_lift+v_lift/a_lift,2*SQRT((R$5)/a_lift)))+t_pos+t_ch)</f>
        <v>0</v>
      </c>
      <c r="S15" s="20" t="n">
        <f aca="false">$C15*S$6*(t_ch+IF(($B15)&lt;=0,0,IF(($B15)&gt;=v_lift^2/a_lift,($B15)/v_lift+v_lift/a_lift,2*SQRT(($B15)/a_lift)))+t_pos+t_I+IF((ABS($B15-S$5))&lt;=0,0,IF((ABS($B15-S$5))&gt;=v_lift^2/a_lift,(ABS($B15-S$5))/v_lift+v_lift/a_lift,2*SQRT((ABS($B15-S$5))/a_lift)))+t_pos+t_I+IF((S$5)&lt;=0,0,IF((S$5)&gt;=v_lift^2/a_lift,(S$5)/v_lift+v_lift/a_lift,2*SQRT((S$5)/a_lift)))+t_pos+t_ch)</f>
        <v>0</v>
      </c>
      <c r="T15" s="20" t="n">
        <f aca="false">$C15*T$6*(t_ch+IF(($B15)&lt;=0,0,IF(($B15)&gt;=v_lift^2/a_lift,($B15)/v_lift+v_lift/a_lift,2*SQRT(($B15)/a_lift)))+t_pos+t_I+IF((ABS($B15-T$5))&lt;=0,0,IF((ABS($B15-T$5))&gt;=v_lift^2/a_lift,(ABS($B15-T$5))/v_lift+v_lift/a_lift,2*SQRT((ABS($B15-T$5))/a_lift)))+t_pos+t_I+IF((T$5)&lt;=0,0,IF((T$5)&gt;=v_lift^2/a_lift,(T$5)/v_lift+v_lift/a_lift,2*SQRT((T$5)/a_lift)))+t_pos+t_ch)</f>
        <v>0</v>
      </c>
      <c r="U15" s="20" t="n">
        <f aca="false">$C15*U$6*(t_ch+IF(($B15)&lt;=0,0,IF(($B15)&gt;=v_lift^2/a_lift,($B15)/v_lift+v_lift/a_lift,2*SQRT(($B15)/a_lift)))+t_pos+t_I+IF((ABS($B15-U$5))&lt;=0,0,IF((ABS($B15-U$5))&gt;=v_lift^2/a_lift,(ABS($B15-U$5))/v_lift+v_lift/a_lift,2*SQRT((ABS($B15-U$5))/a_lift)))+t_pos+t_I+IF((U$5)&lt;=0,0,IF((U$5)&gt;=v_lift^2/a_lift,(U$5)/v_lift+v_lift/a_lift,2*SQRT((U$5)/a_lift)))+t_pos+t_ch)</f>
        <v>0</v>
      </c>
      <c r="V15" s="20" t="n">
        <f aca="false">$C15*V$6*(t_ch+IF(($B15)&lt;=0,0,IF(($B15)&gt;=v_lift^2/a_lift,($B15)/v_lift+v_lift/a_lift,2*SQRT(($B15)/a_lift)))+t_pos+t_I+IF((ABS($B15-V$5))&lt;=0,0,IF((ABS($B15-V$5))&gt;=v_lift^2/a_lift,(ABS($B15-V$5))/v_lift+v_lift/a_lift,2*SQRT((ABS($B15-V$5))/a_lift)))+t_pos+t_I+IF((V$5)&lt;=0,0,IF((V$5)&gt;=v_lift^2/a_lift,(V$5)/v_lift+v_lift/a_lift,2*SQRT((V$5)/a_lift)))+t_pos+t_ch)</f>
        <v>0</v>
      </c>
      <c r="W15" s="20" t="n">
        <f aca="false">$C15*W$6*(t_ch+IF(($B15)&lt;=0,0,IF(($B15)&gt;=v_lift^2/a_lift,($B15)/v_lift+v_lift/a_lift,2*SQRT(($B15)/a_lift)))+t_pos+t_I+IF((ABS($B15-W$5))&lt;=0,0,IF((ABS($B15-W$5))&gt;=v_lift^2/a_lift,(ABS($B15-W$5))/v_lift+v_lift/a_lift,2*SQRT((ABS($B15-W$5))/a_lift)))+t_pos+t_I+IF((W$5)&lt;=0,0,IF((W$5)&gt;=v_lift^2/a_lift,(W$5)/v_lift+v_lift/a_lift,2*SQRT((W$5)/a_lift)))+t_pos+t_ch)</f>
        <v>0</v>
      </c>
    </row>
    <row r="16" customFormat="false" ht="15" hidden="false" customHeight="false" outlineLevel="0" collapsed="false">
      <c r="A16" s="7" t="n">
        <v>9</v>
      </c>
      <c r="B16" s="18" t="n">
        <f aca="false">Tiers!C12</f>
        <v>14.8</v>
      </c>
      <c r="C16" s="19" t="n">
        <f aca="false">Tiers!I12</f>
        <v>0.111111111111111</v>
      </c>
      <c r="D16" s="20" t="n">
        <f aca="false">$C16*D$6*(t_ch+IF(($B16)&lt;=0,0,IF(($B16)&gt;=v_lift^2/a_lift,($B16)/v_lift+v_lift/a_lift,2*SQRT(($B16)/a_lift)))+t_pos+t_I+IF((ABS($B16-D$5))&lt;=0,0,IF((ABS($B16-D$5))&gt;=v_lift^2/a_lift,(ABS($B16-D$5))/v_lift+v_lift/a_lift,2*SQRT((ABS($B16-D$5))/a_lift)))+t_pos+t_I+IF((D$5)&lt;=0,0,IF((D$5)&gt;=v_lift^2/a_lift,(D$5)/v_lift+v_lift/a_lift,2*SQRT((D$5)/a_lift)))+t_pos+t_ch)</f>
        <v>0</v>
      </c>
      <c r="E16" s="20" t="n">
        <f aca="false">$C16*E$6*(t_ch+IF(($B16)&lt;=0,0,IF(($B16)&gt;=v_lift^2/a_lift,($B16)/v_lift+v_lift/a_lift,2*SQRT(($B16)/a_lift)))+t_pos+t_I+IF((ABS($B16-E$5))&lt;=0,0,IF((ABS($B16-E$5))&gt;=v_lift^2/a_lift,(ABS($B16-E$5))/v_lift+v_lift/a_lift,2*SQRT((ABS($B16-E$5))/a_lift)))+t_pos+t_I+IF((E$5)&lt;=0,0,IF((E$5)&gt;=v_lift^2/a_lift,(E$5)/v_lift+v_lift/a_lift,2*SQRT((E$5)/a_lift)))+t_pos+t_ch)</f>
        <v>1.24550264550265</v>
      </c>
      <c r="F16" s="20" t="n">
        <f aca="false">$C16*F$6*(t_ch+IF(($B16)&lt;=0,0,IF(($B16)&gt;=v_lift^2/a_lift,($B16)/v_lift+v_lift/a_lift,2*SQRT(($B16)/a_lift)))+t_pos+t_I+IF((ABS($B16-F$5))&lt;=0,0,IF((ABS($B16-F$5))&gt;=v_lift^2/a_lift,(ABS($B16-F$5))/v_lift+v_lift/a_lift,2*SQRT((ABS($B16-F$5))/a_lift)))+t_pos+t_I+IF((F$5)&lt;=0,0,IF((F$5)&gt;=v_lift^2/a_lift,(F$5)/v_lift+v_lift/a_lift,2*SQRT((F$5)/a_lift)))+t_pos+t_ch)</f>
        <v>1.24550264550265</v>
      </c>
      <c r="G16" s="20" t="n">
        <f aca="false">$C16*G$6*(t_ch+IF(($B16)&lt;=0,0,IF(($B16)&gt;=v_lift^2/a_lift,($B16)/v_lift+v_lift/a_lift,2*SQRT(($B16)/a_lift)))+t_pos+t_I+IF((ABS($B16-G$5))&lt;=0,0,IF((ABS($B16-G$5))&gt;=v_lift^2/a_lift,(ABS($B16-G$5))/v_lift+v_lift/a_lift,2*SQRT((ABS($B16-G$5))/a_lift)))+t_pos+t_I+IF((G$5)&lt;=0,0,IF((G$5)&gt;=v_lift^2/a_lift,(G$5)/v_lift+v_lift/a_lift,2*SQRT((G$5)/a_lift)))+t_pos+t_ch)</f>
        <v>1.24550264550265</v>
      </c>
      <c r="H16" s="20" t="n">
        <f aca="false">$C16*H$6*(t_ch+IF(($B16)&lt;=0,0,IF(($B16)&gt;=v_lift^2/a_lift,($B16)/v_lift+v_lift/a_lift,2*SQRT(($B16)/a_lift)))+t_pos+t_I+IF((ABS($B16-H$5))&lt;=0,0,IF((ABS($B16-H$5))&gt;=v_lift^2/a_lift,(ABS($B16-H$5))/v_lift+v_lift/a_lift,2*SQRT((ABS($B16-H$5))/a_lift)))+t_pos+t_I+IF((H$5)&lt;=0,0,IF((H$5)&gt;=v_lift^2/a_lift,(H$5)/v_lift+v_lift/a_lift,2*SQRT((H$5)/a_lift)))+t_pos+t_ch)</f>
        <v>1.24550264550265</v>
      </c>
      <c r="I16" s="20" t="n">
        <f aca="false">$C16*I$6*(t_ch+IF(($B16)&lt;=0,0,IF(($B16)&gt;=v_lift^2/a_lift,($B16)/v_lift+v_lift/a_lift,2*SQRT(($B16)/a_lift)))+t_pos+t_I+IF((ABS($B16-I$5))&lt;=0,0,IF((ABS($B16-I$5))&gt;=v_lift^2/a_lift,(ABS($B16-I$5))/v_lift+v_lift/a_lift,2*SQRT((ABS($B16-I$5))/a_lift)))+t_pos+t_I+IF((I$5)&lt;=0,0,IF((I$5)&gt;=v_lift^2/a_lift,(I$5)/v_lift+v_lift/a_lift,2*SQRT((I$5)/a_lift)))+t_pos+t_ch)</f>
        <v>1.24550264550265</v>
      </c>
      <c r="J16" s="20" t="n">
        <f aca="false">$C16*J$6*(t_ch+IF(($B16)&lt;=0,0,IF(($B16)&gt;=v_lift^2/a_lift,($B16)/v_lift+v_lift/a_lift,2*SQRT(($B16)/a_lift)))+t_pos+t_I+IF((ABS($B16-J$5))&lt;=0,0,IF((ABS($B16-J$5))&gt;=v_lift^2/a_lift,(ABS($B16-J$5))/v_lift+v_lift/a_lift,2*SQRT((ABS($B16-J$5))/a_lift)))+t_pos+t_I+IF((J$5)&lt;=0,0,IF((J$5)&gt;=v_lift^2/a_lift,(J$5)/v_lift+v_lift/a_lift,2*SQRT((J$5)/a_lift)))+t_pos+t_ch)</f>
        <v>1.24550264550265</v>
      </c>
      <c r="K16" s="20" t="n">
        <f aca="false">$C16*K$6*(t_ch+IF(($B16)&lt;=0,0,IF(($B16)&gt;=v_lift^2/a_lift,($B16)/v_lift+v_lift/a_lift,2*SQRT(($B16)/a_lift)))+t_pos+t_I+IF((ABS($B16-K$5))&lt;=0,0,IF((ABS($B16-K$5))&gt;=v_lift^2/a_lift,(ABS($B16-K$5))/v_lift+v_lift/a_lift,2*SQRT((ABS($B16-K$5))/a_lift)))+t_pos+t_I+IF((K$5)&lt;=0,0,IF((K$5)&gt;=v_lift^2/a_lift,(K$5)/v_lift+v_lift/a_lift,2*SQRT((K$5)/a_lift)))+t_pos+t_ch)</f>
        <v>1.24550264550265</v>
      </c>
      <c r="L16" s="20" t="n">
        <f aca="false">$C16*L$6*(t_ch+IF(($B16)&lt;=0,0,IF(($B16)&gt;=v_lift^2/a_lift,($B16)/v_lift+v_lift/a_lift,2*SQRT(($B16)/a_lift)))+t_pos+t_I+IF((ABS($B16-L$5))&lt;=0,0,IF((ABS($B16-L$5))&gt;=v_lift^2/a_lift,(ABS($B16-L$5))/v_lift+v_lift/a_lift,2*SQRT((ABS($B16-L$5))/a_lift)))+t_pos+t_I+IF((L$5)&lt;=0,0,IF((L$5)&gt;=v_lift^2/a_lift,(L$5)/v_lift+v_lift/a_lift,2*SQRT((L$5)/a_lift)))+t_pos+t_ch)</f>
        <v>1.22786596119929</v>
      </c>
      <c r="M16" s="20" t="n">
        <f aca="false">$C16*M$6*(t_ch+IF(($B16)&lt;=0,0,IF(($B16)&gt;=v_lift^2/a_lift,($B16)/v_lift+v_lift/a_lift,2*SQRT(($B16)/a_lift)))+t_pos+t_I+IF((ABS($B16-M$5))&lt;=0,0,IF((ABS($B16-M$5))&gt;=v_lift^2/a_lift,(ABS($B16-M$5))/v_lift+v_lift/a_lift,2*SQRT((ABS($B16-M$5))/a_lift)))+t_pos+t_I+IF((M$5)&lt;=0,0,IF((M$5)&gt;=v_lift^2/a_lift,(M$5)/v_lift+v_lift/a_lift,2*SQRT((M$5)/a_lift)))+t_pos+t_ch)</f>
        <v>1.29118165784832</v>
      </c>
      <c r="N16" s="20" t="n">
        <f aca="false">$C16*N$6*(t_ch+IF(($B16)&lt;=0,0,IF(($B16)&gt;=v_lift^2/a_lift,($B16)/v_lift+v_lift/a_lift,2*SQRT(($B16)/a_lift)))+t_pos+t_I+IF((ABS($B16-N$5))&lt;=0,0,IF((ABS($B16-N$5))&gt;=v_lift^2/a_lift,(ABS($B16-N$5))/v_lift+v_lift/a_lift,2*SQRT((ABS($B16-N$5))/a_lift)))+t_pos+t_I+IF((N$5)&lt;=0,0,IF((N$5)&gt;=v_lift^2/a_lift,(N$5)/v_lift+v_lift/a_lift,2*SQRT((N$5)/a_lift)))+t_pos+t_ch)</f>
        <v>0</v>
      </c>
      <c r="O16" s="20" t="n">
        <f aca="false">$C16*O$6*(t_ch+IF(($B16)&lt;=0,0,IF(($B16)&gt;=v_lift^2/a_lift,($B16)/v_lift+v_lift/a_lift,2*SQRT(($B16)/a_lift)))+t_pos+t_I+IF((ABS($B16-O$5))&lt;=0,0,IF((ABS($B16-O$5))&gt;=v_lift^2/a_lift,(ABS($B16-O$5))/v_lift+v_lift/a_lift,2*SQRT((ABS($B16-O$5))/a_lift)))+t_pos+t_I+IF((O$5)&lt;=0,0,IF((O$5)&gt;=v_lift^2/a_lift,(O$5)/v_lift+v_lift/a_lift,2*SQRT((O$5)/a_lift)))+t_pos+t_ch)</f>
        <v>0</v>
      </c>
      <c r="P16" s="20" t="n">
        <f aca="false">$C16*P$6*(t_ch+IF(($B16)&lt;=0,0,IF(($B16)&gt;=v_lift^2/a_lift,($B16)/v_lift+v_lift/a_lift,2*SQRT(($B16)/a_lift)))+t_pos+t_I+IF((ABS($B16-P$5))&lt;=0,0,IF((ABS($B16-P$5))&gt;=v_lift^2/a_lift,(ABS($B16-P$5))/v_lift+v_lift/a_lift,2*SQRT((ABS($B16-P$5))/a_lift)))+t_pos+t_I+IF((P$5)&lt;=0,0,IF((P$5)&gt;=v_lift^2/a_lift,(P$5)/v_lift+v_lift/a_lift,2*SQRT((P$5)/a_lift)))+t_pos+t_ch)</f>
        <v>0</v>
      </c>
      <c r="Q16" s="20" t="n">
        <f aca="false">$C16*Q$6*(t_ch+IF(($B16)&lt;=0,0,IF(($B16)&gt;=v_lift^2/a_lift,($B16)/v_lift+v_lift/a_lift,2*SQRT(($B16)/a_lift)))+t_pos+t_I+IF((ABS($B16-Q$5))&lt;=0,0,IF((ABS($B16-Q$5))&gt;=v_lift^2/a_lift,(ABS($B16-Q$5))/v_lift+v_lift/a_lift,2*SQRT((ABS($B16-Q$5))/a_lift)))+t_pos+t_I+IF((Q$5)&lt;=0,0,IF((Q$5)&gt;=v_lift^2/a_lift,(Q$5)/v_lift+v_lift/a_lift,2*SQRT((Q$5)/a_lift)))+t_pos+t_ch)</f>
        <v>0</v>
      </c>
      <c r="R16" s="20" t="n">
        <f aca="false">$C16*R$6*(t_ch+IF(($B16)&lt;=0,0,IF(($B16)&gt;=v_lift^2/a_lift,($B16)/v_lift+v_lift/a_lift,2*SQRT(($B16)/a_lift)))+t_pos+t_I+IF((ABS($B16-R$5))&lt;=0,0,IF((ABS($B16-R$5))&gt;=v_lift^2/a_lift,(ABS($B16-R$5))/v_lift+v_lift/a_lift,2*SQRT((ABS($B16-R$5))/a_lift)))+t_pos+t_I+IF((R$5)&lt;=0,0,IF((R$5)&gt;=v_lift^2/a_lift,(R$5)/v_lift+v_lift/a_lift,2*SQRT((R$5)/a_lift)))+t_pos+t_ch)</f>
        <v>0</v>
      </c>
      <c r="S16" s="20" t="n">
        <f aca="false">$C16*S$6*(t_ch+IF(($B16)&lt;=0,0,IF(($B16)&gt;=v_lift^2/a_lift,($B16)/v_lift+v_lift/a_lift,2*SQRT(($B16)/a_lift)))+t_pos+t_I+IF((ABS($B16-S$5))&lt;=0,0,IF((ABS($B16-S$5))&gt;=v_lift^2/a_lift,(ABS($B16-S$5))/v_lift+v_lift/a_lift,2*SQRT((ABS($B16-S$5))/a_lift)))+t_pos+t_I+IF((S$5)&lt;=0,0,IF((S$5)&gt;=v_lift^2/a_lift,(S$5)/v_lift+v_lift/a_lift,2*SQRT((S$5)/a_lift)))+t_pos+t_ch)</f>
        <v>0</v>
      </c>
      <c r="T16" s="20" t="n">
        <f aca="false">$C16*T$6*(t_ch+IF(($B16)&lt;=0,0,IF(($B16)&gt;=v_lift^2/a_lift,($B16)/v_lift+v_lift/a_lift,2*SQRT(($B16)/a_lift)))+t_pos+t_I+IF((ABS($B16-T$5))&lt;=0,0,IF((ABS($B16-T$5))&gt;=v_lift^2/a_lift,(ABS($B16-T$5))/v_lift+v_lift/a_lift,2*SQRT((ABS($B16-T$5))/a_lift)))+t_pos+t_I+IF((T$5)&lt;=0,0,IF((T$5)&gt;=v_lift^2/a_lift,(T$5)/v_lift+v_lift/a_lift,2*SQRT((T$5)/a_lift)))+t_pos+t_ch)</f>
        <v>0</v>
      </c>
      <c r="U16" s="20" t="n">
        <f aca="false">$C16*U$6*(t_ch+IF(($B16)&lt;=0,0,IF(($B16)&gt;=v_lift^2/a_lift,($B16)/v_lift+v_lift/a_lift,2*SQRT(($B16)/a_lift)))+t_pos+t_I+IF((ABS($B16-U$5))&lt;=0,0,IF((ABS($B16-U$5))&gt;=v_lift^2/a_lift,(ABS($B16-U$5))/v_lift+v_lift/a_lift,2*SQRT((ABS($B16-U$5))/a_lift)))+t_pos+t_I+IF((U$5)&lt;=0,0,IF((U$5)&gt;=v_lift^2/a_lift,(U$5)/v_lift+v_lift/a_lift,2*SQRT((U$5)/a_lift)))+t_pos+t_ch)</f>
        <v>0</v>
      </c>
      <c r="V16" s="20" t="n">
        <f aca="false">$C16*V$6*(t_ch+IF(($B16)&lt;=0,0,IF(($B16)&gt;=v_lift^2/a_lift,($B16)/v_lift+v_lift/a_lift,2*SQRT(($B16)/a_lift)))+t_pos+t_I+IF((ABS($B16-V$5))&lt;=0,0,IF((ABS($B16-V$5))&gt;=v_lift^2/a_lift,(ABS($B16-V$5))/v_lift+v_lift/a_lift,2*SQRT((ABS($B16-V$5))/a_lift)))+t_pos+t_I+IF((V$5)&lt;=0,0,IF((V$5)&gt;=v_lift^2/a_lift,(V$5)/v_lift+v_lift/a_lift,2*SQRT((V$5)/a_lift)))+t_pos+t_ch)</f>
        <v>0</v>
      </c>
      <c r="W16" s="20" t="n">
        <f aca="false">$C16*W$6*(t_ch+IF(($B16)&lt;=0,0,IF(($B16)&gt;=v_lift^2/a_lift,($B16)/v_lift+v_lift/a_lift,2*SQRT(($B16)/a_lift)))+t_pos+t_I+IF((ABS($B16-W$5))&lt;=0,0,IF((ABS($B16-W$5))&gt;=v_lift^2/a_lift,(ABS($B16-W$5))/v_lift+v_lift/a_lift,2*SQRT((ABS($B16-W$5))/a_lift)))+t_pos+t_I+IF((W$5)&lt;=0,0,IF((W$5)&gt;=v_lift^2/a_lift,(W$5)/v_lift+v_lift/a_lift,2*SQRT((W$5)/a_lift)))+t_pos+t_ch)</f>
        <v>0</v>
      </c>
    </row>
    <row r="17" customFormat="false" ht="15" hidden="false" customHeight="false" outlineLevel="0" collapsed="false">
      <c r="A17" s="7" t="n">
        <v>10</v>
      </c>
      <c r="B17" s="18" t="n">
        <f aca="false">Tiers!C13</f>
        <v>16.65</v>
      </c>
      <c r="C17" s="19" t="n">
        <f aca="false">Tiers!I13</f>
        <v>0.111111111111111</v>
      </c>
      <c r="D17" s="20" t="n">
        <f aca="false">$C17*D$6*(t_ch+IF(($B17)&lt;=0,0,IF(($B17)&gt;=v_lift^2/a_lift,($B17)/v_lift+v_lift/a_lift,2*SQRT(($B17)/a_lift)))+t_pos+t_I+IF((ABS($B17-D$5))&lt;=0,0,IF((ABS($B17-D$5))&gt;=v_lift^2/a_lift,(ABS($B17-D$5))/v_lift+v_lift/a_lift,2*SQRT((ABS($B17-D$5))/a_lift)))+t_pos+t_I+IF((D$5)&lt;=0,0,IF((D$5)&gt;=v_lift^2/a_lift,(D$5)/v_lift+v_lift/a_lift,2*SQRT((D$5)/a_lift)))+t_pos+t_ch)</f>
        <v>0</v>
      </c>
      <c r="E17" s="20" t="n">
        <f aca="false">$C17*E$6*(t_ch+IF(($B17)&lt;=0,0,IF(($B17)&gt;=v_lift^2/a_lift,($B17)/v_lift+v_lift/a_lift,2*SQRT(($B17)/a_lift)))+t_pos+t_I+IF((ABS($B17-E$5))&lt;=0,0,IF((ABS($B17-E$5))&gt;=v_lift^2/a_lift,(ABS($B17-E$5))/v_lift+v_lift/a_lift,2*SQRT((ABS($B17-E$5))/a_lift)))+t_pos+t_I+IF((E$5)&lt;=0,0,IF((E$5)&gt;=v_lift^2/a_lift,(E$5)/v_lift+v_lift/a_lift,2*SQRT((E$5)/a_lift)))+t_pos+t_ch)</f>
        <v>1.29118165784832</v>
      </c>
      <c r="F17" s="20" t="n">
        <f aca="false">$C17*F$6*(t_ch+IF(($B17)&lt;=0,0,IF(($B17)&gt;=v_lift^2/a_lift,($B17)/v_lift+v_lift/a_lift,2*SQRT(($B17)/a_lift)))+t_pos+t_I+IF((ABS($B17-F$5))&lt;=0,0,IF((ABS($B17-F$5))&gt;=v_lift^2/a_lift,(ABS($B17-F$5))/v_lift+v_lift/a_lift,2*SQRT((ABS($B17-F$5))/a_lift)))+t_pos+t_I+IF((F$5)&lt;=0,0,IF((F$5)&gt;=v_lift^2/a_lift,(F$5)/v_lift+v_lift/a_lift,2*SQRT((F$5)/a_lift)))+t_pos+t_ch)</f>
        <v>1.29118165784832</v>
      </c>
      <c r="G17" s="20" t="n">
        <f aca="false">$C17*G$6*(t_ch+IF(($B17)&lt;=0,0,IF(($B17)&gt;=v_lift^2/a_lift,($B17)/v_lift+v_lift/a_lift,2*SQRT(($B17)/a_lift)))+t_pos+t_I+IF((ABS($B17-G$5))&lt;=0,0,IF((ABS($B17-G$5))&gt;=v_lift^2/a_lift,(ABS($B17-G$5))/v_lift+v_lift/a_lift,2*SQRT((ABS($B17-G$5))/a_lift)))+t_pos+t_I+IF((G$5)&lt;=0,0,IF((G$5)&gt;=v_lift^2/a_lift,(G$5)/v_lift+v_lift/a_lift,2*SQRT((G$5)/a_lift)))+t_pos+t_ch)</f>
        <v>1.29118165784832</v>
      </c>
      <c r="H17" s="20" t="n">
        <f aca="false">$C17*H$6*(t_ch+IF(($B17)&lt;=0,0,IF(($B17)&gt;=v_lift^2/a_lift,($B17)/v_lift+v_lift/a_lift,2*SQRT(($B17)/a_lift)))+t_pos+t_I+IF((ABS($B17-H$5))&lt;=0,0,IF((ABS($B17-H$5))&gt;=v_lift^2/a_lift,(ABS($B17-H$5))/v_lift+v_lift/a_lift,2*SQRT((ABS($B17-H$5))/a_lift)))+t_pos+t_I+IF((H$5)&lt;=0,0,IF((H$5)&gt;=v_lift^2/a_lift,(H$5)/v_lift+v_lift/a_lift,2*SQRT((H$5)/a_lift)))+t_pos+t_ch)</f>
        <v>1.29118165784832</v>
      </c>
      <c r="I17" s="20" t="n">
        <f aca="false">$C17*I$6*(t_ch+IF(($B17)&lt;=0,0,IF(($B17)&gt;=v_lift^2/a_lift,($B17)/v_lift+v_lift/a_lift,2*SQRT(($B17)/a_lift)))+t_pos+t_I+IF((ABS($B17-I$5))&lt;=0,0,IF((ABS($B17-I$5))&gt;=v_lift^2/a_lift,(ABS($B17-I$5))/v_lift+v_lift/a_lift,2*SQRT((ABS($B17-I$5))/a_lift)))+t_pos+t_I+IF((I$5)&lt;=0,0,IF((I$5)&gt;=v_lift^2/a_lift,(I$5)/v_lift+v_lift/a_lift,2*SQRT((I$5)/a_lift)))+t_pos+t_ch)</f>
        <v>1.29118165784832</v>
      </c>
      <c r="J17" s="20" t="n">
        <f aca="false">$C17*J$6*(t_ch+IF(($B17)&lt;=0,0,IF(($B17)&gt;=v_lift^2/a_lift,($B17)/v_lift+v_lift/a_lift,2*SQRT(($B17)/a_lift)))+t_pos+t_I+IF((ABS($B17-J$5))&lt;=0,0,IF((ABS($B17-J$5))&gt;=v_lift^2/a_lift,(ABS($B17-J$5))/v_lift+v_lift/a_lift,2*SQRT((ABS($B17-J$5))/a_lift)))+t_pos+t_I+IF((J$5)&lt;=0,0,IF((J$5)&gt;=v_lift^2/a_lift,(J$5)/v_lift+v_lift/a_lift,2*SQRT((J$5)/a_lift)))+t_pos+t_ch)</f>
        <v>1.29118165784832</v>
      </c>
      <c r="K17" s="20" t="n">
        <f aca="false">$C17*K$6*(t_ch+IF(($B17)&lt;=0,0,IF(($B17)&gt;=v_lift^2/a_lift,($B17)/v_lift+v_lift/a_lift,2*SQRT(($B17)/a_lift)))+t_pos+t_I+IF((ABS($B17-K$5))&lt;=0,0,IF((ABS($B17-K$5))&gt;=v_lift^2/a_lift,(ABS($B17-K$5))/v_lift+v_lift/a_lift,2*SQRT((ABS($B17-K$5))/a_lift)))+t_pos+t_I+IF((K$5)&lt;=0,0,IF((K$5)&gt;=v_lift^2/a_lift,(K$5)/v_lift+v_lift/a_lift,2*SQRT((K$5)/a_lift)))+t_pos+t_ch)</f>
        <v>1.29118165784832</v>
      </c>
      <c r="L17" s="20" t="n">
        <f aca="false">$C17*L$6*(t_ch+IF(($B17)&lt;=0,0,IF(($B17)&gt;=v_lift^2/a_lift,($B17)/v_lift+v_lift/a_lift,2*SQRT(($B17)/a_lift)))+t_pos+t_I+IF((ABS($B17-L$5))&lt;=0,0,IF((ABS($B17-L$5))&gt;=v_lift^2/a_lift,(ABS($B17-L$5))/v_lift+v_lift/a_lift,2*SQRT((ABS($B17-L$5))/a_lift)))+t_pos+t_I+IF((L$5)&lt;=0,0,IF((L$5)&gt;=v_lift^2/a_lift,(L$5)/v_lift+v_lift/a_lift,2*SQRT((L$5)/a_lift)))+t_pos+t_ch)</f>
        <v>1.29118165784832</v>
      </c>
      <c r="M17" s="20" t="n">
        <f aca="false">$C17*M$6*(t_ch+IF(($B17)&lt;=0,0,IF(($B17)&gt;=v_lift^2/a_lift,($B17)/v_lift+v_lift/a_lift,2*SQRT(($B17)/a_lift)))+t_pos+t_I+IF((ABS($B17-M$5))&lt;=0,0,IF((ABS($B17-M$5))&gt;=v_lift^2/a_lift,(ABS($B17-M$5))/v_lift+v_lift/a_lift,2*SQRT((ABS($B17-M$5))/a_lift)))+t_pos+t_I+IF((M$5)&lt;=0,0,IF((M$5)&gt;=v_lift^2/a_lift,(M$5)/v_lift+v_lift/a_lift,2*SQRT((M$5)/a_lift)))+t_pos+t_ch)</f>
        <v>1.27354497354497</v>
      </c>
      <c r="N17" s="20" t="n">
        <f aca="false">$C17*N$6*(t_ch+IF(($B17)&lt;=0,0,IF(($B17)&gt;=v_lift^2/a_lift,($B17)/v_lift+v_lift/a_lift,2*SQRT(($B17)/a_lift)))+t_pos+t_I+IF((ABS($B17-N$5))&lt;=0,0,IF((ABS($B17-N$5))&gt;=v_lift^2/a_lift,(ABS($B17-N$5))/v_lift+v_lift/a_lift,2*SQRT((ABS($B17-N$5))/a_lift)))+t_pos+t_I+IF((N$5)&lt;=0,0,IF((N$5)&gt;=v_lift^2/a_lift,(N$5)/v_lift+v_lift/a_lift,2*SQRT((N$5)/a_lift)))+t_pos+t_ch)</f>
        <v>0</v>
      </c>
      <c r="O17" s="20" t="n">
        <f aca="false">$C17*O$6*(t_ch+IF(($B17)&lt;=0,0,IF(($B17)&gt;=v_lift^2/a_lift,($B17)/v_lift+v_lift/a_lift,2*SQRT(($B17)/a_lift)))+t_pos+t_I+IF((ABS($B17-O$5))&lt;=0,0,IF((ABS($B17-O$5))&gt;=v_lift^2/a_lift,(ABS($B17-O$5))/v_lift+v_lift/a_lift,2*SQRT((ABS($B17-O$5))/a_lift)))+t_pos+t_I+IF((O$5)&lt;=0,0,IF((O$5)&gt;=v_lift^2/a_lift,(O$5)/v_lift+v_lift/a_lift,2*SQRT((O$5)/a_lift)))+t_pos+t_ch)</f>
        <v>0</v>
      </c>
      <c r="P17" s="20" t="n">
        <f aca="false">$C17*P$6*(t_ch+IF(($B17)&lt;=0,0,IF(($B17)&gt;=v_lift^2/a_lift,($B17)/v_lift+v_lift/a_lift,2*SQRT(($B17)/a_lift)))+t_pos+t_I+IF((ABS($B17-P$5))&lt;=0,0,IF((ABS($B17-P$5))&gt;=v_lift^2/a_lift,(ABS($B17-P$5))/v_lift+v_lift/a_lift,2*SQRT((ABS($B17-P$5))/a_lift)))+t_pos+t_I+IF((P$5)&lt;=0,0,IF((P$5)&gt;=v_lift^2/a_lift,(P$5)/v_lift+v_lift/a_lift,2*SQRT((P$5)/a_lift)))+t_pos+t_ch)</f>
        <v>0</v>
      </c>
      <c r="Q17" s="20" t="n">
        <f aca="false">$C17*Q$6*(t_ch+IF(($B17)&lt;=0,0,IF(($B17)&gt;=v_lift^2/a_lift,($B17)/v_lift+v_lift/a_lift,2*SQRT(($B17)/a_lift)))+t_pos+t_I+IF((ABS($B17-Q$5))&lt;=0,0,IF((ABS($B17-Q$5))&gt;=v_lift^2/a_lift,(ABS($B17-Q$5))/v_lift+v_lift/a_lift,2*SQRT((ABS($B17-Q$5))/a_lift)))+t_pos+t_I+IF((Q$5)&lt;=0,0,IF((Q$5)&gt;=v_lift^2/a_lift,(Q$5)/v_lift+v_lift/a_lift,2*SQRT((Q$5)/a_lift)))+t_pos+t_ch)</f>
        <v>0</v>
      </c>
      <c r="R17" s="20" t="n">
        <f aca="false">$C17*R$6*(t_ch+IF(($B17)&lt;=0,0,IF(($B17)&gt;=v_lift^2/a_lift,($B17)/v_lift+v_lift/a_lift,2*SQRT(($B17)/a_lift)))+t_pos+t_I+IF((ABS($B17-R$5))&lt;=0,0,IF((ABS($B17-R$5))&gt;=v_lift^2/a_lift,(ABS($B17-R$5))/v_lift+v_lift/a_lift,2*SQRT((ABS($B17-R$5))/a_lift)))+t_pos+t_I+IF((R$5)&lt;=0,0,IF((R$5)&gt;=v_lift^2/a_lift,(R$5)/v_lift+v_lift/a_lift,2*SQRT((R$5)/a_lift)))+t_pos+t_ch)</f>
        <v>0</v>
      </c>
      <c r="S17" s="20" t="n">
        <f aca="false">$C17*S$6*(t_ch+IF(($B17)&lt;=0,0,IF(($B17)&gt;=v_lift^2/a_lift,($B17)/v_lift+v_lift/a_lift,2*SQRT(($B17)/a_lift)))+t_pos+t_I+IF((ABS($B17-S$5))&lt;=0,0,IF((ABS($B17-S$5))&gt;=v_lift^2/a_lift,(ABS($B17-S$5))/v_lift+v_lift/a_lift,2*SQRT((ABS($B17-S$5))/a_lift)))+t_pos+t_I+IF((S$5)&lt;=0,0,IF((S$5)&gt;=v_lift^2/a_lift,(S$5)/v_lift+v_lift/a_lift,2*SQRT((S$5)/a_lift)))+t_pos+t_ch)</f>
        <v>0</v>
      </c>
      <c r="T17" s="20" t="n">
        <f aca="false">$C17*T$6*(t_ch+IF(($B17)&lt;=0,0,IF(($B17)&gt;=v_lift^2/a_lift,($B17)/v_lift+v_lift/a_lift,2*SQRT(($B17)/a_lift)))+t_pos+t_I+IF((ABS($B17-T$5))&lt;=0,0,IF((ABS($B17-T$5))&gt;=v_lift^2/a_lift,(ABS($B17-T$5))/v_lift+v_lift/a_lift,2*SQRT((ABS($B17-T$5))/a_lift)))+t_pos+t_I+IF((T$5)&lt;=0,0,IF((T$5)&gt;=v_lift^2/a_lift,(T$5)/v_lift+v_lift/a_lift,2*SQRT((T$5)/a_lift)))+t_pos+t_ch)</f>
        <v>0</v>
      </c>
      <c r="U17" s="20" t="n">
        <f aca="false">$C17*U$6*(t_ch+IF(($B17)&lt;=0,0,IF(($B17)&gt;=v_lift^2/a_lift,($B17)/v_lift+v_lift/a_lift,2*SQRT(($B17)/a_lift)))+t_pos+t_I+IF((ABS($B17-U$5))&lt;=0,0,IF((ABS($B17-U$5))&gt;=v_lift^2/a_lift,(ABS($B17-U$5))/v_lift+v_lift/a_lift,2*SQRT((ABS($B17-U$5))/a_lift)))+t_pos+t_I+IF((U$5)&lt;=0,0,IF((U$5)&gt;=v_lift^2/a_lift,(U$5)/v_lift+v_lift/a_lift,2*SQRT((U$5)/a_lift)))+t_pos+t_ch)</f>
        <v>0</v>
      </c>
      <c r="V17" s="20" t="n">
        <f aca="false">$C17*V$6*(t_ch+IF(($B17)&lt;=0,0,IF(($B17)&gt;=v_lift^2/a_lift,($B17)/v_lift+v_lift/a_lift,2*SQRT(($B17)/a_lift)))+t_pos+t_I+IF((ABS($B17-V$5))&lt;=0,0,IF((ABS($B17-V$5))&gt;=v_lift^2/a_lift,(ABS($B17-V$5))/v_lift+v_lift/a_lift,2*SQRT((ABS($B17-V$5))/a_lift)))+t_pos+t_I+IF((V$5)&lt;=0,0,IF((V$5)&gt;=v_lift^2/a_lift,(V$5)/v_lift+v_lift/a_lift,2*SQRT((V$5)/a_lift)))+t_pos+t_ch)</f>
        <v>0</v>
      </c>
      <c r="W17" s="20" t="n">
        <f aca="false">$C17*W$6*(t_ch+IF(($B17)&lt;=0,0,IF(($B17)&gt;=v_lift^2/a_lift,($B17)/v_lift+v_lift/a_lift,2*SQRT(($B17)/a_lift)))+t_pos+t_I+IF((ABS($B17-W$5))&lt;=0,0,IF((ABS($B17-W$5))&gt;=v_lift^2/a_lift,(ABS($B17-W$5))/v_lift+v_lift/a_lift,2*SQRT((ABS($B17-W$5))/a_lift)))+t_pos+t_I+IF((W$5)&lt;=0,0,IF((W$5)&gt;=v_lift^2/a_lift,(W$5)/v_lift+v_lift/a_lift,2*SQRT((W$5)/a_lift)))+t_pos+t_ch)</f>
        <v>0</v>
      </c>
    </row>
    <row r="18" customFormat="false" ht="15" hidden="false" customHeight="false" outlineLevel="0" collapsed="false">
      <c r="A18" s="7" t="n">
        <v>11</v>
      </c>
      <c r="B18" s="18" t="n">
        <f aca="false">Tiers!C14</f>
        <v>0</v>
      </c>
      <c r="C18" s="19" t="n">
        <f aca="false">Tiers!I14</f>
        <v>0</v>
      </c>
      <c r="D18" s="20" t="n">
        <f aca="false">$C18*D$6*(t_ch+IF(($B18)&lt;=0,0,IF(($B18)&gt;=v_lift^2/a_lift,($B18)/v_lift+v_lift/a_lift,2*SQRT(($B18)/a_lift)))+t_pos+t_I+IF((ABS($B18-D$5))&lt;=0,0,IF((ABS($B18-D$5))&gt;=v_lift^2/a_lift,(ABS($B18-D$5))/v_lift+v_lift/a_lift,2*SQRT((ABS($B18-D$5))/a_lift)))+t_pos+t_I+IF((D$5)&lt;=0,0,IF((D$5)&gt;=v_lift^2/a_lift,(D$5)/v_lift+v_lift/a_lift,2*SQRT((D$5)/a_lift)))+t_pos+t_ch)</f>
        <v>0</v>
      </c>
      <c r="E18" s="20" t="n">
        <f aca="false">$C18*E$6*(t_ch+IF(($B18)&lt;=0,0,IF(($B18)&gt;=v_lift^2/a_lift,($B18)/v_lift+v_lift/a_lift,2*SQRT(($B18)/a_lift)))+t_pos+t_I+IF((ABS($B18-E$5))&lt;=0,0,IF((ABS($B18-E$5))&gt;=v_lift^2/a_lift,(ABS($B18-E$5))/v_lift+v_lift/a_lift,2*SQRT((ABS($B18-E$5))/a_lift)))+t_pos+t_I+IF((E$5)&lt;=0,0,IF((E$5)&gt;=v_lift^2/a_lift,(E$5)/v_lift+v_lift/a_lift,2*SQRT((E$5)/a_lift)))+t_pos+t_ch)</f>
        <v>0</v>
      </c>
      <c r="F18" s="20" t="n">
        <f aca="false">$C18*F$6*(t_ch+IF(($B18)&lt;=0,0,IF(($B18)&gt;=v_lift^2/a_lift,($B18)/v_lift+v_lift/a_lift,2*SQRT(($B18)/a_lift)))+t_pos+t_I+IF((ABS($B18-F$5))&lt;=0,0,IF((ABS($B18-F$5))&gt;=v_lift^2/a_lift,(ABS($B18-F$5))/v_lift+v_lift/a_lift,2*SQRT((ABS($B18-F$5))/a_lift)))+t_pos+t_I+IF((F$5)&lt;=0,0,IF((F$5)&gt;=v_lift^2/a_lift,(F$5)/v_lift+v_lift/a_lift,2*SQRT((F$5)/a_lift)))+t_pos+t_ch)</f>
        <v>0</v>
      </c>
      <c r="G18" s="20" t="n">
        <f aca="false">$C18*G$6*(t_ch+IF(($B18)&lt;=0,0,IF(($B18)&gt;=v_lift^2/a_lift,($B18)/v_lift+v_lift/a_lift,2*SQRT(($B18)/a_lift)))+t_pos+t_I+IF((ABS($B18-G$5))&lt;=0,0,IF((ABS($B18-G$5))&gt;=v_lift^2/a_lift,(ABS($B18-G$5))/v_lift+v_lift/a_lift,2*SQRT((ABS($B18-G$5))/a_lift)))+t_pos+t_I+IF((G$5)&lt;=0,0,IF((G$5)&gt;=v_lift^2/a_lift,(G$5)/v_lift+v_lift/a_lift,2*SQRT((G$5)/a_lift)))+t_pos+t_ch)</f>
        <v>0</v>
      </c>
      <c r="H18" s="20" t="n">
        <f aca="false">$C18*H$6*(t_ch+IF(($B18)&lt;=0,0,IF(($B18)&gt;=v_lift^2/a_lift,($B18)/v_lift+v_lift/a_lift,2*SQRT(($B18)/a_lift)))+t_pos+t_I+IF((ABS($B18-H$5))&lt;=0,0,IF((ABS($B18-H$5))&gt;=v_lift^2/a_lift,(ABS($B18-H$5))/v_lift+v_lift/a_lift,2*SQRT((ABS($B18-H$5))/a_lift)))+t_pos+t_I+IF((H$5)&lt;=0,0,IF((H$5)&gt;=v_lift^2/a_lift,(H$5)/v_lift+v_lift/a_lift,2*SQRT((H$5)/a_lift)))+t_pos+t_ch)</f>
        <v>0</v>
      </c>
      <c r="I18" s="20" t="n">
        <f aca="false">$C18*I$6*(t_ch+IF(($B18)&lt;=0,0,IF(($B18)&gt;=v_lift^2/a_lift,($B18)/v_lift+v_lift/a_lift,2*SQRT(($B18)/a_lift)))+t_pos+t_I+IF((ABS($B18-I$5))&lt;=0,0,IF((ABS($B18-I$5))&gt;=v_lift^2/a_lift,(ABS($B18-I$5))/v_lift+v_lift/a_lift,2*SQRT((ABS($B18-I$5))/a_lift)))+t_pos+t_I+IF((I$5)&lt;=0,0,IF((I$5)&gt;=v_lift^2/a_lift,(I$5)/v_lift+v_lift/a_lift,2*SQRT((I$5)/a_lift)))+t_pos+t_ch)</f>
        <v>0</v>
      </c>
      <c r="J18" s="20" t="n">
        <f aca="false">$C18*J$6*(t_ch+IF(($B18)&lt;=0,0,IF(($B18)&gt;=v_lift^2/a_lift,($B18)/v_lift+v_lift/a_lift,2*SQRT(($B18)/a_lift)))+t_pos+t_I+IF((ABS($B18-J$5))&lt;=0,0,IF((ABS($B18-J$5))&gt;=v_lift^2/a_lift,(ABS($B18-J$5))/v_lift+v_lift/a_lift,2*SQRT((ABS($B18-J$5))/a_lift)))+t_pos+t_I+IF((J$5)&lt;=0,0,IF((J$5)&gt;=v_lift^2/a_lift,(J$5)/v_lift+v_lift/a_lift,2*SQRT((J$5)/a_lift)))+t_pos+t_ch)</f>
        <v>0</v>
      </c>
      <c r="K18" s="20" t="n">
        <f aca="false">$C18*K$6*(t_ch+IF(($B18)&lt;=0,0,IF(($B18)&gt;=v_lift^2/a_lift,($B18)/v_lift+v_lift/a_lift,2*SQRT(($B18)/a_lift)))+t_pos+t_I+IF((ABS($B18-K$5))&lt;=0,0,IF((ABS($B18-K$5))&gt;=v_lift^2/a_lift,(ABS($B18-K$5))/v_lift+v_lift/a_lift,2*SQRT((ABS($B18-K$5))/a_lift)))+t_pos+t_I+IF((K$5)&lt;=0,0,IF((K$5)&gt;=v_lift^2/a_lift,(K$5)/v_lift+v_lift/a_lift,2*SQRT((K$5)/a_lift)))+t_pos+t_ch)</f>
        <v>0</v>
      </c>
      <c r="L18" s="20" t="n">
        <f aca="false">$C18*L$6*(t_ch+IF(($B18)&lt;=0,0,IF(($B18)&gt;=v_lift^2/a_lift,($B18)/v_lift+v_lift/a_lift,2*SQRT(($B18)/a_lift)))+t_pos+t_I+IF((ABS($B18-L$5))&lt;=0,0,IF((ABS($B18-L$5))&gt;=v_lift^2/a_lift,(ABS($B18-L$5))/v_lift+v_lift/a_lift,2*SQRT((ABS($B18-L$5))/a_lift)))+t_pos+t_I+IF((L$5)&lt;=0,0,IF((L$5)&gt;=v_lift^2/a_lift,(L$5)/v_lift+v_lift/a_lift,2*SQRT((L$5)/a_lift)))+t_pos+t_ch)</f>
        <v>0</v>
      </c>
      <c r="M18" s="20" t="n">
        <f aca="false">$C18*M$6*(t_ch+IF(($B18)&lt;=0,0,IF(($B18)&gt;=v_lift^2/a_lift,($B18)/v_lift+v_lift/a_lift,2*SQRT(($B18)/a_lift)))+t_pos+t_I+IF((ABS($B18-M$5))&lt;=0,0,IF((ABS($B18-M$5))&gt;=v_lift^2/a_lift,(ABS($B18-M$5))/v_lift+v_lift/a_lift,2*SQRT((ABS($B18-M$5))/a_lift)))+t_pos+t_I+IF((M$5)&lt;=0,0,IF((M$5)&gt;=v_lift^2/a_lift,(M$5)/v_lift+v_lift/a_lift,2*SQRT((M$5)/a_lift)))+t_pos+t_ch)</f>
        <v>0</v>
      </c>
      <c r="N18" s="20" t="n">
        <f aca="false">$C18*N$6*(t_ch+IF(($B18)&lt;=0,0,IF(($B18)&gt;=v_lift^2/a_lift,($B18)/v_lift+v_lift/a_lift,2*SQRT(($B18)/a_lift)))+t_pos+t_I+IF((ABS($B18-N$5))&lt;=0,0,IF((ABS($B18-N$5))&gt;=v_lift^2/a_lift,(ABS($B18-N$5))/v_lift+v_lift/a_lift,2*SQRT((ABS($B18-N$5))/a_lift)))+t_pos+t_I+IF((N$5)&lt;=0,0,IF((N$5)&gt;=v_lift^2/a_lift,(N$5)/v_lift+v_lift/a_lift,2*SQRT((N$5)/a_lift)))+t_pos+t_ch)</f>
        <v>0</v>
      </c>
      <c r="O18" s="20" t="n">
        <f aca="false">$C18*O$6*(t_ch+IF(($B18)&lt;=0,0,IF(($B18)&gt;=v_lift^2/a_lift,($B18)/v_lift+v_lift/a_lift,2*SQRT(($B18)/a_lift)))+t_pos+t_I+IF((ABS($B18-O$5))&lt;=0,0,IF((ABS($B18-O$5))&gt;=v_lift^2/a_lift,(ABS($B18-O$5))/v_lift+v_lift/a_lift,2*SQRT((ABS($B18-O$5))/a_lift)))+t_pos+t_I+IF((O$5)&lt;=0,0,IF((O$5)&gt;=v_lift^2/a_lift,(O$5)/v_lift+v_lift/a_lift,2*SQRT((O$5)/a_lift)))+t_pos+t_ch)</f>
        <v>0</v>
      </c>
      <c r="P18" s="20" t="n">
        <f aca="false">$C18*P$6*(t_ch+IF(($B18)&lt;=0,0,IF(($B18)&gt;=v_lift^2/a_lift,($B18)/v_lift+v_lift/a_lift,2*SQRT(($B18)/a_lift)))+t_pos+t_I+IF((ABS($B18-P$5))&lt;=0,0,IF((ABS($B18-P$5))&gt;=v_lift^2/a_lift,(ABS($B18-P$5))/v_lift+v_lift/a_lift,2*SQRT((ABS($B18-P$5))/a_lift)))+t_pos+t_I+IF((P$5)&lt;=0,0,IF((P$5)&gt;=v_lift^2/a_lift,(P$5)/v_lift+v_lift/a_lift,2*SQRT((P$5)/a_lift)))+t_pos+t_ch)</f>
        <v>0</v>
      </c>
      <c r="Q18" s="20" t="n">
        <f aca="false">$C18*Q$6*(t_ch+IF(($B18)&lt;=0,0,IF(($B18)&gt;=v_lift^2/a_lift,($B18)/v_lift+v_lift/a_lift,2*SQRT(($B18)/a_lift)))+t_pos+t_I+IF((ABS($B18-Q$5))&lt;=0,0,IF((ABS($B18-Q$5))&gt;=v_lift^2/a_lift,(ABS($B18-Q$5))/v_lift+v_lift/a_lift,2*SQRT((ABS($B18-Q$5))/a_lift)))+t_pos+t_I+IF((Q$5)&lt;=0,0,IF((Q$5)&gt;=v_lift^2/a_lift,(Q$5)/v_lift+v_lift/a_lift,2*SQRT((Q$5)/a_lift)))+t_pos+t_ch)</f>
        <v>0</v>
      </c>
      <c r="R18" s="20" t="n">
        <f aca="false">$C18*R$6*(t_ch+IF(($B18)&lt;=0,0,IF(($B18)&gt;=v_lift^2/a_lift,($B18)/v_lift+v_lift/a_lift,2*SQRT(($B18)/a_lift)))+t_pos+t_I+IF((ABS($B18-R$5))&lt;=0,0,IF((ABS($B18-R$5))&gt;=v_lift^2/a_lift,(ABS($B18-R$5))/v_lift+v_lift/a_lift,2*SQRT((ABS($B18-R$5))/a_lift)))+t_pos+t_I+IF((R$5)&lt;=0,0,IF((R$5)&gt;=v_lift^2/a_lift,(R$5)/v_lift+v_lift/a_lift,2*SQRT((R$5)/a_lift)))+t_pos+t_ch)</f>
        <v>0</v>
      </c>
      <c r="S18" s="20" t="n">
        <f aca="false">$C18*S$6*(t_ch+IF(($B18)&lt;=0,0,IF(($B18)&gt;=v_lift^2/a_lift,($B18)/v_lift+v_lift/a_lift,2*SQRT(($B18)/a_lift)))+t_pos+t_I+IF((ABS($B18-S$5))&lt;=0,0,IF((ABS($B18-S$5))&gt;=v_lift^2/a_lift,(ABS($B18-S$5))/v_lift+v_lift/a_lift,2*SQRT((ABS($B18-S$5))/a_lift)))+t_pos+t_I+IF((S$5)&lt;=0,0,IF((S$5)&gt;=v_lift^2/a_lift,(S$5)/v_lift+v_lift/a_lift,2*SQRT((S$5)/a_lift)))+t_pos+t_ch)</f>
        <v>0</v>
      </c>
      <c r="T18" s="20" t="n">
        <f aca="false">$C18*T$6*(t_ch+IF(($B18)&lt;=0,0,IF(($B18)&gt;=v_lift^2/a_lift,($B18)/v_lift+v_lift/a_lift,2*SQRT(($B18)/a_lift)))+t_pos+t_I+IF((ABS($B18-T$5))&lt;=0,0,IF((ABS($B18-T$5))&gt;=v_lift^2/a_lift,(ABS($B18-T$5))/v_lift+v_lift/a_lift,2*SQRT((ABS($B18-T$5))/a_lift)))+t_pos+t_I+IF((T$5)&lt;=0,0,IF((T$5)&gt;=v_lift^2/a_lift,(T$5)/v_lift+v_lift/a_lift,2*SQRT((T$5)/a_lift)))+t_pos+t_ch)</f>
        <v>0</v>
      </c>
      <c r="U18" s="20" t="n">
        <f aca="false">$C18*U$6*(t_ch+IF(($B18)&lt;=0,0,IF(($B18)&gt;=v_lift^2/a_lift,($B18)/v_lift+v_lift/a_lift,2*SQRT(($B18)/a_lift)))+t_pos+t_I+IF((ABS($B18-U$5))&lt;=0,0,IF((ABS($B18-U$5))&gt;=v_lift^2/a_lift,(ABS($B18-U$5))/v_lift+v_lift/a_lift,2*SQRT((ABS($B18-U$5))/a_lift)))+t_pos+t_I+IF((U$5)&lt;=0,0,IF((U$5)&gt;=v_lift^2/a_lift,(U$5)/v_lift+v_lift/a_lift,2*SQRT((U$5)/a_lift)))+t_pos+t_ch)</f>
        <v>0</v>
      </c>
      <c r="V18" s="20" t="n">
        <f aca="false">$C18*V$6*(t_ch+IF(($B18)&lt;=0,0,IF(($B18)&gt;=v_lift^2/a_lift,($B18)/v_lift+v_lift/a_lift,2*SQRT(($B18)/a_lift)))+t_pos+t_I+IF((ABS($B18-V$5))&lt;=0,0,IF((ABS($B18-V$5))&gt;=v_lift^2/a_lift,(ABS($B18-V$5))/v_lift+v_lift/a_lift,2*SQRT((ABS($B18-V$5))/a_lift)))+t_pos+t_I+IF((V$5)&lt;=0,0,IF((V$5)&gt;=v_lift^2/a_lift,(V$5)/v_lift+v_lift/a_lift,2*SQRT((V$5)/a_lift)))+t_pos+t_ch)</f>
        <v>0</v>
      </c>
      <c r="W18" s="20" t="n">
        <f aca="false">$C18*W$6*(t_ch+IF(($B18)&lt;=0,0,IF(($B18)&gt;=v_lift^2/a_lift,($B18)/v_lift+v_lift/a_lift,2*SQRT(($B18)/a_lift)))+t_pos+t_I+IF((ABS($B18-W$5))&lt;=0,0,IF((ABS($B18-W$5))&gt;=v_lift^2/a_lift,(ABS($B18-W$5))/v_lift+v_lift/a_lift,2*SQRT((ABS($B18-W$5))/a_lift)))+t_pos+t_I+IF((W$5)&lt;=0,0,IF((W$5)&gt;=v_lift^2/a_lift,(W$5)/v_lift+v_lift/a_lift,2*SQRT((W$5)/a_lift)))+t_pos+t_ch)</f>
        <v>0</v>
      </c>
    </row>
    <row r="19" customFormat="false" ht="15" hidden="false" customHeight="false" outlineLevel="0" collapsed="false">
      <c r="A19" s="7" t="n">
        <v>12</v>
      </c>
      <c r="B19" s="18" t="n">
        <f aca="false">Tiers!C15</f>
        <v>0</v>
      </c>
      <c r="C19" s="19" t="n">
        <f aca="false">Tiers!I15</f>
        <v>0</v>
      </c>
      <c r="D19" s="20" t="n">
        <f aca="false">$C19*D$6*(t_ch+IF(($B19)&lt;=0,0,IF(($B19)&gt;=v_lift^2/a_lift,($B19)/v_lift+v_lift/a_lift,2*SQRT(($B19)/a_lift)))+t_pos+t_I+IF((ABS($B19-D$5))&lt;=0,0,IF((ABS($B19-D$5))&gt;=v_lift^2/a_lift,(ABS($B19-D$5))/v_lift+v_lift/a_lift,2*SQRT((ABS($B19-D$5))/a_lift)))+t_pos+t_I+IF((D$5)&lt;=0,0,IF((D$5)&gt;=v_lift^2/a_lift,(D$5)/v_lift+v_lift/a_lift,2*SQRT((D$5)/a_lift)))+t_pos+t_ch)</f>
        <v>0</v>
      </c>
      <c r="E19" s="20" t="n">
        <f aca="false">$C19*E$6*(t_ch+IF(($B19)&lt;=0,0,IF(($B19)&gt;=v_lift^2/a_lift,($B19)/v_lift+v_lift/a_lift,2*SQRT(($B19)/a_lift)))+t_pos+t_I+IF((ABS($B19-E$5))&lt;=0,0,IF((ABS($B19-E$5))&gt;=v_lift^2/a_lift,(ABS($B19-E$5))/v_lift+v_lift/a_lift,2*SQRT((ABS($B19-E$5))/a_lift)))+t_pos+t_I+IF((E$5)&lt;=0,0,IF((E$5)&gt;=v_lift^2/a_lift,(E$5)/v_lift+v_lift/a_lift,2*SQRT((E$5)/a_lift)))+t_pos+t_ch)</f>
        <v>0</v>
      </c>
      <c r="F19" s="20" t="n">
        <f aca="false">$C19*F$6*(t_ch+IF(($B19)&lt;=0,0,IF(($B19)&gt;=v_lift^2/a_lift,($B19)/v_lift+v_lift/a_lift,2*SQRT(($B19)/a_lift)))+t_pos+t_I+IF((ABS($B19-F$5))&lt;=0,0,IF((ABS($B19-F$5))&gt;=v_lift^2/a_lift,(ABS($B19-F$5))/v_lift+v_lift/a_lift,2*SQRT((ABS($B19-F$5))/a_lift)))+t_pos+t_I+IF((F$5)&lt;=0,0,IF((F$5)&gt;=v_lift^2/a_lift,(F$5)/v_lift+v_lift/a_lift,2*SQRT((F$5)/a_lift)))+t_pos+t_ch)</f>
        <v>0</v>
      </c>
      <c r="G19" s="20" t="n">
        <f aca="false">$C19*G$6*(t_ch+IF(($B19)&lt;=0,0,IF(($B19)&gt;=v_lift^2/a_lift,($B19)/v_lift+v_lift/a_lift,2*SQRT(($B19)/a_lift)))+t_pos+t_I+IF((ABS($B19-G$5))&lt;=0,0,IF((ABS($B19-G$5))&gt;=v_lift^2/a_lift,(ABS($B19-G$5))/v_lift+v_lift/a_lift,2*SQRT((ABS($B19-G$5))/a_lift)))+t_pos+t_I+IF((G$5)&lt;=0,0,IF((G$5)&gt;=v_lift^2/a_lift,(G$5)/v_lift+v_lift/a_lift,2*SQRT((G$5)/a_lift)))+t_pos+t_ch)</f>
        <v>0</v>
      </c>
      <c r="H19" s="20" t="n">
        <f aca="false">$C19*H$6*(t_ch+IF(($B19)&lt;=0,0,IF(($B19)&gt;=v_lift^2/a_lift,($B19)/v_lift+v_lift/a_lift,2*SQRT(($B19)/a_lift)))+t_pos+t_I+IF((ABS($B19-H$5))&lt;=0,0,IF((ABS($B19-H$5))&gt;=v_lift^2/a_lift,(ABS($B19-H$5))/v_lift+v_lift/a_lift,2*SQRT((ABS($B19-H$5))/a_lift)))+t_pos+t_I+IF((H$5)&lt;=0,0,IF((H$5)&gt;=v_lift^2/a_lift,(H$5)/v_lift+v_lift/a_lift,2*SQRT((H$5)/a_lift)))+t_pos+t_ch)</f>
        <v>0</v>
      </c>
      <c r="I19" s="20" t="n">
        <f aca="false">$C19*I$6*(t_ch+IF(($B19)&lt;=0,0,IF(($B19)&gt;=v_lift^2/a_lift,($B19)/v_lift+v_lift/a_lift,2*SQRT(($B19)/a_lift)))+t_pos+t_I+IF((ABS($B19-I$5))&lt;=0,0,IF((ABS($B19-I$5))&gt;=v_lift^2/a_lift,(ABS($B19-I$5))/v_lift+v_lift/a_lift,2*SQRT((ABS($B19-I$5))/a_lift)))+t_pos+t_I+IF((I$5)&lt;=0,0,IF((I$5)&gt;=v_lift^2/a_lift,(I$5)/v_lift+v_lift/a_lift,2*SQRT((I$5)/a_lift)))+t_pos+t_ch)</f>
        <v>0</v>
      </c>
      <c r="J19" s="20" t="n">
        <f aca="false">$C19*J$6*(t_ch+IF(($B19)&lt;=0,0,IF(($B19)&gt;=v_lift^2/a_lift,($B19)/v_lift+v_lift/a_lift,2*SQRT(($B19)/a_lift)))+t_pos+t_I+IF((ABS($B19-J$5))&lt;=0,0,IF((ABS($B19-J$5))&gt;=v_lift^2/a_lift,(ABS($B19-J$5))/v_lift+v_lift/a_lift,2*SQRT((ABS($B19-J$5))/a_lift)))+t_pos+t_I+IF((J$5)&lt;=0,0,IF((J$5)&gt;=v_lift^2/a_lift,(J$5)/v_lift+v_lift/a_lift,2*SQRT((J$5)/a_lift)))+t_pos+t_ch)</f>
        <v>0</v>
      </c>
      <c r="K19" s="20" t="n">
        <f aca="false">$C19*K$6*(t_ch+IF(($B19)&lt;=0,0,IF(($B19)&gt;=v_lift^2/a_lift,($B19)/v_lift+v_lift/a_lift,2*SQRT(($B19)/a_lift)))+t_pos+t_I+IF((ABS($B19-K$5))&lt;=0,0,IF((ABS($B19-K$5))&gt;=v_lift^2/a_lift,(ABS($B19-K$5))/v_lift+v_lift/a_lift,2*SQRT((ABS($B19-K$5))/a_lift)))+t_pos+t_I+IF((K$5)&lt;=0,0,IF((K$5)&gt;=v_lift^2/a_lift,(K$5)/v_lift+v_lift/a_lift,2*SQRT((K$5)/a_lift)))+t_pos+t_ch)</f>
        <v>0</v>
      </c>
      <c r="L19" s="20" t="n">
        <f aca="false">$C19*L$6*(t_ch+IF(($B19)&lt;=0,0,IF(($B19)&gt;=v_lift^2/a_lift,($B19)/v_lift+v_lift/a_lift,2*SQRT(($B19)/a_lift)))+t_pos+t_I+IF((ABS($B19-L$5))&lt;=0,0,IF((ABS($B19-L$5))&gt;=v_lift^2/a_lift,(ABS($B19-L$5))/v_lift+v_lift/a_lift,2*SQRT((ABS($B19-L$5))/a_lift)))+t_pos+t_I+IF((L$5)&lt;=0,0,IF((L$5)&gt;=v_lift^2/a_lift,(L$5)/v_lift+v_lift/a_lift,2*SQRT((L$5)/a_lift)))+t_pos+t_ch)</f>
        <v>0</v>
      </c>
      <c r="M19" s="20" t="n">
        <f aca="false">$C19*M$6*(t_ch+IF(($B19)&lt;=0,0,IF(($B19)&gt;=v_lift^2/a_lift,($B19)/v_lift+v_lift/a_lift,2*SQRT(($B19)/a_lift)))+t_pos+t_I+IF((ABS($B19-M$5))&lt;=0,0,IF((ABS($B19-M$5))&gt;=v_lift^2/a_lift,(ABS($B19-M$5))/v_lift+v_lift/a_lift,2*SQRT((ABS($B19-M$5))/a_lift)))+t_pos+t_I+IF((M$5)&lt;=0,0,IF((M$5)&gt;=v_lift^2/a_lift,(M$5)/v_lift+v_lift/a_lift,2*SQRT((M$5)/a_lift)))+t_pos+t_ch)</f>
        <v>0</v>
      </c>
      <c r="N19" s="20" t="n">
        <f aca="false">$C19*N$6*(t_ch+IF(($B19)&lt;=0,0,IF(($B19)&gt;=v_lift^2/a_lift,($B19)/v_lift+v_lift/a_lift,2*SQRT(($B19)/a_lift)))+t_pos+t_I+IF((ABS($B19-N$5))&lt;=0,0,IF((ABS($B19-N$5))&gt;=v_lift^2/a_lift,(ABS($B19-N$5))/v_lift+v_lift/a_lift,2*SQRT((ABS($B19-N$5))/a_lift)))+t_pos+t_I+IF((N$5)&lt;=0,0,IF((N$5)&gt;=v_lift^2/a_lift,(N$5)/v_lift+v_lift/a_lift,2*SQRT((N$5)/a_lift)))+t_pos+t_ch)</f>
        <v>0</v>
      </c>
      <c r="O19" s="20" t="n">
        <f aca="false">$C19*O$6*(t_ch+IF(($B19)&lt;=0,0,IF(($B19)&gt;=v_lift^2/a_lift,($B19)/v_lift+v_lift/a_lift,2*SQRT(($B19)/a_lift)))+t_pos+t_I+IF((ABS($B19-O$5))&lt;=0,0,IF((ABS($B19-O$5))&gt;=v_lift^2/a_lift,(ABS($B19-O$5))/v_lift+v_lift/a_lift,2*SQRT((ABS($B19-O$5))/a_lift)))+t_pos+t_I+IF((O$5)&lt;=0,0,IF((O$5)&gt;=v_lift^2/a_lift,(O$5)/v_lift+v_lift/a_lift,2*SQRT((O$5)/a_lift)))+t_pos+t_ch)</f>
        <v>0</v>
      </c>
      <c r="P19" s="20" t="n">
        <f aca="false">$C19*P$6*(t_ch+IF(($B19)&lt;=0,0,IF(($B19)&gt;=v_lift^2/a_lift,($B19)/v_lift+v_lift/a_lift,2*SQRT(($B19)/a_lift)))+t_pos+t_I+IF((ABS($B19-P$5))&lt;=0,0,IF((ABS($B19-P$5))&gt;=v_lift^2/a_lift,(ABS($B19-P$5))/v_lift+v_lift/a_lift,2*SQRT((ABS($B19-P$5))/a_lift)))+t_pos+t_I+IF((P$5)&lt;=0,0,IF((P$5)&gt;=v_lift^2/a_lift,(P$5)/v_lift+v_lift/a_lift,2*SQRT((P$5)/a_lift)))+t_pos+t_ch)</f>
        <v>0</v>
      </c>
      <c r="Q19" s="20" t="n">
        <f aca="false">$C19*Q$6*(t_ch+IF(($B19)&lt;=0,0,IF(($B19)&gt;=v_lift^2/a_lift,($B19)/v_lift+v_lift/a_lift,2*SQRT(($B19)/a_lift)))+t_pos+t_I+IF((ABS($B19-Q$5))&lt;=0,0,IF((ABS($B19-Q$5))&gt;=v_lift^2/a_lift,(ABS($B19-Q$5))/v_lift+v_lift/a_lift,2*SQRT((ABS($B19-Q$5))/a_lift)))+t_pos+t_I+IF((Q$5)&lt;=0,0,IF((Q$5)&gt;=v_lift^2/a_lift,(Q$5)/v_lift+v_lift/a_lift,2*SQRT((Q$5)/a_lift)))+t_pos+t_ch)</f>
        <v>0</v>
      </c>
      <c r="R19" s="20" t="n">
        <f aca="false">$C19*R$6*(t_ch+IF(($B19)&lt;=0,0,IF(($B19)&gt;=v_lift^2/a_lift,($B19)/v_lift+v_lift/a_lift,2*SQRT(($B19)/a_lift)))+t_pos+t_I+IF((ABS($B19-R$5))&lt;=0,0,IF((ABS($B19-R$5))&gt;=v_lift^2/a_lift,(ABS($B19-R$5))/v_lift+v_lift/a_lift,2*SQRT((ABS($B19-R$5))/a_lift)))+t_pos+t_I+IF((R$5)&lt;=0,0,IF((R$5)&gt;=v_lift^2/a_lift,(R$5)/v_lift+v_lift/a_lift,2*SQRT((R$5)/a_lift)))+t_pos+t_ch)</f>
        <v>0</v>
      </c>
      <c r="S19" s="20" t="n">
        <f aca="false">$C19*S$6*(t_ch+IF(($B19)&lt;=0,0,IF(($B19)&gt;=v_lift^2/a_lift,($B19)/v_lift+v_lift/a_lift,2*SQRT(($B19)/a_lift)))+t_pos+t_I+IF((ABS($B19-S$5))&lt;=0,0,IF((ABS($B19-S$5))&gt;=v_lift^2/a_lift,(ABS($B19-S$5))/v_lift+v_lift/a_lift,2*SQRT((ABS($B19-S$5))/a_lift)))+t_pos+t_I+IF((S$5)&lt;=0,0,IF((S$5)&gt;=v_lift^2/a_lift,(S$5)/v_lift+v_lift/a_lift,2*SQRT((S$5)/a_lift)))+t_pos+t_ch)</f>
        <v>0</v>
      </c>
      <c r="T19" s="20" t="n">
        <f aca="false">$C19*T$6*(t_ch+IF(($B19)&lt;=0,0,IF(($B19)&gt;=v_lift^2/a_lift,($B19)/v_lift+v_lift/a_lift,2*SQRT(($B19)/a_lift)))+t_pos+t_I+IF((ABS($B19-T$5))&lt;=0,0,IF((ABS($B19-T$5))&gt;=v_lift^2/a_lift,(ABS($B19-T$5))/v_lift+v_lift/a_lift,2*SQRT((ABS($B19-T$5))/a_lift)))+t_pos+t_I+IF((T$5)&lt;=0,0,IF((T$5)&gt;=v_lift^2/a_lift,(T$5)/v_lift+v_lift/a_lift,2*SQRT((T$5)/a_lift)))+t_pos+t_ch)</f>
        <v>0</v>
      </c>
      <c r="U19" s="20" t="n">
        <f aca="false">$C19*U$6*(t_ch+IF(($B19)&lt;=0,0,IF(($B19)&gt;=v_lift^2/a_lift,($B19)/v_lift+v_lift/a_lift,2*SQRT(($B19)/a_lift)))+t_pos+t_I+IF((ABS($B19-U$5))&lt;=0,0,IF((ABS($B19-U$5))&gt;=v_lift^2/a_lift,(ABS($B19-U$5))/v_lift+v_lift/a_lift,2*SQRT((ABS($B19-U$5))/a_lift)))+t_pos+t_I+IF((U$5)&lt;=0,0,IF((U$5)&gt;=v_lift^2/a_lift,(U$5)/v_lift+v_lift/a_lift,2*SQRT((U$5)/a_lift)))+t_pos+t_ch)</f>
        <v>0</v>
      </c>
      <c r="V19" s="20" t="n">
        <f aca="false">$C19*V$6*(t_ch+IF(($B19)&lt;=0,0,IF(($B19)&gt;=v_lift^2/a_lift,($B19)/v_lift+v_lift/a_lift,2*SQRT(($B19)/a_lift)))+t_pos+t_I+IF((ABS($B19-V$5))&lt;=0,0,IF((ABS($B19-V$5))&gt;=v_lift^2/a_lift,(ABS($B19-V$5))/v_lift+v_lift/a_lift,2*SQRT((ABS($B19-V$5))/a_lift)))+t_pos+t_I+IF((V$5)&lt;=0,0,IF((V$5)&gt;=v_lift^2/a_lift,(V$5)/v_lift+v_lift/a_lift,2*SQRT((V$5)/a_lift)))+t_pos+t_ch)</f>
        <v>0</v>
      </c>
      <c r="W19" s="20" t="n">
        <f aca="false">$C19*W$6*(t_ch+IF(($B19)&lt;=0,0,IF(($B19)&gt;=v_lift^2/a_lift,($B19)/v_lift+v_lift/a_lift,2*SQRT(($B19)/a_lift)))+t_pos+t_I+IF((ABS($B19-W$5))&lt;=0,0,IF((ABS($B19-W$5))&gt;=v_lift^2/a_lift,(ABS($B19-W$5))/v_lift+v_lift/a_lift,2*SQRT((ABS($B19-W$5))/a_lift)))+t_pos+t_I+IF((W$5)&lt;=0,0,IF((W$5)&gt;=v_lift^2/a_lift,(W$5)/v_lift+v_lift/a_lift,2*SQRT((W$5)/a_lift)))+t_pos+t_ch)</f>
        <v>0</v>
      </c>
    </row>
    <row r="20" customFormat="false" ht="15" hidden="false" customHeight="false" outlineLevel="0" collapsed="false">
      <c r="A20" s="7" t="n">
        <v>13</v>
      </c>
      <c r="B20" s="18" t="n">
        <f aca="false">Tiers!C16</f>
        <v>0</v>
      </c>
      <c r="C20" s="19" t="n">
        <f aca="false">Tiers!I16</f>
        <v>0</v>
      </c>
      <c r="D20" s="20" t="n">
        <f aca="false">$C20*D$6*(t_ch+IF(($B20)&lt;=0,0,IF(($B20)&gt;=v_lift^2/a_lift,($B20)/v_lift+v_lift/a_lift,2*SQRT(($B20)/a_lift)))+t_pos+t_I+IF((ABS($B20-D$5))&lt;=0,0,IF((ABS($B20-D$5))&gt;=v_lift^2/a_lift,(ABS($B20-D$5))/v_lift+v_lift/a_lift,2*SQRT((ABS($B20-D$5))/a_lift)))+t_pos+t_I+IF((D$5)&lt;=0,0,IF((D$5)&gt;=v_lift^2/a_lift,(D$5)/v_lift+v_lift/a_lift,2*SQRT((D$5)/a_lift)))+t_pos+t_ch)</f>
        <v>0</v>
      </c>
      <c r="E20" s="20" t="n">
        <f aca="false">$C20*E$6*(t_ch+IF(($B20)&lt;=0,0,IF(($B20)&gt;=v_lift^2/a_lift,($B20)/v_lift+v_lift/a_lift,2*SQRT(($B20)/a_lift)))+t_pos+t_I+IF((ABS($B20-E$5))&lt;=0,0,IF((ABS($B20-E$5))&gt;=v_lift^2/a_lift,(ABS($B20-E$5))/v_lift+v_lift/a_lift,2*SQRT((ABS($B20-E$5))/a_lift)))+t_pos+t_I+IF((E$5)&lt;=0,0,IF((E$5)&gt;=v_lift^2/a_lift,(E$5)/v_lift+v_lift/a_lift,2*SQRT((E$5)/a_lift)))+t_pos+t_ch)</f>
        <v>0</v>
      </c>
      <c r="F20" s="20" t="n">
        <f aca="false">$C20*F$6*(t_ch+IF(($B20)&lt;=0,0,IF(($B20)&gt;=v_lift^2/a_lift,($B20)/v_lift+v_lift/a_lift,2*SQRT(($B20)/a_lift)))+t_pos+t_I+IF((ABS($B20-F$5))&lt;=0,0,IF((ABS($B20-F$5))&gt;=v_lift^2/a_lift,(ABS($B20-F$5))/v_lift+v_lift/a_lift,2*SQRT((ABS($B20-F$5))/a_lift)))+t_pos+t_I+IF((F$5)&lt;=0,0,IF((F$5)&gt;=v_lift^2/a_lift,(F$5)/v_lift+v_lift/a_lift,2*SQRT((F$5)/a_lift)))+t_pos+t_ch)</f>
        <v>0</v>
      </c>
      <c r="G20" s="20" t="n">
        <f aca="false">$C20*G$6*(t_ch+IF(($B20)&lt;=0,0,IF(($B20)&gt;=v_lift^2/a_lift,($B20)/v_lift+v_lift/a_lift,2*SQRT(($B20)/a_lift)))+t_pos+t_I+IF((ABS($B20-G$5))&lt;=0,0,IF((ABS($B20-G$5))&gt;=v_lift^2/a_lift,(ABS($B20-G$5))/v_lift+v_lift/a_lift,2*SQRT((ABS($B20-G$5))/a_lift)))+t_pos+t_I+IF((G$5)&lt;=0,0,IF((G$5)&gt;=v_lift^2/a_lift,(G$5)/v_lift+v_lift/a_lift,2*SQRT((G$5)/a_lift)))+t_pos+t_ch)</f>
        <v>0</v>
      </c>
      <c r="H20" s="20" t="n">
        <f aca="false">$C20*H$6*(t_ch+IF(($B20)&lt;=0,0,IF(($B20)&gt;=v_lift^2/a_lift,($B20)/v_lift+v_lift/a_lift,2*SQRT(($B20)/a_lift)))+t_pos+t_I+IF((ABS($B20-H$5))&lt;=0,0,IF((ABS($B20-H$5))&gt;=v_lift^2/a_lift,(ABS($B20-H$5))/v_lift+v_lift/a_lift,2*SQRT((ABS($B20-H$5))/a_lift)))+t_pos+t_I+IF((H$5)&lt;=0,0,IF((H$5)&gt;=v_lift^2/a_lift,(H$5)/v_lift+v_lift/a_lift,2*SQRT((H$5)/a_lift)))+t_pos+t_ch)</f>
        <v>0</v>
      </c>
      <c r="I20" s="20" t="n">
        <f aca="false">$C20*I$6*(t_ch+IF(($B20)&lt;=0,0,IF(($B20)&gt;=v_lift^2/a_lift,($B20)/v_lift+v_lift/a_lift,2*SQRT(($B20)/a_lift)))+t_pos+t_I+IF((ABS($B20-I$5))&lt;=0,0,IF((ABS($B20-I$5))&gt;=v_lift^2/a_lift,(ABS($B20-I$5))/v_lift+v_lift/a_lift,2*SQRT((ABS($B20-I$5))/a_lift)))+t_pos+t_I+IF((I$5)&lt;=0,0,IF((I$5)&gt;=v_lift^2/a_lift,(I$5)/v_lift+v_lift/a_lift,2*SQRT((I$5)/a_lift)))+t_pos+t_ch)</f>
        <v>0</v>
      </c>
      <c r="J20" s="20" t="n">
        <f aca="false">$C20*J$6*(t_ch+IF(($B20)&lt;=0,0,IF(($B20)&gt;=v_lift^2/a_lift,($B20)/v_lift+v_lift/a_lift,2*SQRT(($B20)/a_lift)))+t_pos+t_I+IF((ABS($B20-J$5))&lt;=0,0,IF((ABS($B20-J$5))&gt;=v_lift^2/a_lift,(ABS($B20-J$5))/v_lift+v_lift/a_lift,2*SQRT((ABS($B20-J$5))/a_lift)))+t_pos+t_I+IF((J$5)&lt;=0,0,IF((J$5)&gt;=v_lift^2/a_lift,(J$5)/v_lift+v_lift/a_lift,2*SQRT((J$5)/a_lift)))+t_pos+t_ch)</f>
        <v>0</v>
      </c>
      <c r="K20" s="20" t="n">
        <f aca="false">$C20*K$6*(t_ch+IF(($B20)&lt;=0,0,IF(($B20)&gt;=v_lift^2/a_lift,($B20)/v_lift+v_lift/a_lift,2*SQRT(($B20)/a_lift)))+t_pos+t_I+IF((ABS($B20-K$5))&lt;=0,0,IF((ABS($B20-K$5))&gt;=v_lift^2/a_lift,(ABS($B20-K$5))/v_lift+v_lift/a_lift,2*SQRT((ABS($B20-K$5))/a_lift)))+t_pos+t_I+IF((K$5)&lt;=0,0,IF((K$5)&gt;=v_lift^2/a_lift,(K$5)/v_lift+v_lift/a_lift,2*SQRT((K$5)/a_lift)))+t_pos+t_ch)</f>
        <v>0</v>
      </c>
      <c r="L20" s="20" t="n">
        <f aca="false">$C20*L$6*(t_ch+IF(($B20)&lt;=0,0,IF(($B20)&gt;=v_lift^2/a_lift,($B20)/v_lift+v_lift/a_lift,2*SQRT(($B20)/a_lift)))+t_pos+t_I+IF((ABS($B20-L$5))&lt;=0,0,IF((ABS($B20-L$5))&gt;=v_lift^2/a_lift,(ABS($B20-L$5))/v_lift+v_lift/a_lift,2*SQRT((ABS($B20-L$5))/a_lift)))+t_pos+t_I+IF((L$5)&lt;=0,0,IF((L$5)&gt;=v_lift^2/a_lift,(L$5)/v_lift+v_lift/a_lift,2*SQRT((L$5)/a_lift)))+t_pos+t_ch)</f>
        <v>0</v>
      </c>
      <c r="M20" s="20" t="n">
        <f aca="false">$C20*M$6*(t_ch+IF(($B20)&lt;=0,0,IF(($B20)&gt;=v_lift^2/a_lift,($B20)/v_lift+v_lift/a_lift,2*SQRT(($B20)/a_lift)))+t_pos+t_I+IF((ABS($B20-M$5))&lt;=0,0,IF((ABS($B20-M$5))&gt;=v_lift^2/a_lift,(ABS($B20-M$5))/v_lift+v_lift/a_lift,2*SQRT((ABS($B20-M$5))/a_lift)))+t_pos+t_I+IF((M$5)&lt;=0,0,IF((M$5)&gt;=v_lift^2/a_lift,(M$5)/v_lift+v_lift/a_lift,2*SQRT((M$5)/a_lift)))+t_pos+t_ch)</f>
        <v>0</v>
      </c>
      <c r="N20" s="20" t="n">
        <f aca="false">$C20*N$6*(t_ch+IF(($B20)&lt;=0,0,IF(($B20)&gt;=v_lift^2/a_lift,($B20)/v_lift+v_lift/a_lift,2*SQRT(($B20)/a_lift)))+t_pos+t_I+IF((ABS($B20-N$5))&lt;=0,0,IF((ABS($B20-N$5))&gt;=v_lift^2/a_lift,(ABS($B20-N$5))/v_lift+v_lift/a_lift,2*SQRT((ABS($B20-N$5))/a_lift)))+t_pos+t_I+IF((N$5)&lt;=0,0,IF((N$5)&gt;=v_lift^2/a_lift,(N$5)/v_lift+v_lift/a_lift,2*SQRT((N$5)/a_lift)))+t_pos+t_ch)</f>
        <v>0</v>
      </c>
      <c r="O20" s="20" t="n">
        <f aca="false">$C20*O$6*(t_ch+IF(($B20)&lt;=0,0,IF(($B20)&gt;=v_lift^2/a_lift,($B20)/v_lift+v_lift/a_lift,2*SQRT(($B20)/a_lift)))+t_pos+t_I+IF((ABS($B20-O$5))&lt;=0,0,IF((ABS($B20-O$5))&gt;=v_lift^2/a_lift,(ABS($B20-O$5))/v_lift+v_lift/a_lift,2*SQRT((ABS($B20-O$5))/a_lift)))+t_pos+t_I+IF((O$5)&lt;=0,0,IF((O$5)&gt;=v_lift^2/a_lift,(O$5)/v_lift+v_lift/a_lift,2*SQRT((O$5)/a_lift)))+t_pos+t_ch)</f>
        <v>0</v>
      </c>
      <c r="P20" s="20" t="n">
        <f aca="false">$C20*P$6*(t_ch+IF(($B20)&lt;=0,0,IF(($B20)&gt;=v_lift^2/a_lift,($B20)/v_lift+v_lift/a_lift,2*SQRT(($B20)/a_lift)))+t_pos+t_I+IF((ABS($B20-P$5))&lt;=0,0,IF((ABS($B20-P$5))&gt;=v_lift^2/a_lift,(ABS($B20-P$5))/v_lift+v_lift/a_lift,2*SQRT((ABS($B20-P$5))/a_lift)))+t_pos+t_I+IF((P$5)&lt;=0,0,IF((P$5)&gt;=v_lift^2/a_lift,(P$5)/v_lift+v_lift/a_lift,2*SQRT((P$5)/a_lift)))+t_pos+t_ch)</f>
        <v>0</v>
      </c>
      <c r="Q20" s="20" t="n">
        <f aca="false">$C20*Q$6*(t_ch+IF(($B20)&lt;=0,0,IF(($B20)&gt;=v_lift^2/a_lift,($B20)/v_lift+v_lift/a_lift,2*SQRT(($B20)/a_lift)))+t_pos+t_I+IF((ABS($B20-Q$5))&lt;=0,0,IF((ABS($B20-Q$5))&gt;=v_lift^2/a_lift,(ABS($B20-Q$5))/v_lift+v_lift/a_lift,2*SQRT((ABS($B20-Q$5))/a_lift)))+t_pos+t_I+IF((Q$5)&lt;=0,0,IF((Q$5)&gt;=v_lift^2/a_lift,(Q$5)/v_lift+v_lift/a_lift,2*SQRT((Q$5)/a_lift)))+t_pos+t_ch)</f>
        <v>0</v>
      </c>
      <c r="R20" s="20" t="n">
        <f aca="false">$C20*R$6*(t_ch+IF(($B20)&lt;=0,0,IF(($B20)&gt;=v_lift^2/a_lift,($B20)/v_lift+v_lift/a_lift,2*SQRT(($B20)/a_lift)))+t_pos+t_I+IF((ABS($B20-R$5))&lt;=0,0,IF((ABS($B20-R$5))&gt;=v_lift^2/a_lift,(ABS($B20-R$5))/v_lift+v_lift/a_lift,2*SQRT((ABS($B20-R$5))/a_lift)))+t_pos+t_I+IF((R$5)&lt;=0,0,IF((R$5)&gt;=v_lift^2/a_lift,(R$5)/v_lift+v_lift/a_lift,2*SQRT((R$5)/a_lift)))+t_pos+t_ch)</f>
        <v>0</v>
      </c>
      <c r="S20" s="20" t="n">
        <f aca="false">$C20*S$6*(t_ch+IF(($B20)&lt;=0,0,IF(($B20)&gt;=v_lift^2/a_lift,($B20)/v_lift+v_lift/a_lift,2*SQRT(($B20)/a_lift)))+t_pos+t_I+IF((ABS($B20-S$5))&lt;=0,0,IF((ABS($B20-S$5))&gt;=v_lift^2/a_lift,(ABS($B20-S$5))/v_lift+v_lift/a_lift,2*SQRT((ABS($B20-S$5))/a_lift)))+t_pos+t_I+IF((S$5)&lt;=0,0,IF((S$5)&gt;=v_lift^2/a_lift,(S$5)/v_lift+v_lift/a_lift,2*SQRT((S$5)/a_lift)))+t_pos+t_ch)</f>
        <v>0</v>
      </c>
      <c r="T20" s="20" t="n">
        <f aca="false">$C20*T$6*(t_ch+IF(($B20)&lt;=0,0,IF(($B20)&gt;=v_lift^2/a_lift,($B20)/v_lift+v_lift/a_lift,2*SQRT(($B20)/a_lift)))+t_pos+t_I+IF((ABS($B20-T$5))&lt;=0,0,IF((ABS($B20-T$5))&gt;=v_lift^2/a_lift,(ABS($B20-T$5))/v_lift+v_lift/a_lift,2*SQRT((ABS($B20-T$5))/a_lift)))+t_pos+t_I+IF((T$5)&lt;=0,0,IF((T$5)&gt;=v_lift^2/a_lift,(T$5)/v_lift+v_lift/a_lift,2*SQRT((T$5)/a_lift)))+t_pos+t_ch)</f>
        <v>0</v>
      </c>
      <c r="U20" s="20" t="n">
        <f aca="false">$C20*U$6*(t_ch+IF(($B20)&lt;=0,0,IF(($B20)&gt;=v_lift^2/a_lift,($B20)/v_lift+v_lift/a_lift,2*SQRT(($B20)/a_lift)))+t_pos+t_I+IF((ABS($B20-U$5))&lt;=0,0,IF((ABS($B20-U$5))&gt;=v_lift^2/a_lift,(ABS($B20-U$5))/v_lift+v_lift/a_lift,2*SQRT((ABS($B20-U$5))/a_lift)))+t_pos+t_I+IF((U$5)&lt;=0,0,IF((U$5)&gt;=v_lift^2/a_lift,(U$5)/v_lift+v_lift/a_lift,2*SQRT((U$5)/a_lift)))+t_pos+t_ch)</f>
        <v>0</v>
      </c>
      <c r="V20" s="20" t="n">
        <f aca="false">$C20*V$6*(t_ch+IF(($B20)&lt;=0,0,IF(($B20)&gt;=v_lift^2/a_lift,($B20)/v_lift+v_lift/a_lift,2*SQRT(($B20)/a_lift)))+t_pos+t_I+IF((ABS($B20-V$5))&lt;=0,0,IF((ABS($B20-V$5))&gt;=v_lift^2/a_lift,(ABS($B20-V$5))/v_lift+v_lift/a_lift,2*SQRT((ABS($B20-V$5))/a_lift)))+t_pos+t_I+IF((V$5)&lt;=0,0,IF((V$5)&gt;=v_lift^2/a_lift,(V$5)/v_lift+v_lift/a_lift,2*SQRT((V$5)/a_lift)))+t_pos+t_ch)</f>
        <v>0</v>
      </c>
      <c r="W20" s="20" t="n">
        <f aca="false">$C20*W$6*(t_ch+IF(($B20)&lt;=0,0,IF(($B20)&gt;=v_lift^2/a_lift,($B20)/v_lift+v_lift/a_lift,2*SQRT(($B20)/a_lift)))+t_pos+t_I+IF((ABS($B20-W$5))&lt;=0,0,IF((ABS($B20-W$5))&gt;=v_lift^2/a_lift,(ABS($B20-W$5))/v_lift+v_lift/a_lift,2*SQRT((ABS($B20-W$5))/a_lift)))+t_pos+t_I+IF((W$5)&lt;=0,0,IF((W$5)&gt;=v_lift^2/a_lift,(W$5)/v_lift+v_lift/a_lift,2*SQRT((W$5)/a_lift)))+t_pos+t_ch)</f>
        <v>0</v>
      </c>
    </row>
    <row r="21" customFormat="false" ht="15" hidden="false" customHeight="false" outlineLevel="0" collapsed="false">
      <c r="A21" s="7" t="n">
        <v>14</v>
      </c>
      <c r="B21" s="18" t="n">
        <f aca="false">Tiers!C17</f>
        <v>0</v>
      </c>
      <c r="C21" s="19" t="n">
        <f aca="false">Tiers!I17</f>
        <v>0</v>
      </c>
      <c r="D21" s="20" t="n">
        <f aca="false">$C21*D$6*(t_ch+IF(($B21)&lt;=0,0,IF(($B21)&gt;=v_lift^2/a_lift,($B21)/v_lift+v_lift/a_lift,2*SQRT(($B21)/a_lift)))+t_pos+t_I+IF((ABS($B21-D$5))&lt;=0,0,IF((ABS($B21-D$5))&gt;=v_lift^2/a_lift,(ABS($B21-D$5))/v_lift+v_lift/a_lift,2*SQRT((ABS($B21-D$5))/a_lift)))+t_pos+t_I+IF((D$5)&lt;=0,0,IF((D$5)&gt;=v_lift^2/a_lift,(D$5)/v_lift+v_lift/a_lift,2*SQRT((D$5)/a_lift)))+t_pos+t_ch)</f>
        <v>0</v>
      </c>
      <c r="E21" s="20" t="n">
        <f aca="false">$C21*E$6*(t_ch+IF(($B21)&lt;=0,0,IF(($B21)&gt;=v_lift^2/a_lift,($B21)/v_lift+v_lift/a_lift,2*SQRT(($B21)/a_lift)))+t_pos+t_I+IF((ABS($B21-E$5))&lt;=0,0,IF((ABS($B21-E$5))&gt;=v_lift^2/a_lift,(ABS($B21-E$5))/v_lift+v_lift/a_lift,2*SQRT((ABS($B21-E$5))/a_lift)))+t_pos+t_I+IF((E$5)&lt;=0,0,IF((E$5)&gt;=v_lift^2/a_lift,(E$5)/v_lift+v_lift/a_lift,2*SQRT((E$5)/a_lift)))+t_pos+t_ch)</f>
        <v>0</v>
      </c>
      <c r="F21" s="20" t="n">
        <f aca="false">$C21*F$6*(t_ch+IF(($B21)&lt;=0,0,IF(($B21)&gt;=v_lift^2/a_lift,($B21)/v_lift+v_lift/a_lift,2*SQRT(($B21)/a_lift)))+t_pos+t_I+IF((ABS($B21-F$5))&lt;=0,0,IF((ABS($B21-F$5))&gt;=v_lift^2/a_lift,(ABS($B21-F$5))/v_lift+v_lift/a_lift,2*SQRT((ABS($B21-F$5))/a_lift)))+t_pos+t_I+IF((F$5)&lt;=0,0,IF((F$5)&gt;=v_lift^2/a_lift,(F$5)/v_lift+v_lift/a_lift,2*SQRT((F$5)/a_lift)))+t_pos+t_ch)</f>
        <v>0</v>
      </c>
      <c r="G21" s="20" t="n">
        <f aca="false">$C21*G$6*(t_ch+IF(($B21)&lt;=0,0,IF(($B21)&gt;=v_lift^2/a_lift,($B21)/v_lift+v_lift/a_lift,2*SQRT(($B21)/a_lift)))+t_pos+t_I+IF((ABS($B21-G$5))&lt;=0,0,IF((ABS($B21-G$5))&gt;=v_lift^2/a_lift,(ABS($B21-G$5))/v_lift+v_lift/a_lift,2*SQRT((ABS($B21-G$5))/a_lift)))+t_pos+t_I+IF((G$5)&lt;=0,0,IF((G$5)&gt;=v_lift^2/a_lift,(G$5)/v_lift+v_lift/a_lift,2*SQRT((G$5)/a_lift)))+t_pos+t_ch)</f>
        <v>0</v>
      </c>
      <c r="H21" s="20" t="n">
        <f aca="false">$C21*H$6*(t_ch+IF(($B21)&lt;=0,0,IF(($B21)&gt;=v_lift^2/a_lift,($B21)/v_lift+v_lift/a_lift,2*SQRT(($B21)/a_lift)))+t_pos+t_I+IF((ABS($B21-H$5))&lt;=0,0,IF((ABS($B21-H$5))&gt;=v_lift^2/a_lift,(ABS($B21-H$5))/v_lift+v_lift/a_lift,2*SQRT((ABS($B21-H$5))/a_lift)))+t_pos+t_I+IF((H$5)&lt;=0,0,IF((H$5)&gt;=v_lift^2/a_lift,(H$5)/v_lift+v_lift/a_lift,2*SQRT((H$5)/a_lift)))+t_pos+t_ch)</f>
        <v>0</v>
      </c>
      <c r="I21" s="20" t="n">
        <f aca="false">$C21*I$6*(t_ch+IF(($B21)&lt;=0,0,IF(($B21)&gt;=v_lift^2/a_lift,($B21)/v_lift+v_lift/a_lift,2*SQRT(($B21)/a_lift)))+t_pos+t_I+IF((ABS($B21-I$5))&lt;=0,0,IF((ABS($B21-I$5))&gt;=v_lift^2/a_lift,(ABS($B21-I$5))/v_lift+v_lift/a_lift,2*SQRT((ABS($B21-I$5))/a_lift)))+t_pos+t_I+IF((I$5)&lt;=0,0,IF((I$5)&gt;=v_lift^2/a_lift,(I$5)/v_lift+v_lift/a_lift,2*SQRT((I$5)/a_lift)))+t_pos+t_ch)</f>
        <v>0</v>
      </c>
      <c r="J21" s="20" t="n">
        <f aca="false">$C21*J$6*(t_ch+IF(($B21)&lt;=0,0,IF(($B21)&gt;=v_lift^2/a_lift,($B21)/v_lift+v_lift/a_lift,2*SQRT(($B21)/a_lift)))+t_pos+t_I+IF((ABS($B21-J$5))&lt;=0,0,IF((ABS($B21-J$5))&gt;=v_lift^2/a_lift,(ABS($B21-J$5))/v_lift+v_lift/a_lift,2*SQRT((ABS($B21-J$5))/a_lift)))+t_pos+t_I+IF((J$5)&lt;=0,0,IF((J$5)&gt;=v_lift^2/a_lift,(J$5)/v_lift+v_lift/a_lift,2*SQRT((J$5)/a_lift)))+t_pos+t_ch)</f>
        <v>0</v>
      </c>
      <c r="K21" s="20" t="n">
        <f aca="false">$C21*K$6*(t_ch+IF(($B21)&lt;=0,0,IF(($B21)&gt;=v_lift^2/a_lift,($B21)/v_lift+v_lift/a_lift,2*SQRT(($B21)/a_lift)))+t_pos+t_I+IF((ABS($B21-K$5))&lt;=0,0,IF((ABS($B21-K$5))&gt;=v_lift^2/a_lift,(ABS($B21-K$5))/v_lift+v_lift/a_lift,2*SQRT((ABS($B21-K$5))/a_lift)))+t_pos+t_I+IF((K$5)&lt;=0,0,IF((K$5)&gt;=v_lift^2/a_lift,(K$5)/v_lift+v_lift/a_lift,2*SQRT((K$5)/a_lift)))+t_pos+t_ch)</f>
        <v>0</v>
      </c>
      <c r="L21" s="20" t="n">
        <f aca="false">$C21*L$6*(t_ch+IF(($B21)&lt;=0,0,IF(($B21)&gt;=v_lift^2/a_lift,($B21)/v_lift+v_lift/a_lift,2*SQRT(($B21)/a_lift)))+t_pos+t_I+IF((ABS($B21-L$5))&lt;=0,0,IF((ABS($B21-L$5))&gt;=v_lift^2/a_lift,(ABS($B21-L$5))/v_lift+v_lift/a_lift,2*SQRT((ABS($B21-L$5))/a_lift)))+t_pos+t_I+IF((L$5)&lt;=0,0,IF((L$5)&gt;=v_lift^2/a_lift,(L$5)/v_lift+v_lift/a_lift,2*SQRT((L$5)/a_lift)))+t_pos+t_ch)</f>
        <v>0</v>
      </c>
      <c r="M21" s="20" t="n">
        <f aca="false">$C21*M$6*(t_ch+IF(($B21)&lt;=0,0,IF(($B21)&gt;=v_lift^2/a_lift,($B21)/v_lift+v_lift/a_lift,2*SQRT(($B21)/a_lift)))+t_pos+t_I+IF((ABS($B21-M$5))&lt;=0,0,IF((ABS($B21-M$5))&gt;=v_lift^2/a_lift,(ABS($B21-M$5))/v_lift+v_lift/a_lift,2*SQRT((ABS($B21-M$5))/a_lift)))+t_pos+t_I+IF((M$5)&lt;=0,0,IF((M$5)&gt;=v_lift^2/a_lift,(M$5)/v_lift+v_lift/a_lift,2*SQRT((M$5)/a_lift)))+t_pos+t_ch)</f>
        <v>0</v>
      </c>
      <c r="N21" s="20" t="n">
        <f aca="false">$C21*N$6*(t_ch+IF(($B21)&lt;=0,0,IF(($B21)&gt;=v_lift^2/a_lift,($B21)/v_lift+v_lift/a_lift,2*SQRT(($B21)/a_lift)))+t_pos+t_I+IF((ABS($B21-N$5))&lt;=0,0,IF((ABS($B21-N$5))&gt;=v_lift^2/a_lift,(ABS($B21-N$5))/v_lift+v_lift/a_lift,2*SQRT((ABS($B21-N$5))/a_lift)))+t_pos+t_I+IF((N$5)&lt;=0,0,IF((N$5)&gt;=v_lift^2/a_lift,(N$5)/v_lift+v_lift/a_lift,2*SQRT((N$5)/a_lift)))+t_pos+t_ch)</f>
        <v>0</v>
      </c>
      <c r="O21" s="20" t="n">
        <f aca="false">$C21*O$6*(t_ch+IF(($B21)&lt;=0,0,IF(($B21)&gt;=v_lift^2/a_lift,($B21)/v_lift+v_lift/a_lift,2*SQRT(($B21)/a_lift)))+t_pos+t_I+IF((ABS($B21-O$5))&lt;=0,0,IF((ABS($B21-O$5))&gt;=v_lift^2/a_lift,(ABS($B21-O$5))/v_lift+v_lift/a_lift,2*SQRT((ABS($B21-O$5))/a_lift)))+t_pos+t_I+IF((O$5)&lt;=0,0,IF((O$5)&gt;=v_lift^2/a_lift,(O$5)/v_lift+v_lift/a_lift,2*SQRT((O$5)/a_lift)))+t_pos+t_ch)</f>
        <v>0</v>
      </c>
      <c r="P21" s="20" t="n">
        <f aca="false">$C21*P$6*(t_ch+IF(($B21)&lt;=0,0,IF(($B21)&gt;=v_lift^2/a_lift,($B21)/v_lift+v_lift/a_lift,2*SQRT(($B21)/a_lift)))+t_pos+t_I+IF((ABS($B21-P$5))&lt;=0,0,IF((ABS($B21-P$5))&gt;=v_lift^2/a_lift,(ABS($B21-P$5))/v_lift+v_lift/a_lift,2*SQRT((ABS($B21-P$5))/a_lift)))+t_pos+t_I+IF((P$5)&lt;=0,0,IF((P$5)&gt;=v_lift^2/a_lift,(P$5)/v_lift+v_lift/a_lift,2*SQRT((P$5)/a_lift)))+t_pos+t_ch)</f>
        <v>0</v>
      </c>
      <c r="Q21" s="20" t="n">
        <f aca="false">$C21*Q$6*(t_ch+IF(($B21)&lt;=0,0,IF(($B21)&gt;=v_lift^2/a_lift,($B21)/v_lift+v_lift/a_lift,2*SQRT(($B21)/a_lift)))+t_pos+t_I+IF((ABS($B21-Q$5))&lt;=0,0,IF((ABS($B21-Q$5))&gt;=v_lift^2/a_lift,(ABS($B21-Q$5))/v_lift+v_lift/a_lift,2*SQRT((ABS($B21-Q$5))/a_lift)))+t_pos+t_I+IF((Q$5)&lt;=0,0,IF((Q$5)&gt;=v_lift^2/a_lift,(Q$5)/v_lift+v_lift/a_lift,2*SQRT((Q$5)/a_lift)))+t_pos+t_ch)</f>
        <v>0</v>
      </c>
      <c r="R21" s="20" t="n">
        <f aca="false">$C21*R$6*(t_ch+IF(($B21)&lt;=0,0,IF(($B21)&gt;=v_lift^2/a_lift,($B21)/v_lift+v_lift/a_lift,2*SQRT(($B21)/a_lift)))+t_pos+t_I+IF((ABS($B21-R$5))&lt;=0,0,IF((ABS($B21-R$5))&gt;=v_lift^2/a_lift,(ABS($B21-R$5))/v_lift+v_lift/a_lift,2*SQRT((ABS($B21-R$5))/a_lift)))+t_pos+t_I+IF((R$5)&lt;=0,0,IF((R$5)&gt;=v_lift^2/a_lift,(R$5)/v_lift+v_lift/a_lift,2*SQRT((R$5)/a_lift)))+t_pos+t_ch)</f>
        <v>0</v>
      </c>
      <c r="S21" s="20" t="n">
        <f aca="false">$C21*S$6*(t_ch+IF(($B21)&lt;=0,0,IF(($B21)&gt;=v_lift^2/a_lift,($B21)/v_lift+v_lift/a_lift,2*SQRT(($B21)/a_lift)))+t_pos+t_I+IF((ABS($B21-S$5))&lt;=0,0,IF((ABS($B21-S$5))&gt;=v_lift^2/a_lift,(ABS($B21-S$5))/v_lift+v_lift/a_lift,2*SQRT((ABS($B21-S$5))/a_lift)))+t_pos+t_I+IF((S$5)&lt;=0,0,IF((S$5)&gt;=v_lift^2/a_lift,(S$5)/v_lift+v_lift/a_lift,2*SQRT((S$5)/a_lift)))+t_pos+t_ch)</f>
        <v>0</v>
      </c>
      <c r="T21" s="20" t="n">
        <f aca="false">$C21*T$6*(t_ch+IF(($B21)&lt;=0,0,IF(($B21)&gt;=v_lift^2/a_lift,($B21)/v_lift+v_lift/a_lift,2*SQRT(($B21)/a_lift)))+t_pos+t_I+IF((ABS($B21-T$5))&lt;=0,0,IF((ABS($B21-T$5))&gt;=v_lift^2/a_lift,(ABS($B21-T$5))/v_lift+v_lift/a_lift,2*SQRT((ABS($B21-T$5))/a_lift)))+t_pos+t_I+IF((T$5)&lt;=0,0,IF((T$5)&gt;=v_lift^2/a_lift,(T$5)/v_lift+v_lift/a_lift,2*SQRT((T$5)/a_lift)))+t_pos+t_ch)</f>
        <v>0</v>
      </c>
      <c r="U21" s="20" t="n">
        <f aca="false">$C21*U$6*(t_ch+IF(($B21)&lt;=0,0,IF(($B21)&gt;=v_lift^2/a_lift,($B21)/v_lift+v_lift/a_lift,2*SQRT(($B21)/a_lift)))+t_pos+t_I+IF((ABS($B21-U$5))&lt;=0,0,IF((ABS($B21-U$5))&gt;=v_lift^2/a_lift,(ABS($B21-U$5))/v_lift+v_lift/a_lift,2*SQRT((ABS($B21-U$5))/a_lift)))+t_pos+t_I+IF((U$5)&lt;=0,0,IF((U$5)&gt;=v_lift^2/a_lift,(U$5)/v_lift+v_lift/a_lift,2*SQRT((U$5)/a_lift)))+t_pos+t_ch)</f>
        <v>0</v>
      </c>
      <c r="V21" s="20" t="n">
        <f aca="false">$C21*V$6*(t_ch+IF(($B21)&lt;=0,0,IF(($B21)&gt;=v_lift^2/a_lift,($B21)/v_lift+v_lift/a_lift,2*SQRT(($B21)/a_lift)))+t_pos+t_I+IF((ABS($B21-V$5))&lt;=0,0,IF((ABS($B21-V$5))&gt;=v_lift^2/a_lift,(ABS($B21-V$5))/v_lift+v_lift/a_lift,2*SQRT((ABS($B21-V$5))/a_lift)))+t_pos+t_I+IF((V$5)&lt;=0,0,IF((V$5)&gt;=v_lift^2/a_lift,(V$5)/v_lift+v_lift/a_lift,2*SQRT((V$5)/a_lift)))+t_pos+t_ch)</f>
        <v>0</v>
      </c>
      <c r="W21" s="20" t="n">
        <f aca="false">$C21*W$6*(t_ch+IF(($B21)&lt;=0,0,IF(($B21)&gt;=v_lift^2/a_lift,($B21)/v_lift+v_lift/a_lift,2*SQRT(($B21)/a_lift)))+t_pos+t_I+IF((ABS($B21-W$5))&lt;=0,0,IF((ABS($B21-W$5))&gt;=v_lift^2/a_lift,(ABS($B21-W$5))/v_lift+v_lift/a_lift,2*SQRT((ABS($B21-W$5))/a_lift)))+t_pos+t_I+IF((W$5)&lt;=0,0,IF((W$5)&gt;=v_lift^2/a_lift,(W$5)/v_lift+v_lift/a_lift,2*SQRT((W$5)/a_lift)))+t_pos+t_ch)</f>
        <v>0</v>
      </c>
    </row>
    <row r="22" customFormat="false" ht="15" hidden="false" customHeight="false" outlineLevel="0" collapsed="false">
      <c r="A22" s="7" t="n">
        <v>15</v>
      </c>
      <c r="B22" s="18" t="n">
        <f aca="false">Tiers!C18</f>
        <v>0</v>
      </c>
      <c r="C22" s="19" t="n">
        <f aca="false">Tiers!I18</f>
        <v>0</v>
      </c>
      <c r="D22" s="20" t="n">
        <f aca="false">$C22*D$6*(t_ch+IF(($B22)&lt;=0,0,IF(($B22)&gt;=v_lift^2/a_lift,($B22)/v_lift+v_lift/a_lift,2*SQRT(($B22)/a_lift)))+t_pos+t_I+IF((ABS($B22-D$5))&lt;=0,0,IF((ABS($B22-D$5))&gt;=v_lift^2/a_lift,(ABS($B22-D$5))/v_lift+v_lift/a_lift,2*SQRT((ABS($B22-D$5))/a_lift)))+t_pos+t_I+IF((D$5)&lt;=0,0,IF((D$5)&gt;=v_lift^2/a_lift,(D$5)/v_lift+v_lift/a_lift,2*SQRT((D$5)/a_lift)))+t_pos+t_ch)</f>
        <v>0</v>
      </c>
      <c r="E22" s="20" t="n">
        <f aca="false">$C22*E$6*(t_ch+IF(($B22)&lt;=0,0,IF(($B22)&gt;=v_lift^2/a_lift,($B22)/v_lift+v_lift/a_lift,2*SQRT(($B22)/a_lift)))+t_pos+t_I+IF((ABS($B22-E$5))&lt;=0,0,IF((ABS($B22-E$5))&gt;=v_lift^2/a_lift,(ABS($B22-E$5))/v_lift+v_lift/a_lift,2*SQRT((ABS($B22-E$5))/a_lift)))+t_pos+t_I+IF((E$5)&lt;=0,0,IF((E$5)&gt;=v_lift^2/a_lift,(E$5)/v_lift+v_lift/a_lift,2*SQRT((E$5)/a_lift)))+t_pos+t_ch)</f>
        <v>0</v>
      </c>
      <c r="F22" s="20" t="n">
        <f aca="false">$C22*F$6*(t_ch+IF(($B22)&lt;=0,0,IF(($B22)&gt;=v_lift^2/a_lift,($B22)/v_lift+v_lift/a_lift,2*SQRT(($B22)/a_lift)))+t_pos+t_I+IF((ABS($B22-F$5))&lt;=0,0,IF((ABS($B22-F$5))&gt;=v_lift^2/a_lift,(ABS($B22-F$5))/v_lift+v_lift/a_lift,2*SQRT((ABS($B22-F$5))/a_lift)))+t_pos+t_I+IF((F$5)&lt;=0,0,IF((F$5)&gt;=v_lift^2/a_lift,(F$5)/v_lift+v_lift/a_lift,2*SQRT((F$5)/a_lift)))+t_pos+t_ch)</f>
        <v>0</v>
      </c>
      <c r="G22" s="20" t="n">
        <f aca="false">$C22*G$6*(t_ch+IF(($B22)&lt;=0,0,IF(($B22)&gt;=v_lift^2/a_lift,($B22)/v_lift+v_lift/a_lift,2*SQRT(($B22)/a_lift)))+t_pos+t_I+IF((ABS($B22-G$5))&lt;=0,0,IF((ABS($B22-G$5))&gt;=v_lift^2/a_lift,(ABS($B22-G$5))/v_lift+v_lift/a_lift,2*SQRT((ABS($B22-G$5))/a_lift)))+t_pos+t_I+IF((G$5)&lt;=0,0,IF((G$5)&gt;=v_lift^2/a_lift,(G$5)/v_lift+v_lift/a_lift,2*SQRT((G$5)/a_lift)))+t_pos+t_ch)</f>
        <v>0</v>
      </c>
      <c r="H22" s="20" t="n">
        <f aca="false">$C22*H$6*(t_ch+IF(($B22)&lt;=0,0,IF(($B22)&gt;=v_lift^2/a_lift,($B22)/v_lift+v_lift/a_lift,2*SQRT(($B22)/a_lift)))+t_pos+t_I+IF((ABS($B22-H$5))&lt;=0,0,IF((ABS($B22-H$5))&gt;=v_lift^2/a_lift,(ABS($B22-H$5))/v_lift+v_lift/a_lift,2*SQRT((ABS($B22-H$5))/a_lift)))+t_pos+t_I+IF((H$5)&lt;=0,0,IF((H$5)&gt;=v_lift^2/a_lift,(H$5)/v_lift+v_lift/a_lift,2*SQRT((H$5)/a_lift)))+t_pos+t_ch)</f>
        <v>0</v>
      </c>
      <c r="I22" s="20" t="n">
        <f aca="false">$C22*I$6*(t_ch+IF(($B22)&lt;=0,0,IF(($B22)&gt;=v_lift^2/a_lift,($B22)/v_lift+v_lift/a_lift,2*SQRT(($B22)/a_lift)))+t_pos+t_I+IF((ABS($B22-I$5))&lt;=0,0,IF((ABS($B22-I$5))&gt;=v_lift^2/a_lift,(ABS($B22-I$5))/v_lift+v_lift/a_lift,2*SQRT((ABS($B22-I$5))/a_lift)))+t_pos+t_I+IF((I$5)&lt;=0,0,IF((I$5)&gt;=v_lift^2/a_lift,(I$5)/v_lift+v_lift/a_lift,2*SQRT((I$5)/a_lift)))+t_pos+t_ch)</f>
        <v>0</v>
      </c>
      <c r="J22" s="20" t="n">
        <f aca="false">$C22*J$6*(t_ch+IF(($B22)&lt;=0,0,IF(($B22)&gt;=v_lift^2/a_lift,($B22)/v_lift+v_lift/a_lift,2*SQRT(($B22)/a_lift)))+t_pos+t_I+IF((ABS($B22-J$5))&lt;=0,0,IF((ABS($B22-J$5))&gt;=v_lift^2/a_lift,(ABS($B22-J$5))/v_lift+v_lift/a_lift,2*SQRT((ABS($B22-J$5))/a_lift)))+t_pos+t_I+IF((J$5)&lt;=0,0,IF((J$5)&gt;=v_lift^2/a_lift,(J$5)/v_lift+v_lift/a_lift,2*SQRT((J$5)/a_lift)))+t_pos+t_ch)</f>
        <v>0</v>
      </c>
      <c r="K22" s="20" t="n">
        <f aca="false">$C22*K$6*(t_ch+IF(($B22)&lt;=0,0,IF(($B22)&gt;=v_lift^2/a_lift,($B22)/v_lift+v_lift/a_lift,2*SQRT(($B22)/a_lift)))+t_pos+t_I+IF((ABS($B22-K$5))&lt;=0,0,IF((ABS($B22-K$5))&gt;=v_lift^2/a_lift,(ABS($B22-K$5))/v_lift+v_lift/a_lift,2*SQRT((ABS($B22-K$5))/a_lift)))+t_pos+t_I+IF((K$5)&lt;=0,0,IF((K$5)&gt;=v_lift^2/a_lift,(K$5)/v_lift+v_lift/a_lift,2*SQRT((K$5)/a_lift)))+t_pos+t_ch)</f>
        <v>0</v>
      </c>
      <c r="L22" s="20" t="n">
        <f aca="false">$C22*L$6*(t_ch+IF(($B22)&lt;=0,0,IF(($B22)&gt;=v_lift^2/a_lift,($B22)/v_lift+v_lift/a_lift,2*SQRT(($B22)/a_lift)))+t_pos+t_I+IF((ABS($B22-L$5))&lt;=0,0,IF((ABS($B22-L$5))&gt;=v_lift^2/a_lift,(ABS($B22-L$5))/v_lift+v_lift/a_lift,2*SQRT((ABS($B22-L$5))/a_lift)))+t_pos+t_I+IF((L$5)&lt;=0,0,IF((L$5)&gt;=v_lift^2/a_lift,(L$5)/v_lift+v_lift/a_lift,2*SQRT((L$5)/a_lift)))+t_pos+t_ch)</f>
        <v>0</v>
      </c>
      <c r="M22" s="20" t="n">
        <f aca="false">$C22*M$6*(t_ch+IF(($B22)&lt;=0,0,IF(($B22)&gt;=v_lift^2/a_lift,($B22)/v_lift+v_lift/a_lift,2*SQRT(($B22)/a_lift)))+t_pos+t_I+IF((ABS($B22-M$5))&lt;=0,0,IF((ABS($B22-M$5))&gt;=v_lift^2/a_lift,(ABS($B22-M$5))/v_lift+v_lift/a_lift,2*SQRT((ABS($B22-M$5))/a_lift)))+t_pos+t_I+IF((M$5)&lt;=0,0,IF((M$5)&gt;=v_lift^2/a_lift,(M$5)/v_lift+v_lift/a_lift,2*SQRT((M$5)/a_lift)))+t_pos+t_ch)</f>
        <v>0</v>
      </c>
      <c r="N22" s="20" t="n">
        <f aca="false">$C22*N$6*(t_ch+IF(($B22)&lt;=0,0,IF(($B22)&gt;=v_lift^2/a_lift,($B22)/v_lift+v_lift/a_lift,2*SQRT(($B22)/a_lift)))+t_pos+t_I+IF((ABS($B22-N$5))&lt;=0,0,IF((ABS($B22-N$5))&gt;=v_lift^2/a_lift,(ABS($B22-N$5))/v_lift+v_lift/a_lift,2*SQRT((ABS($B22-N$5))/a_lift)))+t_pos+t_I+IF((N$5)&lt;=0,0,IF((N$5)&gt;=v_lift^2/a_lift,(N$5)/v_lift+v_lift/a_lift,2*SQRT((N$5)/a_lift)))+t_pos+t_ch)</f>
        <v>0</v>
      </c>
      <c r="O22" s="20" t="n">
        <f aca="false">$C22*O$6*(t_ch+IF(($B22)&lt;=0,0,IF(($B22)&gt;=v_lift^2/a_lift,($B22)/v_lift+v_lift/a_lift,2*SQRT(($B22)/a_lift)))+t_pos+t_I+IF((ABS($B22-O$5))&lt;=0,0,IF((ABS($B22-O$5))&gt;=v_lift^2/a_lift,(ABS($B22-O$5))/v_lift+v_lift/a_lift,2*SQRT((ABS($B22-O$5))/a_lift)))+t_pos+t_I+IF((O$5)&lt;=0,0,IF((O$5)&gt;=v_lift^2/a_lift,(O$5)/v_lift+v_lift/a_lift,2*SQRT((O$5)/a_lift)))+t_pos+t_ch)</f>
        <v>0</v>
      </c>
      <c r="P22" s="20" t="n">
        <f aca="false">$C22*P$6*(t_ch+IF(($B22)&lt;=0,0,IF(($B22)&gt;=v_lift^2/a_lift,($B22)/v_lift+v_lift/a_lift,2*SQRT(($B22)/a_lift)))+t_pos+t_I+IF((ABS($B22-P$5))&lt;=0,0,IF((ABS($B22-P$5))&gt;=v_lift^2/a_lift,(ABS($B22-P$5))/v_lift+v_lift/a_lift,2*SQRT((ABS($B22-P$5))/a_lift)))+t_pos+t_I+IF((P$5)&lt;=0,0,IF((P$5)&gt;=v_lift^2/a_lift,(P$5)/v_lift+v_lift/a_lift,2*SQRT((P$5)/a_lift)))+t_pos+t_ch)</f>
        <v>0</v>
      </c>
      <c r="Q22" s="20" t="n">
        <f aca="false">$C22*Q$6*(t_ch+IF(($B22)&lt;=0,0,IF(($B22)&gt;=v_lift^2/a_lift,($B22)/v_lift+v_lift/a_lift,2*SQRT(($B22)/a_lift)))+t_pos+t_I+IF((ABS($B22-Q$5))&lt;=0,0,IF((ABS($B22-Q$5))&gt;=v_lift^2/a_lift,(ABS($B22-Q$5))/v_lift+v_lift/a_lift,2*SQRT((ABS($B22-Q$5))/a_lift)))+t_pos+t_I+IF((Q$5)&lt;=0,0,IF((Q$5)&gt;=v_lift^2/a_lift,(Q$5)/v_lift+v_lift/a_lift,2*SQRT((Q$5)/a_lift)))+t_pos+t_ch)</f>
        <v>0</v>
      </c>
      <c r="R22" s="20" t="n">
        <f aca="false">$C22*R$6*(t_ch+IF(($B22)&lt;=0,0,IF(($B22)&gt;=v_lift^2/a_lift,($B22)/v_lift+v_lift/a_lift,2*SQRT(($B22)/a_lift)))+t_pos+t_I+IF((ABS($B22-R$5))&lt;=0,0,IF((ABS($B22-R$5))&gt;=v_lift^2/a_lift,(ABS($B22-R$5))/v_lift+v_lift/a_lift,2*SQRT((ABS($B22-R$5))/a_lift)))+t_pos+t_I+IF((R$5)&lt;=0,0,IF((R$5)&gt;=v_lift^2/a_lift,(R$5)/v_lift+v_lift/a_lift,2*SQRT((R$5)/a_lift)))+t_pos+t_ch)</f>
        <v>0</v>
      </c>
      <c r="S22" s="20" t="n">
        <f aca="false">$C22*S$6*(t_ch+IF(($B22)&lt;=0,0,IF(($B22)&gt;=v_lift^2/a_lift,($B22)/v_lift+v_lift/a_lift,2*SQRT(($B22)/a_lift)))+t_pos+t_I+IF((ABS($B22-S$5))&lt;=0,0,IF((ABS($B22-S$5))&gt;=v_lift^2/a_lift,(ABS($B22-S$5))/v_lift+v_lift/a_lift,2*SQRT((ABS($B22-S$5))/a_lift)))+t_pos+t_I+IF((S$5)&lt;=0,0,IF((S$5)&gt;=v_lift^2/a_lift,(S$5)/v_lift+v_lift/a_lift,2*SQRT((S$5)/a_lift)))+t_pos+t_ch)</f>
        <v>0</v>
      </c>
      <c r="T22" s="20" t="n">
        <f aca="false">$C22*T$6*(t_ch+IF(($B22)&lt;=0,0,IF(($B22)&gt;=v_lift^2/a_lift,($B22)/v_lift+v_lift/a_lift,2*SQRT(($B22)/a_lift)))+t_pos+t_I+IF((ABS($B22-T$5))&lt;=0,0,IF((ABS($B22-T$5))&gt;=v_lift^2/a_lift,(ABS($B22-T$5))/v_lift+v_lift/a_lift,2*SQRT((ABS($B22-T$5))/a_lift)))+t_pos+t_I+IF((T$5)&lt;=0,0,IF((T$5)&gt;=v_lift^2/a_lift,(T$5)/v_lift+v_lift/a_lift,2*SQRT((T$5)/a_lift)))+t_pos+t_ch)</f>
        <v>0</v>
      </c>
      <c r="U22" s="20" t="n">
        <f aca="false">$C22*U$6*(t_ch+IF(($B22)&lt;=0,0,IF(($B22)&gt;=v_lift^2/a_lift,($B22)/v_lift+v_lift/a_lift,2*SQRT(($B22)/a_lift)))+t_pos+t_I+IF((ABS($B22-U$5))&lt;=0,0,IF((ABS($B22-U$5))&gt;=v_lift^2/a_lift,(ABS($B22-U$5))/v_lift+v_lift/a_lift,2*SQRT((ABS($B22-U$5))/a_lift)))+t_pos+t_I+IF((U$5)&lt;=0,0,IF((U$5)&gt;=v_lift^2/a_lift,(U$5)/v_lift+v_lift/a_lift,2*SQRT((U$5)/a_lift)))+t_pos+t_ch)</f>
        <v>0</v>
      </c>
      <c r="V22" s="20" t="n">
        <f aca="false">$C22*V$6*(t_ch+IF(($B22)&lt;=0,0,IF(($B22)&gt;=v_lift^2/a_lift,($B22)/v_lift+v_lift/a_lift,2*SQRT(($B22)/a_lift)))+t_pos+t_I+IF((ABS($B22-V$5))&lt;=0,0,IF((ABS($B22-V$5))&gt;=v_lift^2/a_lift,(ABS($B22-V$5))/v_lift+v_lift/a_lift,2*SQRT((ABS($B22-V$5))/a_lift)))+t_pos+t_I+IF((V$5)&lt;=0,0,IF((V$5)&gt;=v_lift^2/a_lift,(V$5)/v_lift+v_lift/a_lift,2*SQRT((V$5)/a_lift)))+t_pos+t_ch)</f>
        <v>0</v>
      </c>
      <c r="W22" s="20" t="n">
        <f aca="false">$C22*W$6*(t_ch+IF(($B22)&lt;=0,0,IF(($B22)&gt;=v_lift^2/a_lift,($B22)/v_lift+v_lift/a_lift,2*SQRT(($B22)/a_lift)))+t_pos+t_I+IF((ABS($B22-W$5))&lt;=0,0,IF((ABS($B22-W$5))&gt;=v_lift^2/a_lift,(ABS($B22-W$5))/v_lift+v_lift/a_lift,2*SQRT((ABS($B22-W$5))/a_lift)))+t_pos+t_I+IF((W$5)&lt;=0,0,IF((W$5)&gt;=v_lift^2/a_lift,(W$5)/v_lift+v_lift/a_lift,2*SQRT((W$5)/a_lift)))+t_pos+t_ch)</f>
        <v>0</v>
      </c>
    </row>
    <row r="23" customFormat="false" ht="15" hidden="false" customHeight="false" outlineLevel="0" collapsed="false">
      <c r="A23" s="7" t="n">
        <v>16</v>
      </c>
      <c r="B23" s="18" t="n">
        <f aca="false">Tiers!C19</f>
        <v>0</v>
      </c>
      <c r="C23" s="19" t="n">
        <f aca="false">Tiers!I19</f>
        <v>0</v>
      </c>
      <c r="D23" s="20" t="n">
        <f aca="false">$C23*D$6*(t_ch+IF(($B23)&lt;=0,0,IF(($B23)&gt;=v_lift^2/a_lift,($B23)/v_lift+v_lift/a_lift,2*SQRT(($B23)/a_lift)))+t_pos+t_I+IF((ABS($B23-D$5))&lt;=0,0,IF((ABS($B23-D$5))&gt;=v_lift^2/a_lift,(ABS($B23-D$5))/v_lift+v_lift/a_lift,2*SQRT((ABS($B23-D$5))/a_lift)))+t_pos+t_I+IF((D$5)&lt;=0,0,IF((D$5)&gt;=v_lift^2/a_lift,(D$5)/v_lift+v_lift/a_lift,2*SQRT((D$5)/a_lift)))+t_pos+t_ch)</f>
        <v>0</v>
      </c>
      <c r="E23" s="20" t="n">
        <f aca="false">$C23*E$6*(t_ch+IF(($B23)&lt;=0,0,IF(($B23)&gt;=v_lift^2/a_lift,($B23)/v_lift+v_lift/a_lift,2*SQRT(($B23)/a_lift)))+t_pos+t_I+IF((ABS($B23-E$5))&lt;=0,0,IF((ABS($B23-E$5))&gt;=v_lift^2/a_lift,(ABS($B23-E$5))/v_lift+v_lift/a_lift,2*SQRT((ABS($B23-E$5))/a_lift)))+t_pos+t_I+IF((E$5)&lt;=0,0,IF((E$5)&gt;=v_lift^2/a_lift,(E$5)/v_lift+v_lift/a_lift,2*SQRT((E$5)/a_lift)))+t_pos+t_ch)</f>
        <v>0</v>
      </c>
      <c r="F23" s="20" t="n">
        <f aca="false">$C23*F$6*(t_ch+IF(($B23)&lt;=0,0,IF(($B23)&gt;=v_lift^2/a_lift,($B23)/v_lift+v_lift/a_lift,2*SQRT(($B23)/a_lift)))+t_pos+t_I+IF((ABS($B23-F$5))&lt;=0,0,IF((ABS($B23-F$5))&gt;=v_lift^2/a_lift,(ABS($B23-F$5))/v_lift+v_lift/a_lift,2*SQRT((ABS($B23-F$5))/a_lift)))+t_pos+t_I+IF((F$5)&lt;=0,0,IF((F$5)&gt;=v_lift^2/a_lift,(F$5)/v_lift+v_lift/a_lift,2*SQRT((F$5)/a_lift)))+t_pos+t_ch)</f>
        <v>0</v>
      </c>
      <c r="G23" s="20" t="n">
        <f aca="false">$C23*G$6*(t_ch+IF(($B23)&lt;=0,0,IF(($B23)&gt;=v_lift^2/a_lift,($B23)/v_lift+v_lift/a_lift,2*SQRT(($B23)/a_lift)))+t_pos+t_I+IF((ABS($B23-G$5))&lt;=0,0,IF((ABS($B23-G$5))&gt;=v_lift^2/a_lift,(ABS($B23-G$5))/v_lift+v_lift/a_lift,2*SQRT((ABS($B23-G$5))/a_lift)))+t_pos+t_I+IF((G$5)&lt;=0,0,IF((G$5)&gt;=v_lift^2/a_lift,(G$5)/v_lift+v_lift/a_lift,2*SQRT((G$5)/a_lift)))+t_pos+t_ch)</f>
        <v>0</v>
      </c>
      <c r="H23" s="20" t="n">
        <f aca="false">$C23*H$6*(t_ch+IF(($B23)&lt;=0,0,IF(($B23)&gt;=v_lift^2/a_lift,($B23)/v_lift+v_lift/a_lift,2*SQRT(($B23)/a_lift)))+t_pos+t_I+IF((ABS($B23-H$5))&lt;=0,0,IF((ABS($B23-H$5))&gt;=v_lift^2/a_lift,(ABS($B23-H$5))/v_lift+v_lift/a_lift,2*SQRT((ABS($B23-H$5))/a_lift)))+t_pos+t_I+IF((H$5)&lt;=0,0,IF((H$5)&gt;=v_lift^2/a_lift,(H$5)/v_lift+v_lift/a_lift,2*SQRT((H$5)/a_lift)))+t_pos+t_ch)</f>
        <v>0</v>
      </c>
      <c r="I23" s="20" t="n">
        <f aca="false">$C23*I$6*(t_ch+IF(($B23)&lt;=0,0,IF(($B23)&gt;=v_lift^2/a_lift,($B23)/v_lift+v_lift/a_lift,2*SQRT(($B23)/a_lift)))+t_pos+t_I+IF((ABS($B23-I$5))&lt;=0,0,IF((ABS($B23-I$5))&gt;=v_lift^2/a_lift,(ABS($B23-I$5))/v_lift+v_lift/a_lift,2*SQRT((ABS($B23-I$5))/a_lift)))+t_pos+t_I+IF((I$5)&lt;=0,0,IF((I$5)&gt;=v_lift^2/a_lift,(I$5)/v_lift+v_lift/a_lift,2*SQRT((I$5)/a_lift)))+t_pos+t_ch)</f>
        <v>0</v>
      </c>
      <c r="J23" s="20" t="n">
        <f aca="false">$C23*J$6*(t_ch+IF(($B23)&lt;=0,0,IF(($B23)&gt;=v_lift^2/a_lift,($B23)/v_lift+v_lift/a_lift,2*SQRT(($B23)/a_lift)))+t_pos+t_I+IF((ABS($B23-J$5))&lt;=0,0,IF((ABS($B23-J$5))&gt;=v_lift^2/a_lift,(ABS($B23-J$5))/v_lift+v_lift/a_lift,2*SQRT((ABS($B23-J$5))/a_lift)))+t_pos+t_I+IF((J$5)&lt;=0,0,IF((J$5)&gt;=v_lift^2/a_lift,(J$5)/v_lift+v_lift/a_lift,2*SQRT((J$5)/a_lift)))+t_pos+t_ch)</f>
        <v>0</v>
      </c>
      <c r="K23" s="20" t="n">
        <f aca="false">$C23*K$6*(t_ch+IF(($B23)&lt;=0,0,IF(($B23)&gt;=v_lift^2/a_lift,($B23)/v_lift+v_lift/a_lift,2*SQRT(($B23)/a_lift)))+t_pos+t_I+IF((ABS($B23-K$5))&lt;=0,0,IF((ABS($B23-K$5))&gt;=v_lift^2/a_lift,(ABS($B23-K$5))/v_lift+v_lift/a_lift,2*SQRT((ABS($B23-K$5))/a_lift)))+t_pos+t_I+IF((K$5)&lt;=0,0,IF((K$5)&gt;=v_lift^2/a_lift,(K$5)/v_lift+v_lift/a_lift,2*SQRT((K$5)/a_lift)))+t_pos+t_ch)</f>
        <v>0</v>
      </c>
      <c r="L23" s="20" t="n">
        <f aca="false">$C23*L$6*(t_ch+IF(($B23)&lt;=0,0,IF(($B23)&gt;=v_lift^2/a_lift,($B23)/v_lift+v_lift/a_lift,2*SQRT(($B23)/a_lift)))+t_pos+t_I+IF((ABS($B23-L$5))&lt;=0,0,IF((ABS($B23-L$5))&gt;=v_lift^2/a_lift,(ABS($B23-L$5))/v_lift+v_lift/a_lift,2*SQRT((ABS($B23-L$5))/a_lift)))+t_pos+t_I+IF((L$5)&lt;=0,0,IF((L$5)&gt;=v_lift^2/a_lift,(L$5)/v_lift+v_lift/a_lift,2*SQRT((L$5)/a_lift)))+t_pos+t_ch)</f>
        <v>0</v>
      </c>
      <c r="M23" s="20" t="n">
        <f aca="false">$C23*M$6*(t_ch+IF(($B23)&lt;=0,0,IF(($B23)&gt;=v_lift^2/a_lift,($B23)/v_lift+v_lift/a_lift,2*SQRT(($B23)/a_lift)))+t_pos+t_I+IF((ABS($B23-M$5))&lt;=0,0,IF((ABS($B23-M$5))&gt;=v_lift^2/a_lift,(ABS($B23-M$5))/v_lift+v_lift/a_lift,2*SQRT((ABS($B23-M$5))/a_lift)))+t_pos+t_I+IF((M$5)&lt;=0,0,IF((M$5)&gt;=v_lift^2/a_lift,(M$5)/v_lift+v_lift/a_lift,2*SQRT((M$5)/a_lift)))+t_pos+t_ch)</f>
        <v>0</v>
      </c>
      <c r="N23" s="20" t="n">
        <f aca="false">$C23*N$6*(t_ch+IF(($B23)&lt;=0,0,IF(($B23)&gt;=v_lift^2/a_lift,($B23)/v_lift+v_lift/a_lift,2*SQRT(($B23)/a_lift)))+t_pos+t_I+IF((ABS($B23-N$5))&lt;=0,0,IF((ABS($B23-N$5))&gt;=v_lift^2/a_lift,(ABS($B23-N$5))/v_lift+v_lift/a_lift,2*SQRT((ABS($B23-N$5))/a_lift)))+t_pos+t_I+IF((N$5)&lt;=0,0,IF((N$5)&gt;=v_lift^2/a_lift,(N$5)/v_lift+v_lift/a_lift,2*SQRT((N$5)/a_lift)))+t_pos+t_ch)</f>
        <v>0</v>
      </c>
      <c r="O23" s="20" t="n">
        <f aca="false">$C23*O$6*(t_ch+IF(($B23)&lt;=0,0,IF(($B23)&gt;=v_lift^2/a_lift,($B23)/v_lift+v_lift/a_lift,2*SQRT(($B23)/a_lift)))+t_pos+t_I+IF((ABS($B23-O$5))&lt;=0,0,IF((ABS($B23-O$5))&gt;=v_lift^2/a_lift,(ABS($B23-O$5))/v_lift+v_lift/a_lift,2*SQRT((ABS($B23-O$5))/a_lift)))+t_pos+t_I+IF((O$5)&lt;=0,0,IF((O$5)&gt;=v_lift^2/a_lift,(O$5)/v_lift+v_lift/a_lift,2*SQRT((O$5)/a_lift)))+t_pos+t_ch)</f>
        <v>0</v>
      </c>
      <c r="P23" s="20" t="n">
        <f aca="false">$C23*P$6*(t_ch+IF(($B23)&lt;=0,0,IF(($B23)&gt;=v_lift^2/a_lift,($B23)/v_lift+v_lift/a_lift,2*SQRT(($B23)/a_lift)))+t_pos+t_I+IF((ABS($B23-P$5))&lt;=0,0,IF((ABS($B23-P$5))&gt;=v_lift^2/a_lift,(ABS($B23-P$5))/v_lift+v_lift/a_lift,2*SQRT((ABS($B23-P$5))/a_lift)))+t_pos+t_I+IF((P$5)&lt;=0,0,IF((P$5)&gt;=v_lift^2/a_lift,(P$5)/v_lift+v_lift/a_lift,2*SQRT((P$5)/a_lift)))+t_pos+t_ch)</f>
        <v>0</v>
      </c>
      <c r="Q23" s="20" t="n">
        <f aca="false">$C23*Q$6*(t_ch+IF(($B23)&lt;=0,0,IF(($B23)&gt;=v_lift^2/a_lift,($B23)/v_lift+v_lift/a_lift,2*SQRT(($B23)/a_lift)))+t_pos+t_I+IF((ABS($B23-Q$5))&lt;=0,0,IF((ABS($B23-Q$5))&gt;=v_lift^2/a_lift,(ABS($B23-Q$5))/v_lift+v_lift/a_lift,2*SQRT((ABS($B23-Q$5))/a_lift)))+t_pos+t_I+IF((Q$5)&lt;=0,0,IF((Q$5)&gt;=v_lift^2/a_lift,(Q$5)/v_lift+v_lift/a_lift,2*SQRT((Q$5)/a_lift)))+t_pos+t_ch)</f>
        <v>0</v>
      </c>
      <c r="R23" s="20" t="n">
        <f aca="false">$C23*R$6*(t_ch+IF(($B23)&lt;=0,0,IF(($B23)&gt;=v_lift^2/a_lift,($B23)/v_lift+v_lift/a_lift,2*SQRT(($B23)/a_lift)))+t_pos+t_I+IF((ABS($B23-R$5))&lt;=0,0,IF((ABS($B23-R$5))&gt;=v_lift^2/a_lift,(ABS($B23-R$5))/v_lift+v_lift/a_lift,2*SQRT((ABS($B23-R$5))/a_lift)))+t_pos+t_I+IF((R$5)&lt;=0,0,IF((R$5)&gt;=v_lift^2/a_lift,(R$5)/v_lift+v_lift/a_lift,2*SQRT((R$5)/a_lift)))+t_pos+t_ch)</f>
        <v>0</v>
      </c>
      <c r="S23" s="20" t="n">
        <f aca="false">$C23*S$6*(t_ch+IF(($B23)&lt;=0,0,IF(($B23)&gt;=v_lift^2/a_lift,($B23)/v_lift+v_lift/a_lift,2*SQRT(($B23)/a_lift)))+t_pos+t_I+IF((ABS($B23-S$5))&lt;=0,0,IF((ABS($B23-S$5))&gt;=v_lift^2/a_lift,(ABS($B23-S$5))/v_lift+v_lift/a_lift,2*SQRT((ABS($B23-S$5))/a_lift)))+t_pos+t_I+IF((S$5)&lt;=0,0,IF((S$5)&gt;=v_lift^2/a_lift,(S$5)/v_lift+v_lift/a_lift,2*SQRT((S$5)/a_lift)))+t_pos+t_ch)</f>
        <v>0</v>
      </c>
      <c r="T23" s="20" t="n">
        <f aca="false">$C23*T$6*(t_ch+IF(($B23)&lt;=0,0,IF(($B23)&gt;=v_lift^2/a_lift,($B23)/v_lift+v_lift/a_lift,2*SQRT(($B23)/a_lift)))+t_pos+t_I+IF((ABS($B23-T$5))&lt;=0,0,IF((ABS($B23-T$5))&gt;=v_lift^2/a_lift,(ABS($B23-T$5))/v_lift+v_lift/a_lift,2*SQRT((ABS($B23-T$5))/a_lift)))+t_pos+t_I+IF((T$5)&lt;=0,0,IF((T$5)&gt;=v_lift^2/a_lift,(T$5)/v_lift+v_lift/a_lift,2*SQRT((T$5)/a_lift)))+t_pos+t_ch)</f>
        <v>0</v>
      </c>
      <c r="U23" s="20" t="n">
        <f aca="false">$C23*U$6*(t_ch+IF(($B23)&lt;=0,0,IF(($B23)&gt;=v_lift^2/a_lift,($B23)/v_lift+v_lift/a_lift,2*SQRT(($B23)/a_lift)))+t_pos+t_I+IF((ABS($B23-U$5))&lt;=0,0,IF((ABS($B23-U$5))&gt;=v_lift^2/a_lift,(ABS($B23-U$5))/v_lift+v_lift/a_lift,2*SQRT((ABS($B23-U$5))/a_lift)))+t_pos+t_I+IF((U$5)&lt;=0,0,IF((U$5)&gt;=v_lift^2/a_lift,(U$5)/v_lift+v_lift/a_lift,2*SQRT((U$5)/a_lift)))+t_pos+t_ch)</f>
        <v>0</v>
      </c>
      <c r="V23" s="20" t="n">
        <f aca="false">$C23*V$6*(t_ch+IF(($B23)&lt;=0,0,IF(($B23)&gt;=v_lift^2/a_lift,($B23)/v_lift+v_lift/a_lift,2*SQRT(($B23)/a_lift)))+t_pos+t_I+IF((ABS($B23-V$5))&lt;=0,0,IF((ABS($B23-V$5))&gt;=v_lift^2/a_lift,(ABS($B23-V$5))/v_lift+v_lift/a_lift,2*SQRT((ABS($B23-V$5))/a_lift)))+t_pos+t_I+IF((V$5)&lt;=0,0,IF((V$5)&gt;=v_lift^2/a_lift,(V$5)/v_lift+v_lift/a_lift,2*SQRT((V$5)/a_lift)))+t_pos+t_ch)</f>
        <v>0</v>
      </c>
      <c r="W23" s="20" t="n">
        <f aca="false">$C23*W$6*(t_ch+IF(($B23)&lt;=0,0,IF(($B23)&gt;=v_lift^2/a_lift,($B23)/v_lift+v_lift/a_lift,2*SQRT(($B23)/a_lift)))+t_pos+t_I+IF((ABS($B23-W$5))&lt;=0,0,IF((ABS($B23-W$5))&gt;=v_lift^2/a_lift,(ABS($B23-W$5))/v_lift+v_lift/a_lift,2*SQRT((ABS($B23-W$5))/a_lift)))+t_pos+t_I+IF((W$5)&lt;=0,0,IF((W$5)&gt;=v_lift^2/a_lift,(W$5)/v_lift+v_lift/a_lift,2*SQRT((W$5)/a_lift)))+t_pos+t_ch)</f>
        <v>0</v>
      </c>
    </row>
    <row r="24" customFormat="false" ht="15" hidden="false" customHeight="false" outlineLevel="0" collapsed="false">
      <c r="A24" s="7" t="n">
        <v>17</v>
      </c>
      <c r="B24" s="18" t="n">
        <f aca="false">Tiers!C20</f>
        <v>0</v>
      </c>
      <c r="C24" s="19" t="n">
        <f aca="false">Tiers!I20</f>
        <v>0</v>
      </c>
      <c r="D24" s="20" t="n">
        <f aca="false">$C24*D$6*(t_ch+IF(($B24)&lt;=0,0,IF(($B24)&gt;=v_lift^2/a_lift,($B24)/v_lift+v_lift/a_lift,2*SQRT(($B24)/a_lift)))+t_pos+t_I+IF((ABS($B24-D$5))&lt;=0,0,IF((ABS($B24-D$5))&gt;=v_lift^2/a_lift,(ABS($B24-D$5))/v_lift+v_lift/a_lift,2*SQRT((ABS($B24-D$5))/a_lift)))+t_pos+t_I+IF((D$5)&lt;=0,0,IF((D$5)&gt;=v_lift^2/a_lift,(D$5)/v_lift+v_lift/a_lift,2*SQRT((D$5)/a_lift)))+t_pos+t_ch)</f>
        <v>0</v>
      </c>
      <c r="E24" s="20" t="n">
        <f aca="false">$C24*E$6*(t_ch+IF(($B24)&lt;=0,0,IF(($B24)&gt;=v_lift^2/a_lift,($B24)/v_lift+v_lift/a_lift,2*SQRT(($B24)/a_lift)))+t_pos+t_I+IF((ABS($B24-E$5))&lt;=0,0,IF((ABS($B24-E$5))&gt;=v_lift^2/a_lift,(ABS($B24-E$5))/v_lift+v_lift/a_lift,2*SQRT((ABS($B24-E$5))/a_lift)))+t_pos+t_I+IF((E$5)&lt;=0,0,IF((E$5)&gt;=v_lift^2/a_lift,(E$5)/v_lift+v_lift/a_lift,2*SQRT((E$5)/a_lift)))+t_pos+t_ch)</f>
        <v>0</v>
      </c>
      <c r="F24" s="20" t="n">
        <f aca="false">$C24*F$6*(t_ch+IF(($B24)&lt;=0,0,IF(($B24)&gt;=v_lift^2/a_lift,($B24)/v_lift+v_lift/a_lift,2*SQRT(($B24)/a_lift)))+t_pos+t_I+IF((ABS($B24-F$5))&lt;=0,0,IF((ABS($B24-F$5))&gt;=v_lift^2/a_lift,(ABS($B24-F$5))/v_lift+v_lift/a_lift,2*SQRT((ABS($B24-F$5))/a_lift)))+t_pos+t_I+IF((F$5)&lt;=0,0,IF((F$5)&gt;=v_lift^2/a_lift,(F$5)/v_lift+v_lift/a_lift,2*SQRT((F$5)/a_lift)))+t_pos+t_ch)</f>
        <v>0</v>
      </c>
      <c r="G24" s="20" t="n">
        <f aca="false">$C24*G$6*(t_ch+IF(($B24)&lt;=0,0,IF(($B24)&gt;=v_lift^2/a_lift,($B24)/v_lift+v_lift/a_lift,2*SQRT(($B24)/a_lift)))+t_pos+t_I+IF((ABS($B24-G$5))&lt;=0,0,IF((ABS($B24-G$5))&gt;=v_lift^2/a_lift,(ABS($B24-G$5))/v_lift+v_lift/a_lift,2*SQRT((ABS($B24-G$5))/a_lift)))+t_pos+t_I+IF((G$5)&lt;=0,0,IF((G$5)&gt;=v_lift^2/a_lift,(G$5)/v_lift+v_lift/a_lift,2*SQRT((G$5)/a_lift)))+t_pos+t_ch)</f>
        <v>0</v>
      </c>
      <c r="H24" s="20" t="n">
        <f aca="false">$C24*H$6*(t_ch+IF(($B24)&lt;=0,0,IF(($B24)&gt;=v_lift^2/a_lift,($B24)/v_lift+v_lift/a_lift,2*SQRT(($B24)/a_lift)))+t_pos+t_I+IF((ABS($B24-H$5))&lt;=0,0,IF((ABS($B24-H$5))&gt;=v_lift^2/a_lift,(ABS($B24-H$5))/v_lift+v_lift/a_lift,2*SQRT((ABS($B24-H$5))/a_lift)))+t_pos+t_I+IF((H$5)&lt;=0,0,IF((H$5)&gt;=v_lift^2/a_lift,(H$5)/v_lift+v_lift/a_lift,2*SQRT((H$5)/a_lift)))+t_pos+t_ch)</f>
        <v>0</v>
      </c>
      <c r="I24" s="20" t="n">
        <f aca="false">$C24*I$6*(t_ch+IF(($B24)&lt;=0,0,IF(($B24)&gt;=v_lift^2/a_lift,($B24)/v_lift+v_lift/a_lift,2*SQRT(($B24)/a_lift)))+t_pos+t_I+IF((ABS($B24-I$5))&lt;=0,0,IF((ABS($B24-I$5))&gt;=v_lift^2/a_lift,(ABS($B24-I$5))/v_lift+v_lift/a_lift,2*SQRT((ABS($B24-I$5))/a_lift)))+t_pos+t_I+IF((I$5)&lt;=0,0,IF((I$5)&gt;=v_lift^2/a_lift,(I$5)/v_lift+v_lift/a_lift,2*SQRT((I$5)/a_lift)))+t_pos+t_ch)</f>
        <v>0</v>
      </c>
      <c r="J24" s="20" t="n">
        <f aca="false">$C24*J$6*(t_ch+IF(($B24)&lt;=0,0,IF(($B24)&gt;=v_lift^2/a_lift,($B24)/v_lift+v_lift/a_lift,2*SQRT(($B24)/a_lift)))+t_pos+t_I+IF((ABS($B24-J$5))&lt;=0,0,IF((ABS($B24-J$5))&gt;=v_lift^2/a_lift,(ABS($B24-J$5))/v_lift+v_lift/a_lift,2*SQRT((ABS($B24-J$5))/a_lift)))+t_pos+t_I+IF((J$5)&lt;=0,0,IF((J$5)&gt;=v_lift^2/a_lift,(J$5)/v_lift+v_lift/a_lift,2*SQRT((J$5)/a_lift)))+t_pos+t_ch)</f>
        <v>0</v>
      </c>
      <c r="K24" s="20" t="n">
        <f aca="false">$C24*K$6*(t_ch+IF(($B24)&lt;=0,0,IF(($B24)&gt;=v_lift^2/a_lift,($B24)/v_lift+v_lift/a_lift,2*SQRT(($B24)/a_lift)))+t_pos+t_I+IF((ABS($B24-K$5))&lt;=0,0,IF((ABS($B24-K$5))&gt;=v_lift^2/a_lift,(ABS($B24-K$5))/v_lift+v_lift/a_lift,2*SQRT((ABS($B24-K$5))/a_lift)))+t_pos+t_I+IF((K$5)&lt;=0,0,IF((K$5)&gt;=v_lift^2/a_lift,(K$5)/v_lift+v_lift/a_lift,2*SQRT((K$5)/a_lift)))+t_pos+t_ch)</f>
        <v>0</v>
      </c>
      <c r="L24" s="20" t="n">
        <f aca="false">$C24*L$6*(t_ch+IF(($B24)&lt;=0,0,IF(($B24)&gt;=v_lift^2/a_lift,($B24)/v_lift+v_lift/a_lift,2*SQRT(($B24)/a_lift)))+t_pos+t_I+IF((ABS($B24-L$5))&lt;=0,0,IF((ABS($B24-L$5))&gt;=v_lift^2/a_lift,(ABS($B24-L$5))/v_lift+v_lift/a_lift,2*SQRT((ABS($B24-L$5))/a_lift)))+t_pos+t_I+IF((L$5)&lt;=0,0,IF((L$5)&gt;=v_lift^2/a_lift,(L$5)/v_lift+v_lift/a_lift,2*SQRT((L$5)/a_lift)))+t_pos+t_ch)</f>
        <v>0</v>
      </c>
      <c r="M24" s="20" t="n">
        <f aca="false">$C24*M$6*(t_ch+IF(($B24)&lt;=0,0,IF(($B24)&gt;=v_lift^2/a_lift,($B24)/v_lift+v_lift/a_lift,2*SQRT(($B24)/a_lift)))+t_pos+t_I+IF((ABS($B24-M$5))&lt;=0,0,IF((ABS($B24-M$5))&gt;=v_lift^2/a_lift,(ABS($B24-M$5))/v_lift+v_lift/a_lift,2*SQRT((ABS($B24-M$5))/a_lift)))+t_pos+t_I+IF((M$5)&lt;=0,0,IF((M$5)&gt;=v_lift^2/a_lift,(M$5)/v_lift+v_lift/a_lift,2*SQRT((M$5)/a_lift)))+t_pos+t_ch)</f>
        <v>0</v>
      </c>
      <c r="N24" s="20" t="n">
        <f aca="false">$C24*N$6*(t_ch+IF(($B24)&lt;=0,0,IF(($B24)&gt;=v_lift^2/a_lift,($B24)/v_lift+v_lift/a_lift,2*SQRT(($B24)/a_lift)))+t_pos+t_I+IF((ABS($B24-N$5))&lt;=0,0,IF((ABS($B24-N$5))&gt;=v_lift^2/a_lift,(ABS($B24-N$5))/v_lift+v_lift/a_lift,2*SQRT((ABS($B24-N$5))/a_lift)))+t_pos+t_I+IF((N$5)&lt;=0,0,IF((N$5)&gt;=v_lift^2/a_lift,(N$5)/v_lift+v_lift/a_lift,2*SQRT((N$5)/a_lift)))+t_pos+t_ch)</f>
        <v>0</v>
      </c>
      <c r="O24" s="20" t="n">
        <f aca="false">$C24*O$6*(t_ch+IF(($B24)&lt;=0,0,IF(($B24)&gt;=v_lift^2/a_lift,($B24)/v_lift+v_lift/a_lift,2*SQRT(($B24)/a_lift)))+t_pos+t_I+IF((ABS($B24-O$5))&lt;=0,0,IF((ABS($B24-O$5))&gt;=v_lift^2/a_lift,(ABS($B24-O$5))/v_lift+v_lift/a_lift,2*SQRT((ABS($B24-O$5))/a_lift)))+t_pos+t_I+IF((O$5)&lt;=0,0,IF((O$5)&gt;=v_lift^2/a_lift,(O$5)/v_lift+v_lift/a_lift,2*SQRT((O$5)/a_lift)))+t_pos+t_ch)</f>
        <v>0</v>
      </c>
      <c r="P24" s="20" t="n">
        <f aca="false">$C24*P$6*(t_ch+IF(($B24)&lt;=0,0,IF(($B24)&gt;=v_lift^2/a_lift,($B24)/v_lift+v_lift/a_lift,2*SQRT(($B24)/a_lift)))+t_pos+t_I+IF((ABS($B24-P$5))&lt;=0,0,IF((ABS($B24-P$5))&gt;=v_lift^2/a_lift,(ABS($B24-P$5))/v_lift+v_lift/a_lift,2*SQRT((ABS($B24-P$5))/a_lift)))+t_pos+t_I+IF((P$5)&lt;=0,0,IF((P$5)&gt;=v_lift^2/a_lift,(P$5)/v_lift+v_lift/a_lift,2*SQRT((P$5)/a_lift)))+t_pos+t_ch)</f>
        <v>0</v>
      </c>
      <c r="Q24" s="20" t="n">
        <f aca="false">$C24*Q$6*(t_ch+IF(($B24)&lt;=0,0,IF(($B24)&gt;=v_lift^2/a_lift,($B24)/v_lift+v_lift/a_lift,2*SQRT(($B24)/a_lift)))+t_pos+t_I+IF((ABS($B24-Q$5))&lt;=0,0,IF((ABS($B24-Q$5))&gt;=v_lift^2/a_lift,(ABS($B24-Q$5))/v_lift+v_lift/a_lift,2*SQRT((ABS($B24-Q$5))/a_lift)))+t_pos+t_I+IF((Q$5)&lt;=0,0,IF((Q$5)&gt;=v_lift^2/a_lift,(Q$5)/v_lift+v_lift/a_lift,2*SQRT((Q$5)/a_lift)))+t_pos+t_ch)</f>
        <v>0</v>
      </c>
      <c r="R24" s="20" t="n">
        <f aca="false">$C24*R$6*(t_ch+IF(($B24)&lt;=0,0,IF(($B24)&gt;=v_lift^2/a_lift,($B24)/v_lift+v_lift/a_lift,2*SQRT(($B24)/a_lift)))+t_pos+t_I+IF((ABS($B24-R$5))&lt;=0,0,IF((ABS($B24-R$5))&gt;=v_lift^2/a_lift,(ABS($B24-R$5))/v_lift+v_lift/a_lift,2*SQRT((ABS($B24-R$5))/a_lift)))+t_pos+t_I+IF((R$5)&lt;=0,0,IF((R$5)&gt;=v_lift^2/a_lift,(R$5)/v_lift+v_lift/a_lift,2*SQRT((R$5)/a_lift)))+t_pos+t_ch)</f>
        <v>0</v>
      </c>
      <c r="S24" s="20" t="n">
        <f aca="false">$C24*S$6*(t_ch+IF(($B24)&lt;=0,0,IF(($B24)&gt;=v_lift^2/a_lift,($B24)/v_lift+v_lift/a_lift,2*SQRT(($B24)/a_lift)))+t_pos+t_I+IF((ABS($B24-S$5))&lt;=0,0,IF((ABS($B24-S$5))&gt;=v_lift^2/a_lift,(ABS($B24-S$5))/v_lift+v_lift/a_lift,2*SQRT((ABS($B24-S$5))/a_lift)))+t_pos+t_I+IF((S$5)&lt;=0,0,IF((S$5)&gt;=v_lift^2/a_lift,(S$5)/v_lift+v_lift/a_lift,2*SQRT((S$5)/a_lift)))+t_pos+t_ch)</f>
        <v>0</v>
      </c>
      <c r="T24" s="20" t="n">
        <f aca="false">$C24*T$6*(t_ch+IF(($B24)&lt;=0,0,IF(($B24)&gt;=v_lift^2/a_lift,($B24)/v_lift+v_lift/a_lift,2*SQRT(($B24)/a_lift)))+t_pos+t_I+IF((ABS($B24-T$5))&lt;=0,0,IF((ABS($B24-T$5))&gt;=v_lift^2/a_lift,(ABS($B24-T$5))/v_lift+v_lift/a_lift,2*SQRT((ABS($B24-T$5))/a_lift)))+t_pos+t_I+IF((T$5)&lt;=0,0,IF((T$5)&gt;=v_lift^2/a_lift,(T$5)/v_lift+v_lift/a_lift,2*SQRT((T$5)/a_lift)))+t_pos+t_ch)</f>
        <v>0</v>
      </c>
      <c r="U24" s="20" t="n">
        <f aca="false">$C24*U$6*(t_ch+IF(($B24)&lt;=0,0,IF(($B24)&gt;=v_lift^2/a_lift,($B24)/v_lift+v_lift/a_lift,2*SQRT(($B24)/a_lift)))+t_pos+t_I+IF((ABS($B24-U$5))&lt;=0,0,IF((ABS($B24-U$5))&gt;=v_lift^2/a_lift,(ABS($B24-U$5))/v_lift+v_lift/a_lift,2*SQRT((ABS($B24-U$5))/a_lift)))+t_pos+t_I+IF((U$5)&lt;=0,0,IF((U$5)&gt;=v_lift^2/a_lift,(U$5)/v_lift+v_lift/a_lift,2*SQRT((U$5)/a_lift)))+t_pos+t_ch)</f>
        <v>0</v>
      </c>
      <c r="V24" s="20" t="n">
        <f aca="false">$C24*V$6*(t_ch+IF(($B24)&lt;=0,0,IF(($B24)&gt;=v_lift^2/a_lift,($B24)/v_lift+v_lift/a_lift,2*SQRT(($B24)/a_lift)))+t_pos+t_I+IF((ABS($B24-V$5))&lt;=0,0,IF((ABS($B24-V$5))&gt;=v_lift^2/a_lift,(ABS($B24-V$5))/v_lift+v_lift/a_lift,2*SQRT((ABS($B24-V$5))/a_lift)))+t_pos+t_I+IF((V$5)&lt;=0,0,IF((V$5)&gt;=v_lift^2/a_lift,(V$5)/v_lift+v_lift/a_lift,2*SQRT((V$5)/a_lift)))+t_pos+t_ch)</f>
        <v>0</v>
      </c>
      <c r="W24" s="20" t="n">
        <f aca="false">$C24*W$6*(t_ch+IF(($B24)&lt;=0,0,IF(($B24)&gt;=v_lift^2/a_lift,($B24)/v_lift+v_lift/a_lift,2*SQRT(($B24)/a_lift)))+t_pos+t_I+IF((ABS($B24-W$5))&lt;=0,0,IF((ABS($B24-W$5))&gt;=v_lift^2/a_lift,(ABS($B24-W$5))/v_lift+v_lift/a_lift,2*SQRT((ABS($B24-W$5))/a_lift)))+t_pos+t_I+IF((W$5)&lt;=0,0,IF((W$5)&gt;=v_lift^2/a_lift,(W$5)/v_lift+v_lift/a_lift,2*SQRT((W$5)/a_lift)))+t_pos+t_ch)</f>
        <v>0</v>
      </c>
    </row>
    <row r="25" customFormat="false" ht="15" hidden="false" customHeight="false" outlineLevel="0" collapsed="false">
      <c r="A25" s="7" t="n">
        <v>18</v>
      </c>
      <c r="B25" s="18" t="n">
        <f aca="false">Tiers!C21</f>
        <v>0</v>
      </c>
      <c r="C25" s="19" t="n">
        <f aca="false">Tiers!I21</f>
        <v>0</v>
      </c>
      <c r="D25" s="20" t="n">
        <f aca="false">$C25*D$6*(t_ch+IF(($B25)&lt;=0,0,IF(($B25)&gt;=v_lift^2/a_lift,($B25)/v_lift+v_lift/a_lift,2*SQRT(($B25)/a_lift)))+t_pos+t_I+IF((ABS($B25-D$5))&lt;=0,0,IF((ABS($B25-D$5))&gt;=v_lift^2/a_lift,(ABS($B25-D$5))/v_lift+v_lift/a_lift,2*SQRT((ABS($B25-D$5))/a_lift)))+t_pos+t_I+IF((D$5)&lt;=0,0,IF((D$5)&gt;=v_lift^2/a_lift,(D$5)/v_lift+v_lift/a_lift,2*SQRT((D$5)/a_lift)))+t_pos+t_ch)</f>
        <v>0</v>
      </c>
      <c r="E25" s="20" t="n">
        <f aca="false">$C25*E$6*(t_ch+IF(($B25)&lt;=0,0,IF(($B25)&gt;=v_lift^2/a_lift,($B25)/v_lift+v_lift/a_lift,2*SQRT(($B25)/a_lift)))+t_pos+t_I+IF((ABS($B25-E$5))&lt;=0,0,IF((ABS($B25-E$5))&gt;=v_lift^2/a_lift,(ABS($B25-E$5))/v_lift+v_lift/a_lift,2*SQRT((ABS($B25-E$5))/a_lift)))+t_pos+t_I+IF((E$5)&lt;=0,0,IF((E$5)&gt;=v_lift^2/a_lift,(E$5)/v_lift+v_lift/a_lift,2*SQRT((E$5)/a_lift)))+t_pos+t_ch)</f>
        <v>0</v>
      </c>
      <c r="F25" s="20" t="n">
        <f aca="false">$C25*F$6*(t_ch+IF(($B25)&lt;=0,0,IF(($B25)&gt;=v_lift^2/a_lift,($B25)/v_lift+v_lift/a_lift,2*SQRT(($B25)/a_lift)))+t_pos+t_I+IF((ABS($B25-F$5))&lt;=0,0,IF((ABS($B25-F$5))&gt;=v_lift^2/a_lift,(ABS($B25-F$5))/v_lift+v_lift/a_lift,2*SQRT((ABS($B25-F$5))/a_lift)))+t_pos+t_I+IF((F$5)&lt;=0,0,IF((F$5)&gt;=v_lift^2/a_lift,(F$5)/v_lift+v_lift/a_lift,2*SQRT((F$5)/a_lift)))+t_pos+t_ch)</f>
        <v>0</v>
      </c>
      <c r="G25" s="20" t="n">
        <f aca="false">$C25*G$6*(t_ch+IF(($B25)&lt;=0,0,IF(($B25)&gt;=v_lift^2/a_lift,($B25)/v_lift+v_lift/a_lift,2*SQRT(($B25)/a_lift)))+t_pos+t_I+IF((ABS($B25-G$5))&lt;=0,0,IF((ABS($B25-G$5))&gt;=v_lift^2/a_lift,(ABS($B25-G$5))/v_lift+v_lift/a_lift,2*SQRT((ABS($B25-G$5))/a_lift)))+t_pos+t_I+IF((G$5)&lt;=0,0,IF((G$5)&gt;=v_lift^2/a_lift,(G$5)/v_lift+v_lift/a_lift,2*SQRT((G$5)/a_lift)))+t_pos+t_ch)</f>
        <v>0</v>
      </c>
      <c r="H25" s="20" t="n">
        <f aca="false">$C25*H$6*(t_ch+IF(($B25)&lt;=0,0,IF(($B25)&gt;=v_lift^2/a_lift,($B25)/v_lift+v_lift/a_lift,2*SQRT(($B25)/a_lift)))+t_pos+t_I+IF((ABS($B25-H$5))&lt;=0,0,IF((ABS($B25-H$5))&gt;=v_lift^2/a_lift,(ABS($B25-H$5))/v_lift+v_lift/a_lift,2*SQRT((ABS($B25-H$5))/a_lift)))+t_pos+t_I+IF((H$5)&lt;=0,0,IF((H$5)&gt;=v_lift^2/a_lift,(H$5)/v_lift+v_lift/a_lift,2*SQRT((H$5)/a_lift)))+t_pos+t_ch)</f>
        <v>0</v>
      </c>
      <c r="I25" s="20" t="n">
        <f aca="false">$C25*I$6*(t_ch+IF(($B25)&lt;=0,0,IF(($B25)&gt;=v_lift^2/a_lift,($B25)/v_lift+v_lift/a_lift,2*SQRT(($B25)/a_lift)))+t_pos+t_I+IF((ABS($B25-I$5))&lt;=0,0,IF((ABS($B25-I$5))&gt;=v_lift^2/a_lift,(ABS($B25-I$5))/v_lift+v_lift/a_lift,2*SQRT((ABS($B25-I$5))/a_lift)))+t_pos+t_I+IF((I$5)&lt;=0,0,IF((I$5)&gt;=v_lift^2/a_lift,(I$5)/v_lift+v_lift/a_lift,2*SQRT((I$5)/a_lift)))+t_pos+t_ch)</f>
        <v>0</v>
      </c>
      <c r="J25" s="20" t="n">
        <f aca="false">$C25*J$6*(t_ch+IF(($B25)&lt;=0,0,IF(($B25)&gt;=v_lift^2/a_lift,($B25)/v_lift+v_lift/a_lift,2*SQRT(($B25)/a_lift)))+t_pos+t_I+IF((ABS($B25-J$5))&lt;=0,0,IF((ABS($B25-J$5))&gt;=v_lift^2/a_lift,(ABS($B25-J$5))/v_lift+v_lift/a_lift,2*SQRT((ABS($B25-J$5))/a_lift)))+t_pos+t_I+IF((J$5)&lt;=0,0,IF((J$5)&gt;=v_lift^2/a_lift,(J$5)/v_lift+v_lift/a_lift,2*SQRT((J$5)/a_lift)))+t_pos+t_ch)</f>
        <v>0</v>
      </c>
      <c r="K25" s="20" t="n">
        <f aca="false">$C25*K$6*(t_ch+IF(($B25)&lt;=0,0,IF(($B25)&gt;=v_lift^2/a_lift,($B25)/v_lift+v_lift/a_lift,2*SQRT(($B25)/a_lift)))+t_pos+t_I+IF((ABS($B25-K$5))&lt;=0,0,IF((ABS($B25-K$5))&gt;=v_lift^2/a_lift,(ABS($B25-K$5))/v_lift+v_lift/a_lift,2*SQRT((ABS($B25-K$5))/a_lift)))+t_pos+t_I+IF((K$5)&lt;=0,0,IF((K$5)&gt;=v_lift^2/a_lift,(K$5)/v_lift+v_lift/a_lift,2*SQRT((K$5)/a_lift)))+t_pos+t_ch)</f>
        <v>0</v>
      </c>
      <c r="L25" s="20" t="n">
        <f aca="false">$C25*L$6*(t_ch+IF(($B25)&lt;=0,0,IF(($B25)&gt;=v_lift^2/a_lift,($B25)/v_lift+v_lift/a_lift,2*SQRT(($B25)/a_lift)))+t_pos+t_I+IF((ABS($B25-L$5))&lt;=0,0,IF((ABS($B25-L$5))&gt;=v_lift^2/a_lift,(ABS($B25-L$5))/v_lift+v_lift/a_lift,2*SQRT((ABS($B25-L$5))/a_lift)))+t_pos+t_I+IF((L$5)&lt;=0,0,IF((L$5)&gt;=v_lift^2/a_lift,(L$5)/v_lift+v_lift/a_lift,2*SQRT((L$5)/a_lift)))+t_pos+t_ch)</f>
        <v>0</v>
      </c>
      <c r="M25" s="20" t="n">
        <f aca="false">$C25*M$6*(t_ch+IF(($B25)&lt;=0,0,IF(($B25)&gt;=v_lift^2/a_lift,($B25)/v_lift+v_lift/a_lift,2*SQRT(($B25)/a_lift)))+t_pos+t_I+IF((ABS($B25-M$5))&lt;=0,0,IF((ABS($B25-M$5))&gt;=v_lift^2/a_lift,(ABS($B25-M$5))/v_lift+v_lift/a_lift,2*SQRT((ABS($B25-M$5))/a_lift)))+t_pos+t_I+IF((M$5)&lt;=0,0,IF((M$5)&gt;=v_lift^2/a_lift,(M$5)/v_lift+v_lift/a_lift,2*SQRT((M$5)/a_lift)))+t_pos+t_ch)</f>
        <v>0</v>
      </c>
      <c r="N25" s="20" t="n">
        <f aca="false">$C25*N$6*(t_ch+IF(($B25)&lt;=0,0,IF(($B25)&gt;=v_lift^2/a_lift,($B25)/v_lift+v_lift/a_lift,2*SQRT(($B25)/a_lift)))+t_pos+t_I+IF((ABS($B25-N$5))&lt;=0,0,IF((ABS($B25-N$5))&gt;=v_lift^2/a_lift,(ABS($B25-N$5))/v_lift+v_lift/a_lift,2*SQRT((ABS($B25-N$5))/a_lift)))+t_pos+t_I+IF((N$5)&lt;=0,0,IF((N$5)&gt;=v_lift^2/a_lift,(N$5)/v_lift+v_lift/a_lift,2*SQRT((N$5)/a_lift)))+t_pos+t_ch)</f>
        <v>0</v>
      </c>
      <c r="O25" s="20" t="n">
        <f aca="false">$C25*O$6*(t_ch+IF(($B25)&lt;=0,0,IF(($B25)&gt;=v_lift^2/a_lift,($B25)/v_lift+v_lift/a_lift,2*SQRT(($B25)/a_lift)))+t_pos+t_I+IF((ABS($B25-O$5))&lt;=0,0,IF((ABS($B25-O$5))&gt;=v_lift^2/a_lift,(ABS($B25-O$5))/v_lift+v_lift/a_lift,2*SQRT((ABS($B25-O$5))/a_lift)))+t_pos+t_I+IF((O$5)&lt;=0,0,IF((O$5)&gt;=v_lift^2/a_lift,(O$5)/v_lift+v_lift/a_lift,2*SQRT((O$5)/a_lift)))+t_pos+t_ch)</f>
        <v>0</v>
      </c>
      <c r="P25" s="20" t="n">
        <f aca="false">$C25*P$6*(t_ch+IF(($B25)&lt;=0,0,IF(($B25)&gt;=v_lift^2/a_lift,($B25)/v_lift+v_lift/a_lift,2*SQRT(($B25)/a_lift)))+t_pos+t_I+IF((ABS($B25-P$5))&lt;=0,0,IF((ABS($B25-P$5))&gt;=v_lift^2/a_lift,(ABS($B25-P$5))/v_lift+v_lift/a_lift,2*SQRT((ABS($B25-P$5))/a_lift)))+t_pos+t_I+IF((P$5)&lt;=0,0,IF((P$5)&gt;=v_lift^2/a_lift,(P$5)/v_lift+v_lift/a_lift,2*SQRT((P$5)/a_lift)))+t_pos+t_ch)</f>
        <v>0</v>
      </c>
      <c r="Q25" s="20" t="n">
        <f aca="false">$C25*Q$6*(t_ch+IF(($B25)&lt;=0,0,IF(($B25)&gt;=v_lift^2/a_lift,($B25)/v_lift+v_lift/a_lift,2*SQRT(($B25)/a_lift)))+t_pos+t_I+IF((ABS($B25-Q$5))&lt;=0,0,IF((ABS($B25-Q$5))&gt;=v_lift^2/a_lift,(ABS($B25-Q$5))/v_lift+v_lift/a_lift,2*SQRT((ABS($B25-Q$5))/a_lift)))+t_pos+t_I+IF((Q$5)&lt;=0,0,IF((Q$5)&gt;=v_lift^2/a_lift,(Q$5)/v_lift+v_lift/a_lift,2*SQRT((Q$5)/a_lift)))+t_pos+t_ch)</f>
        <v>0</v>
      </c>
      <c r="R25" s="20" t="n">
        <f aca="false">$C25*R$6*(t_ch+IF(($B25)&lt;=0,0,IF(($B25)&gt;=v_lift^2/a_lift,($B25)/v_lift+v_lift/a_lift,2*SQRT(($B25)/a_lift)))+t_pos+t_I+IF((ABS($B25-R$5))&lt;=0,0,IF((ABS($B25-R$5))&gt;=v_lift^2/a_lift,(ABS($B25-R$5))/v_lift+v_lift/a_lift,2*SQRT((ABS($B25-R$5))/a_lift)))+t_pos+t_I+IF((R$5)&lt;=0,0,IF((R$5)&gt;=v_lift^2/a_lift,(R$5)/v_lift+v_lift/a_lift,2*SQRT((R$5)/a_lift)))+t_pos+t_ch)</f>
        <v>0</v>
      </c>
      <c r="S25" s="20" t="n">
        <f aca="false">$C25*S$6*(t_ch+IF(($B25)&lt;=0,0,IF(($B25)&gt;=v_lift^2/a_lift,($B25)/v_lift+v_lift/a_lift,2*SQRT(($B25)/a_lift)))+t_pos+t_I+IF((ABS($B25-S$5))&lt;=0,0,IF((ABS($B25-S$5))&gt;=v_lift^2/a_lift,(ABS($B25-S$5))/v_lift+v_lift/a_lift,2*SQRT((ABS($B25-S$5))/a_lift)))+t_pos+t_I+IF((S$5)&lt;=0,0,IF((S$5)&gt;=v_lift^2/a_lift,(S$5)/v_lift+v_lift/a_lift,2*SQRT((S$5)/a_lift)))+t_pos+t_ch)</f>
        <v>0</v>
      </c>
      <c r="T25" s="20" t="n">
        <f aca="false">$C25*T$6*(t_ch+IF(($B25)&lt;=0,0,IF(($B25)&gt;=v_lift^2/a_lift,($B25)/v_lift+v_lift/a_lift,2*SQRT(($B25)/a_lift)))+t_pos+t_I+IF((ABS($B25-T$5))&lt;=0,0,IF((ABS($B25-T$5))&gt;=v_lift^2/a_lift,(ABS($B25-T$5))/v_lift+v_lift/a_lift,2*SQRT((ABS($B25-T$5))/a_lift)))+t_pos+t_I+IF((T$5)&lt;=0,0,IF((T$5)&gt;=v_lift^2/a_lift,(T$5)/v_lift+v_lift/a_lift,2*SQRT((T$5)/a_lift)))+t_pos+t_ch)</f>
        <v>0</v>
      </c>
      <c r="U25" s="20" t="n">
        <f aca="false">$C25*U$6*(t_ch+IF(($B25)&lt;=0,0,IF(($B25)&gt;=v_lift^2/a_lift,($B25)/v_lift+v_lift/a_lift,2*SQRT(($B25)/a_lift)))+t_pos+t_I+IF((ABS($B25-U$5))&lt;=0,0,IF((ABS($B25-U$5))&gt;=v_lift^2/a_lift,(ABS($B25-U$5))/v_lift+v_lift/a_lift,2*SQRT((ABS($B25-U$5))/a_lift)))+t_pos+t_I+IF((U$5)&lt;=0,0,IF((U$5)&gt;=v_lift^2/a_lift,(U$5)/v_lift+v_lift/a_lift,2*SQRT((U$5)/a_lift)))+t_pos+t_ch)</f>
        <v>0</v>
      </c>
      <c r="V25" s="20" t="n">
        <f aca="false">$C25*V$6*(t_ch+IF(($B25)&lt;=0,0,IF(($B25)&gt;=v_lift^2/a_lift,($B25)/v_lift+v_lift/a_lift,2*SQRT(($B25)/a_lift)))+t_pos+t_I+IF((ABS($B25-V$5))&lt;=0,0,IF((ABS($B25-V$5))&gt;=v_lift^2/a_lift,(ABS($B25-V$5))/v_lift+v_lift/a_lift,2*SQRT((ABS($B25-V$5))/a_lift)))+t_pos+t_I+IF((V$5)&lt;=0,0,IF((V$5)&gt;=v_lift^2/a_lift,(V$5)/v_lift+v_lift/a_lift,2*SQRT((V$5)/a_lift)))+t_pos+t_ch)</f>
        <v>0</v>
      </c>
      <c r="W25" s="20" t="n">
        <f aca="false">$C25*W$6*(t_ch+IF(($B25)&lt;=0,0,IF(($B25)&gt;=v_lift^2/a_lift,($B25)/v_lift+v_lift/a_lift,2*SQRT(($B25)/a_lift)))+t_pos+t_I+IF((ABS($B25-W$5))&lt;=0,0,IF((ABS($B25-W$5))&gt;=v_lift^2/a_lift,(ABS($B25-W$5))/v_lift+v_lift/a_lift,2*SQRT((ABS($B25-W$5))/a_lift)))+t_pos+t_I+IF((W$5)&lt;=0,0,IF((W$5)&gt;=v_lift^2/a_lift,(W$5)/v_lift+v_lift/a_lift,2*SQRT((W$5)/a_lift)))+t_pos+t_ch)</f>
        <v>0</v>
      </c>
    </row>
    <row r="26" customFormat="false" ht="15" hidden="false" customHeight="false" outlineLevel="0" collapsed="false">
      <c r="A26" s="7" t="n">
        <v>19</v>
      </c>
      <c r="B26" s="18" t="n">
        <f aca="false">Tiers!C22</f>
        <v>0</v>
      </c>
      <c r="C26" s="19" t="n">
        <f aca="false">Tiers!I22</f>
        <v>0</v>
      </c>
      <c r="D26" s="20" t="n">
        <f aca="false">$C26*D$6*(t_ch+IF(($B26)&lt;=0,0,IF(($B26)&gt;=v_lift^2/a_lift,($B26)/v_lift+v_lift/a_lift,2*SQRT(($B26)/a_lift)))+t_pos+t_I+IF((ABS($B26-D$5))&lt;=0,0,IF((ABS($B26-D$5))&gt;=v_lift^2/a_lift,(ABS($B26-D$5))/v_lift+v_lift/a_lift,2*SQRT((ABS($B26-D$5))/a_lift)))+t_pos+t_I+IF((D$5)&lt;=0,0,IF((D$5)&gt;=v_lift^2/a_lift,(D$5)/v_lift+v_lift/a_lift,2*SQRT((D$5)/a_lift)))+t_pos+t_ch)</f>
        <v>0</v>
      </c>
      <c r="E26" s="20" t="n">
        <f aca="false">$C26*E$6*(t_ch+IF(($B26)&lt;=0,0,IF(($B26)&gt;=v_lift^2/a_lift,($B26)/v_lift+v_lift/a_lift,2*SQRT(($B26)/a_lift)))+t_pos+t_I+IF((ABS($B26-E$5))&lt;=0,0,IF((ABS($B26-E$5))&gt;=v_lift^2/a_lift,(ABS($B26-E$5))/v_lift+v_lift/a_lift,2*SQRT((ABS($B26-E$5))/a_lift)))+t_pos+t_I+IF((E$5)&lt;=0,0,IF((E$5)&gt;=v_lift^2/a_lift,(E$5)/v_lift+v_lift/a_lift,2*SQRT((E$5)/a_lift)))+t_pos+t_ch)</f>
        <v>0</v>
      </c>
      <c r="F26" s="20" t="n">
        <f aca="false">$C26*F$6*(t_ch+IF(($B26)&lt;=0,0,IF(($B26)&gt;=v_lift^2/a_lift,($B26)/v_lift+v_lift/a_lift,2*SQRT(($B26)/a_lift)))+t_pos+t_I+IF((ABS($B26-F$5))&lt;=0,0,IF((ABS($B26-F$5))&gt;=v_lift^2/a_lift,(ABS($B26-F$5))/v_lift+v_lift/a_lift,2*SQRT((ABS($B26-F$5))/a_lift)))+t_pos+t_I+IF((F$5)&lt;=0,0,IF((F$5)&gt;=v_lift^2/a_lift,(F$5)/v_lift+v_lift/a_lift,2*SQRT((F$5)/a_lift)))+t_pos+t_ch)</f>
        <v>0</v>
      </c>
      <c r="G26" s="20" t="n">
        <f aca="false">$C26*G$6*(t_ch+IF(($B26)&lt;=0,0,IF(($B26)&gt;=v_lift^2/a_lift,($B26)/v_lift+v_lift/a_lift,2*SQRT(($B26)/a_lift)))+t_pos+t_I+IF((ABS($B26-G$5))&lt;=0,0,IF((ABS($B26-G$5))&gt;=v_lift^2/a_lift,(ABS($B26-G$5))/v_lift+v_lift/a_lift,2*SQRT((ABS($B26-G$5))/a_lift)))+t_pos+t_I+IF((G$5)&lt;=0,0,IF((G$5)&gt;=v_lift^2/a_lift,(G$5)/v_lift+v_lift/a_lift,2*SQRT((G$5)/a_lift)))+t_pos+t_ch)</f>
        <v>0</v>
      </c>
      <c r="H26" s="20" t="n">
        <f aca="false">$C26*H$6*(t_ch+IF(($B26)&lt;=0,0,IF(($B26)&gt;=v_lift^2/a_lift,($B26)/v_lift+v_lift/a_lift,2*SQRT(($B26)/a_lift)))+t_pos+t_I+IF((ABS($B26-H$5))&lt;=0,0,IF((ABS($B26-H$5))&gt;=v_lift^2/a_lift,(ABS($B26-H$5))/v_lift+v_lift/a_lift,2*SQRT((ABS($B26-H$5))/a_lift)))+t_pos+t_I+IF((H$5)&lt;=0,0,IF((H$5)&gt;=v_lift^2/a_lift,(H$5)/v_lift+v_lift/a_lift,2*SQRT((H$5)/a_lift)))+t_pos+t_ch)</f>
        <v>0</v>
      </c>
      <c r="I26" s="20" t="n">
        <f aca="false">$C26*I$6*(t_ch+IF(($B26)&lt;=0,0,IF(($B26)&gt;=v_lift^2/a_lift,($B26)/v_lift+v_lift/a_lift,2*SQRT(($B26)/a_lift)))+t_pos+t_I+IF((ABS($B26-I$5))&lt;=0,0,IF((ABS($B26-I$5))&gt;=v_lift^2/a_lift,(ABS($B26-I$5))/v_lift+v_lift/a_lift,2*SQRT((ABS($B26-I$5))/a_lift)))+t_pos+t_I+IF((I$5)&lt;=0,0,IF((I$5)&gt;=v_lift^2/a_lift,(I$5)/v_lift+v_lift/a_lift,2*SQRT((I$5)/a_lift)))+t_pos+t_ch)</f>
        <v>0</v>
      </c>
      <c r="J26" s="20" t="n">
        <f aca="false">$C26*J$6*(t_ch+IF(($B26)&lt;=0,0,IF(($B26)&gt;=v_lift^2/a_lift,($B26)/v_lift+v_lift/a_lift,2*SQRT(($B26)/a_lift)))+t_pos+t_I+IF((ABS($B26-J$5))&lt;=0,0,IF((ABS($B26-J$5))&gt;=v_lift^2/a_lift,(ABS($B26-J$5))/v_lift+v_lift/a_lift,2*SQRT((ABS($B26-J$5))/a_lift)))+t_pos+t_I+IF((J$5)&lt;=0,0,IF((J$5)&gt;=v_lift^2/a_lift,(J$5)/v_lift+v_lift/a_lift,2*SQRT((J$5)/a_lift)))+t_pos+t_ch)</f>
        <v>0</v>
      </c>
      <c r="K26" s="20" t="n">
        <f aca="false">$C26*K$6*(t_ch+IF(($B26)&lt;=0,0,IF(($B26)&gt;=v_lift^2/a_lift,($B26)/v_lift+v_lift/a_lift,2*SQRT(($B26)/a_lift)))+t_pos+t_I+IF((ABS($B26-K$5))&lt;=0,0,IF((ABS($B26-K$5))&gt;=v_lift^2/a_lift,(ABS($B26-K$5))/v_lift+v_lift/a_lift,2*SQRT((ABS($B26-K$5))/a_lift)))+t_pos+t_I+IF((K$5)&lt;=0,0,IF((K$5)&gt;=v_lift^2/a_lift,(K$5)/v_lift+v_lift/a_lift,2*SQRT((K$5)/a_lift)))+t_pos+t_ch)</f>
        <v>0</v>
      </c>
      <c r="L26" s="20" t="n">
        <f aca="false">$C26*L$6*(t_ch+IF(($B26)&lt;=0,0,IF(($B26)&gt;=v_lift^2/a_lift,($B26)/v_lift+v_lift/a_lift,2*SQRT(($B26)/a_lift)))+t_pos+t_I+IF((ABS($B26-L$5))&lt;=0,0,IF((ABS($B26-L$5))&gt;=v_lift^2/a_lift,(ABS($B26-L$5))/v_lift+v_lift/a_lift,2*SQRT((ABS($B26-L$5))/a_lift)))+t_pos+t_I+IF((L$5)&lt;=0,0,IF((L$5)&gt;=v_lift^2/a_lift,(L$5)/v_lift+v_lift/a_lift,2*SQRT((L$5)/a_lift)))+t_pos+t_ch)</f>
        <v>0</v>
      </c>
      <c r="M26" s="20" t="n">
        <f aca="false">$C26*M$6*(t_ch+IF(($B26)&lt;=0,0,IF(($B26)&gt;=v_lift^2/a_lift,($B26)/v_lift+v_lift/a_lift,2*SQRT(($B26)/a_lift)))+t_pos+t_I+IF((ABS($B26-M$5))&lt;=0,0,IF((ABS($B26-M$5))&gt;=v_lift^2/a_lift,(ABS($B26-M$5))/v_lift+v_lift/a_lift,2*SQRT((ABS($B26-M$5))/a_lift)))+t_pos+t_I+IF((M$5)&lt;=0,0,IF((M$5)&gt;=v_lift^2/a_lift,(M$5)/v_lift+v_lift/a_lift,2*SQRT((M$5)/a_lift)))+t_pos+t_ch)</f>
        <v>0</v>
      </c>
      <c r="N26" s="20" t="n">
        <f aca="false">$C26*N$6*(t_ch+IF(($B26)&lt;=0,0,IF(($B26)&gt;=v_lift^2/a_lift,($B26)/v_lift+v_lift/a_lift,2*SQRT(($B26)/a_lift)))+t_pos+t_I+IF((ABS($B26-N$5))&lt;=0,0,IF((ABS($B26-N$5))&gt;=v_lift^2/a_lift,(ABS($B26-N$5))/v_lift+v_lift/a_lift,2*SQRT((ABS($B26-N$5))/a_lift)))+t_pos+t_I+IF((N$5)&lt;=0,0,IF((N$5)&gt;=v_lift^2/a_lift,(N$5)/v_lift+v_lift/a_lift,2*SQRT((N$5)/a_lift)))+t_pos+t_ch)</f>
        <v>0</v>
      </c>
      <c r="O26" s="20" t="n">
        <f aca="false">$C26*O$6*(t_ch+IF(($B26)&lt;=0,0,IF(($B26)&gt;=v_lift^2/a_lift,($B26)/v_lift+v_lift/a_lift,2*SQRT(($B26)/a_lift)))+t_pos+t_I+IF((ABS($B26-O$5))&lt;=0,0,IF((ABS($B26-O$5))&gt;=v_lift^2/a_lift,(ABS($B26-O$5))/v_lift+v_lift/a_lift,2*SQRT((ABS($B26-O$5))/a_lift)))+t_pos+t_I+IF((O$5)&lt;=0,0,IF((O$5)&gt;=v_lift^2/a_lift,(O$5)/v_lift+v_lift/a_lift,2*SQRT((O$5)/a_lift)))+t_pos+t_ch)</f>
        <v>0</v>
      </c>
      <c r="P26" s="20" t="n">
        <f aca="false">$C26*P$6*(t_ch+IF(($B26)&lt;=0,0,IF(($B26)&gt;=v_lift^2/a_lift,($B26)/v_lift+v_lift/a_lift,2*SQRT(($B26)/a_lift)))+t_pos+t_I+IF((ABS($B26-P$5))&lt;=0,0,IF((ABS($B26-P$5))&gt;=v_lift^2/a_lift,(ABS($B26-P$5))/v_lift+v_lift/a_lift,2*SQRT((ABS($B26-P$5))/a_lift)))+t_pos+t_I+IF((P$5)&lt;=0,0,IF((P$5)&gt;=v_lift^2/a_lift,(P$5)/v_lift+v_lift/a_lift,2*SQRT((P$5)/a_lift)))+t_pos+t_ch)</f>
        <v>0</v>
      </c>
      <c r="Q26" s="20" t="n">
        <f aca="false">$C26*Q$6*(t_ch+IF(($B26)&lt;=0,0,IF(($B26)&gt;=v_lift^2/a_lift,($B26)/v_lift+v_lift/a_lift,2*SQRT(($B26)/a_lift)))+t_pos+t_I+IF((ABS($B26-Q$5))&lt;=0,0,IF((ABS($B26-Q$5))&gt;=v_lift^2/a_lift,(ABS($B26-Q$5))/v_lift+v_lift/a_lift,2*SQRT((ABS($B26-Q$5))/a_lift)))+t_pos+t_I+IF((Q$5)&lt;=0,0,IF((Q$5)&gt;=v_lift^2/a_lift,(Q$5)/v_lift+v_lift/a_lift,2*SQRT((Q$5)/a_lift)))+t_pos+t_ch)</f>
        <v>0</v>
      </c>
      <c r="R26" s="20" t="n">
        <f aca="false">$C26*R$6*(t_ch+IF(($B26)&lt;=0,0,IF(($B26)&gt;=v_lift^2/a_lift,($B26)/v_lift+v_lift/a_lift,2*SQRT(($B26)/a_lift)))+t_pos+t_I+IF((ABS($B26-R$5))&lt;=0,0,IF((ABS($B26-R$5))&gt;=v_lift^2/a_lift,(ABS($B26-R$5))/v_lift+v_lift/a_lift,2*SQRT((ABS($B26-R$5))/a_lift)))+t_pos+t_I+IF((R$5)&lt;=0,0,IF((R$5)&gt;=v_lift^2/a_lift,(R$5)/v_lift+v_lift/a_lift,2*SQRT((R$5)/a_lift)))+t_pos+t_ch)</f>
        <v>0</v>
      </c>
      <c r="S26" s="20" t="n">
        <f aca="false">$C26*S$6*(t_ch+IF(($B26)&lt;=0,0,IF(($B26)&gt;=v_lift^2/a_lift,($B26)/v_lift+v_lift/a_lift,2*SQRT(($B26)/a_lift)))+t_pos+t_I+IF((ABS($B26-S$5))&lt;=0,0,IF((ABS($B26-S$5))&gt;=v_lift^2/a_lift,(ABS($B26-S$5))/v_lift+v_lift/a_lift,2*SQRT((ABS($B26-S$5))/a_lift)))+t_pos+t_I+IF((S$5)&lt;=0,0,IF((S$5)&gt;=v_lift^2/a_lift,(S$5)/v_lift+v_lift/a_lift,2*SQRT((S$5)/a_lift)))+t_pos+t_ch)</f>
        <v>0</v>
      </c>
      <c r="T26" s="20" t="n">
        <f aca="false">$C26*T$6*(t_ch+IF(($B26)&lt;=0,0,IF(($B26)&gt;=v_lift^2/a_lift,($B26)/v_lift+v_lift/a_lift,2*SQRT(($B26)/a_lift)))+t_pos+t_I+IF((ABS($B26-T$5))&lt;=0,0,IF((ABS($B26-T$5))&gt;=v_lift^2/a_lift,(ABS($B26-T$5))/v_lift+v_lift/a_lift,2*SQRT((ABS($B26-T$5))/a_lift)))+t_pos+t_I+IF((T$5)&lt;=0,0,IF((T$5)&gt;=v_lift^2/a_lift,(T$5)/v_lift+v_lift/a_lift,2*SQRT((T$5)/a_lift)))+t_pos+t_ch)</f>
        <v>0</v>
      </c>
      <c r="U26" s="20" t="n">
        <f aca="false">$C26*U$6*(t_ch+IF(($B26)&lt;=0,0,IF(($B26)&gt;=v_lift^2/a_lift,($B26)/v_lift+v_lift/a_lift,2*SQRT(($B26)/a_lift)))+t_pos+t_I+IF((ABS($B26-U$5))&lt;=0,0,IF((ABS($B26-U$5))&gt;=v_lift^2/a_lift,(ABS($B26-U$5))/v_lift+v_lift/a_lift,2*SQRT((ABS($B26-U$5))/a_lift)))+t_pos+t_I+IF((U$5)&lt;=0,0,IF((U$5)&gt;=v_lift^2/a_lift,(U$5)/v_lift+v_lift/a_lift,2*SQRT((U$5)/a_lift)))+t_pos+t_ch)</f>
        <v>0</v>
      </c>
      <c r="V26" s="20" t="n">
        <f aca="false">$C26*V$6*(t_ch+IF(($B26)&lt;=0,0,IF(($B26)&gt;=v_lift^2/a_lift,($B26)/v_lift+v_lift/a_lift,2*SQRT(($B26)/a_lift)))+t_pos+t_I+IF((ABS($B26-V$5))&lt;=0,0,IF((ABS($B26-V$5))&gt;=v_lift^2/a_lift,(ABS($B26-V$5))/v_lift+v_lift/a_lift,2*SQRT((ABS($B26-V$5))/a_lift)))+t_pos+t_I+IF((V$5)&lt;=0,0,IF((V$5)&gt;=v_lift^2/a_lift,(V$5)/v_lift+v_lift/a_lift,2*SQRT((V$5)/a_lift)))+t_pos+t_ch)</f>
        <v>0</v>
      </c>
      <c r="W26" s="20" t="n">
        <f aca="false">$C26*W$6*(t_ch+IF(($B26)&lt;=0,0,IF(($B26)&gt;=v_lift^2/a_lift,($B26)/v_lift+v_lift/a_lift,2*SQRT(($B26)/a_lift)))+t_pos+t_I+IF((ABS($B26-W$5))&lt;=0,0,IF((ABS($B26-W$5))&gt;=v_lift^2/a_lift,(ABS($B26-W$5))/v_lift+v_lift/a_lift,2*SQRT((ABS($B26-W$5))/a_lift)))+t_pos+t_I+IF((W$5)&lt;=0,0,IF((W$5)&gt;=v_lift^2/a_lift,(W$5)/v_lift+v_lift/a_lift,2*SQRT((W$5)/a_lift)))+t_pos+t_ch)</f>
        <v>0</v>
      </c>
    </row>
    <row r="27" customFormat="false" ht="15" hidden="false" customHeight="false" outlineLevel="0" collapsed="false">
      <c r="A27" s="7" t="n">
        <v>20</v>
      </c>
      <c r="B27" s="18" t="n">
        <f aca="false">Tiers!C23</f>
        <v>0</v>
      </c>
      <c r="C27" s="19" t="n">
        <f aca="false">Tiers!I23</f>
        <v>0</v>
      </c>
      <c r="D27" s="20" t="n">
        <f aca="false">$C27*D$6*(t_ch+IF(($B27)&lt;=0,0,IF(($B27)&gt;=v_lift^2/a_lift,($B27)/v_lift+v_lift/a_lift,2*SQRT(($B27)/a_lift)))+t_pos+t_I+IF((ABS($B27-D$5))&lt;=0,0,IF((ABS($B27-D$5))&gt;=v_lift^2/a_lift,(ABS($B27-D$5))/v_lift+v_lift/a_lift,2*SQRT((ABS($B27-D$5))/a_lift)))+t_pos+t_I+IF((D$5)&lt;=0,0,IF((D$5)&gt;=v_lift^2/a_lift,(D$5)/v_lift+v_lift/a_lift,2*SQRT((D$5)/a_lift)))+t_pos+t_ch)</f>
        <v>0</v>
      </c>
      <c r="E27" s="20" t="n">
        <f aca="false">$C27*E$6*(t_ch+IF(($B27)&lt;=0,0,IF(($B27)&gt;=v_lift^2/a_lift,($B27)/v_lift+v_lift/a_lift,2*SQRT(($B27)/a_lift)))+t_pos+t_I+IF((ABS($B27-E$5))&lt;=0,0,IF((ABS($B27-E$5))&gt;=v_lift^2/a_lift,(ABS($B27-E$5))/v_lift+v_lift/a_lift,2*SQRT((ABS($B27-E$5))/a_lift)))+t_pos+t_I+IF((E$5)&lt;=0,0,IF((E$5)&gt;=v_lift^2/a_lift,(E$5)/v_lift+v_lift/a_lift,2*SQRT((E$5)/a_lift)))+t_pos+t_ch)</f>
        <v>0</v>
      </c>
      <c r="F27" s="20" t="n">
        <f aca="false">$C27*F$6*(t_ch+IF(($B27)&lt;=0,0,IF(($B27)&gt;=v_lift^2/a_lift,($B27)/v_lift+v_lift/a_lift,2*SQRT(($B27)/a_lift)))+t_pos+t_I+IF((ABS($B27-F$5))&lt;=0,0,IF((ABS($B27-F$5))&gt;=v_lift^2/a_lift,(ABS($B27-F$5))/v_lift+v_lift/a_lift,2*SQRT((ABS($B27-F$5))/a_lift)))+t_pos+t_I+IF((F$5)&lt;=0,0,IF((F$5)&gt;=v_lift^2/a_lift,(F$5)/v_lift+v_lift/a_lift,2*SQRT((F$5)/a_lift)))+t_pos+t_ch)</f>
        <v>0</v>
      </c>
      <c r="G27" s="20" t="n">
        <f aca="false">$C27*G$6*(t_ch+IF(($B27)&lt;=0,0,IF(($B27)&gt;=v_lift^2/a_lift,($B27)/v_lift+v_lift/a_lift,2*SQRT(($B27)/a_lift)))+t_pos+t_I+IF((ABS($B27-G$5))&lt;=0,0,IF((ABS($B27-G$5))&gt;=v_lift^2/a_lift,(ABS($B27-G$5))/v_lift+v_lift/a_lift,2*SQRT((ABS($B27-G$5))/a_lift)))+t_pos+t_I+IF((G$5)&lt;=0,0,IF((G$5)&gt;=v_lift^2/a_lift,(G$5)/v_lift+v_lift/a_lift,2*SQRT((G$5)/a_lift)))+t_pos+t_ch)</f>
        <v>0</v>
      </c>
      <c r="H27" s="20" t="n">
        <f aca="false">$C27*H$6*(t_ch+IF(($B27)&lt;=0,0,IF(($B27)&gt;=v_lift^2/a_lift,($B27)/v_lift+v_lift/a_lift,2*SQRT(($B27)/a_lift)))+t_pos+t_I+IF((ABS($B27-H$5))&lt;=0,0,IF((ABS($B27-H$5))&gt;=v_lift^2/a_lift,(ABS($B27-H$5))/v_lift+v_lift/a_lift,2*SQRT((ABS($B27-H$5))/a_lift)))+t_pos+t_I+IF((H$5)&lt;=0,0,IF((H$5)&gt;=v_lift^2/a_lift,(H$5)/v_lift+v_lift/a_lift,2*SQRT((H$5)/a_lift)))+t_pos+t_ch)</f>
        <v>0</v>
      </c>
      <c r="I27" s="20" t="n">
        <f aca="false">$C27*I$6*(t_ch+IF(($B27)&lt;=0,0,IF(($B27)&gt;=v_lift^2/a_lift,($B27)/v_lift+v_lift/a_lift,2*SQRT(($B27)/a_lift)))+t_pos+t_I+IF((ABS($B27-I$5))&lt;=0,0,IF((ABS($B27-I$5))&gt;=v_lift^2/a_lift,(ABS($B27-I$5))/v_lift+v_lift/a_lift,2*SQRT((ABS($B27-I$5))/a_lift)))+t_pos+t_I+IF((I$5)&lt;=0,0,IF((I$5)&gt;=v_lift^2/a_lift,(I$5)/v_lift+v_lift/a_lift,2*SQRT((I$5)/a_lift)))+t_pos+t_ch)</f>
        <v>0</v>
      </c>
      <c r="J27" s="20" t="n">
        <f aca="false">$C27*J$6*(t_ch+IF(($B27)&lt;=0,0,IF(($B27)&gt;=v_lift^2/a_lift,($B27)/v_lift+v_lift/a_lift,2*SQRT(($B27)/a_lift)))+t_pos+t_I+IF((ABS($B27-J$5))&lt;=0,0,IF((ABS($B27-J$5))&gt;=v_lift^2/a_lift,(ABS($B27-J$5))/v_lift+v_lift/a_lift,2*SQRT((ABS($B27-J$5))/a_lift)))+t_pos+t_I+IF((J$5)&lt;=0,0,IF((J$5)&gt;=v_lift^2/a_lift,(J$5)/v_lift+v_lift/a_lift,2*SQRT((J$5)/a_lift)))+t_pos+t_ch)</f>
        <v>0</v>
      </c>
      <c r="K27" s="20" t="n">
        <f aca="false">$C27*K$6*(t_ch+IF(($B27)&lt;=0,0,IF(($B27)&gt;=v_lift^2/a_lift,($B27)/v_lift+v_lift/a_lift,2*SQRT(($B27)/a_lift)))+t_pos+t_I+IF((ABS($B27-K$5))&lt;=0,0,IF((ABS($B27-K$5))&gt;=v_lift^2/a_lift,(ABS($B27-K$5))/v_lift+v_lift/a_lift,2*SQRT((ABS($B27-K$5))/a_lift)))+t_pos+t_I+IF((K$5)&lt;=0,0,IF((K$5)&gt;=v_lift^2/a_lift,(K$5)/v_lift+v_lift/a_lift,2*SQRT((K$5)/a_lift)))+t_pos+t_ch)</f>
        <v>0</v>
      </c>
      <c r="L27" s="20" t="n">
        <f aca="false">$C27*L$6*(t_ch+IF(($B27)&lt;=0,0,IF(($B27)&gt;=v_lift^2/a_lift,($B27)/v_lift+v_lift/a_lift,2*SQRT(($B27)/a_lift)))+t_pos+t_I+IF((ABS($B27-L$5))&lt;=0,0,IF((ABS($B27-L$5))&gt;=v_lift^2/a_lift,(ABS($B27-L$5))/v_lift+v_lift/a_lift,2*SQRT((ABS($B27-L$5))/a_lift)))+t_pos+t_I+IF((L$5)&lt;=0,0,IF((L$5)&gt;=v_lift^2/a_lift,(L$5)/v_lift+v_lift/a_lift,2*SQRT((L$5)/a_lift)))+t_pos+t_ch)</f>
        <v>0</v>
      </c>
      <c r="M27" s="20" t="n">
        <f aca="false">$C27*M$6*(t_ch+IF(($B27)&lt;=0,0,IF(($B27)&gt;=v_lift^2/a_lift,($B27)/v_lift+v_lift/a_lift,2*SQRT(($B27)/a_lift)))+t_pos+t_I+IF((ABS($B27-M$5))&lt;=0,0,IF((ABS($B27-M$5))&gt;=v_lift^2/a_lift,(ABS($B27-M$5))/v_lift+v_lift/a_lift,2*SQRT((ABS($B27-M$5))/a_lift)))+t_pos+t_I+IF((M$5)&lt;=0,0,IF((M$5)&gt;=v_lift^2/a_lift,(M$5)/v_lift+v_lift/a_lift,2*SQRT((M$5)/a_lift)))+t_pos+t_ch)</f>
        <v>0</v>
      </c>
      <c r="N27" s="20" t="n">
        <f aca="false">$C27*N$6*(t_ch+IF(($B27)&lt;=0,0,IF(($B27)&gt;=v_lift^2/a_lift,($B27)/v_lift+v_lift/a_lift,2*SQRT(($B27)/a_lift)))+t_pos+t_I+IF((ABS($B27-N$5))&lt;=0,0,IF((ABS($B27-N$5))&gt;=v_lift^2/a_lift,(ABS($B27-N$5))/v_lift+v_lift/a_lift,2*SQRT((ABS($B27-N$5))/a_lift)))+t_pos+t_I+IF((N$5)&lt;=0,0,IF((N$5)&gt;=v_lift^2/a_lift,(N$5)/v_lift+v_lift/a_lift,2*SQRT((N$5)/a_lift)))+t_pos+t_ch)</f>
        <v>0</v>
      </c>
      <c r="O27" s="20" t="n">
        <f aca="false">$C27*O$6*(t_ch+IF(($B27)&lt;=0,0,IF(($B27)&gt;=v_lift^2/a_lift,($B27)/v_lift+v_lift/a_lift,2*SQRT(($B27)/a_lift)))+t_pos+t_I+IF((ABS($B27-O$5))&lt;=0,0,IF((ABS($B27-O$5))&gt;=v_lift^2/a_lift,(ABS($B27-O$5))/v_lift+v_lift/a_lift,2*SQRT((ABS($B27-O$5))/a_lift)))+t_pos+t_I+IF((O$5)&lt;=0,0,IF((O$5)&gt;=v_lift^2/a_lift,(O$5)/v_lift+v_lift/a_lift,2*SQRT((O$5)/a_lift)))+t_pos+t_ch)</f>
        <v>0</v>
      </c>
      <c r="P27" s="20" t="n">
        <f aca="false">$C27*P$6*(t_ch+IF(($B27)&lt;=0,0,IF(($B27)&gt;=v_lift^2/a_lift,($B27)/v_lift+v_lift/a_lift,2*SQRT(($B27)/a_lift)))+t_pos+t_I+IF((ABS($B27-P$5))&lt;=0,0,IF((ABS($B27-P$5))&gt;=v_lift^2/a_lift,(ABS($B27-P$5))/v_lift+v_lift/a_lift,2*SQRT((ABS($B27-P$5))/a_lift)))+t_pos+t_I+IF((P$5)&lt;=0,0,IF((P$5)&gt;=v_lift^2/a_lift,(P$5)/v_lift+v_lift/a_lift,2*SQRT((P$5)/a_lift)))+t_pos+t_ch)</f>
        <v>0</v>
      </c>
      <c r="Q27" s="20" t="n">
        <f aca="false">$C27*Q$6*(t_ch+IF(($B27)&lt;=0,0,IF(($B27)&gt;=v_lift^2/a_lift,($B27)/v_lift+v_lift/a_lift,2*SQRT(($B27)/a_lift)))+t_pos+t_I+IF((ABS($B27-Q$5))&lt;=0,0,IF((ABS($B27-Q$5))&gt;=v_lift^2/a_lift,(ABS($B27-Q$5))/v_lift+v_lift/a_lift,2*SQRT((ABS($B27-Q$5))/a_lift)))+t_pos+t_I+IF((Q$5)&lt;=0,0,IF((Q$5)&gt;=v_lift^2/a_lift,(Q$5)/v_lift+v_lift/a_lift,2*SQRT((Q$5)/a_lift)))+t_pos+t_ch)</f>
        <v>0</v>
      </c>
      <c r="R27" s="20" t="n">
        <f aca="false">$C27*R$6*(t_ch+IF(($B27)&lt;=0,0,IF(($B27)&gt;=v_lift^2/a_lift,($B27)/v_lift+v_lift/a_lift,2*SQRT(($B27)/a_lift)))+t_pos+t_I+IF((ABS($B27-R$5))&lt;=0,0,IF((ABS($B27-R$5))&gt;=v_lift^2/a_lift,(ABS($B27-R$5))/v_lift+v_lift/a_lift,2*SQRT((ABS($B27-R$5))/a_lift)))+t_pos+t_I+IF((R$5)&lt;=0,0,IF((R$5)&gt;=v_lift^2/a_lift,(R$5)/v_lift+v_lift/a_lift,2*SQRT((R$5)/a_lift)))+t_pos+t_ch)</f>
        <v>0</v>
      </c>
      <c r="S27" s="20" t="n">
        <f aca="false">$C27*S$6*(t_ch+IF(($B27)&lt;=0,0,IF(($B27)&gt;=v_lift^2/a_lift,($B27)/v_lift+v_lift/a_lift,2*SQRT(($B27)/a_lift)))+t_pos+t_I+IF((ABS($B27-S$5))&lt;=0,0,IF((ABS($B27-S$5))&gt;=v_lift^2/a_lift,(ABS($B27-S$5))/v_lift+v_lift/a_lift,2*SQRT((ABS($B27-S$5))/a_lift)))+t_pos+t_I+IF((S$5)&lt;=0,0,IF((S$5)&gt;=v_lift^2/a_lift,(S$5)/v_lift+v_lift/a_lift,2*SQRT((S$5)/a_lift)))+t_pos+t_ch)</f>
        <v>0</v>
      </c>
      <c r="T27" s="20" t="n">
        <f aca="false">$C27*T$6*(t_ch+IF(($B27)&lt;=0,0,IF(($B27)&gt;=v_lift^2/a_lift,($B27)/v_lift+v_lift/a_lift,2*SQRT(($B27)/a_lift)))+t_pos+t_I+IF((ABS($B27-T$5))&lt;=0,0,IF((ABS($B27-T$5))&gt;=v_lift^2/a_lift,(ABS($B27-T$5))/v_lift+v_lift/a_lift,2*SQRT((ABS($B27-T$5))/a_lift)))+t_pos+t_I+IF((T$5)&lt;=0,0,IF((T$5)&gt;=v_lift^2/a_lift,(T$5)/v_lift+v_lift/a_lift,2*SQRT((T$5)/a_lift)))+t_pos+t_ch)</f>
        <v>0</v>
      </c>
      <c r="U27" s="20" t="n">
        <f aca="false">$C27*U$6*(t_ch+IF(($B27)&lt;=0,0,IF(($B27)&gt;=v_lift^2/a_lift,($B27)/v_lift+v_lift/a_lift,2*SQRT(($B27)/a_lift)))+t_pos+t_I+IF((ABS($B27-U$5))&lt;=0,0,IF((ABS($B27-U$5))&gt;=v_lift^2/a_lift,(ABS($B27-U$5))/v_lift+v_lift/a_lift,2*SQRT((ABS($B27-U$5))/a_lift)))+t_pos+t_I+IF((U$5)&lt;=0,0,IF((U$5)&gt;=v_lift^2/a_lift,(U$5)/v_lift+v_lift/a_lift,2*SQRT((U$5)/a_lift)))+t_pos+t_ch)</f>
        <v>0</v>
      </c>
      <c r="V27" s="20" t="n">
        <f aca="false">$C27*V$6*(t_ch+IF(($B27)&lt;=0,0,IF(($B27)&gt;=v_lift^2/a_lift,($B27)/v_lift+v_lift/a_lift,2*SQRT(($B27)/a_lift)))+t_pos+t_I+IF((ABS($B27-V$5))&lt;=0,0,IF((ABS($B27-V$5))&gt;=v_lift^2/a_lift,(ABS($B27-V$5))/v_lift+v_lift/a_lift,2*SQRT((ABS($B27-V$5))/a_lift)))+t_pos+t_I+IF((V$5)&lt;=0,0,IF((V$5)&gt;=v_lift^2/a_lift,(V$5)/v_lift+v_lift/a_lift,2*SQRT((V$5)/a_lift)))+t_pos+t_ch)</f>
        <v>0</v>
      </c>
      <c r="W27" s="20" t="n">
        <f aca="false">$C27*W$6*(t_ch+IF(($B27)&lt;=0,0,IF(($B27)&gt;=v_lift^2/a_lift,($B27)/v_lift+v_lift/a_lift,2*SQRT(($B27)/a_lift)))+t_pos+t_I+IF((ABS($B27-W$5))&lt;=0,0,IF((ABS($B27-W$5))&gt;=v_lift^2/a_lift,(ABS($B27-W$5))/v_lift+v_lift/a_lift,2*SQRT((ABS($B27-W$5))/a_lift)))+t_pos+t_I+IF((W$5)&lt;=0,0,IF((W$5)&gt;=v_lift^2/a_lift,(W$5)/v_lift+v_lift/a_lift,2*SQRT((W$5)/a_lift)))+t_pos+t_ch)</f>
        <v>0</v>
      </c>
    </row>
    <row r="28" customFormat="false" ht="15" hidden="false" customHeight="false" outlineLevel="0" collapsed="false">
      <c r="A28" s="11" t="s">
        <v>149</v>
      </c>
      <c r="D28" s="21" t="n">
        <f aca="false">SUM(D8:W27)</f>
        <v>95.1084656084656</v>
      </c>
    </row>
    <row r="31" customFormat="false" ht="15" hidden="false" customHeight="false" outlineLevel="0" collapsed="false">
      <c r="A31" s="11" t="s">
        <v>150</v>
      </c>
    </row>
    <row r="32" customFormat="false" ht="15" hidden="false" customHeight="false" outlineLevel="0" collapsed="false">
      <c r="C32" s="7" t="s">
        <v>143</v>
      </c>
      <c r="D32" s="11" t="n">
        <v>1</v>
      </c>
      <c r="E32" s="11" t="n">
        <v>2</v>
      </c>
      <c r="F32" s="11" t="n">
        <v>3</v>
      </c>
      <c r="G32" s="11" t="n">
        <v>4</v>
      </c>
      <c r="H32" s="11" t="n">
        <v>5</v>
      </c>
      <c r="I32" s="11" t="n">
        <v>6</v>
      </c>
      <c r="J32" s="11" t="n">
        <v>7</v>
      </c>
      <c r="K32" s="11" t="n">
        <v>8</v>
      </c>
      <c r="L32" s="11" t="n">
        <v>9</v>
      </c>
      <c r="M32" s="11" t="n">
        <v>10</v>
      </c>
      <c r="N32" s="11" t="n">
        <v>11</v>
      </c>
      <c r="O32" s="11" t="n">
        <v>12</v>
      </c>
      <c r="P32" s="11" t="n">
        <v>13</v>
      </c>
      <c r="Q32" s="11" t="n">
        <v>14</v>
      </c>
      <c r="R32" s="11" t="n">
        <v>15</v>
      </c>
      <c r="S32" s="11" t="n">
        <v>16</v>
      </c>
      <c r="T32" s="11" t="n">
        <v>17</v>
      </c>
      <c r="U32" s="11" t="n">
        <v>18</v>
      </c>
      <c r="V32" s="11" t="n">
        <v>19</v>
      </c>
      <c r="W32" s="11" t="n">
        <v>20</v>
      </c>
    </row>
    <row r="33" customFormat="false" ht="15" hidden="false" customHeight="false" outlineLevel="0" collapsed="false">
      <c r="C33" s="7" t="s">
        <v>144</v>
      </c>
      <c r="D33" s="18" t="n">
        <f aca="false">Tiers!C4</f>
        <v>0</v>
      </c>
      <c r="E33" s="18" t="n">
        <f aca="false">Tiers!C5</f>
        <v>1.85</v>
      </c>
      <c r="F33" s="18" t="n">
        <f aca="false">Tiers!C6</f>
        <v>3.7</v>
      </c>
      <c r="G33" s="18" t="n">
        <f aca="false">Tiers!C7</f>
        <v>5.55</v>
      </c>
      <c r="H33" s="18" t="n">
        <f aca="false">Tiers!C8</f>
        <v>7.4</v>
      </c>
      <c r="I33" s="18" t="n">
        <f aca="false">Tiers!C9</f>
        <v>9.25</v>
      </c>
      <c r="J33" s="18" t="n">
        <f aca="false">Tiers!C10</f>
        <v>11.1</v>
      </c>
      <c r="K33" s="18" t="n">
        <f aca="false">Tiers!C11</f>
        <v>12.95</v>
      </c>
      <c r="L33" s="18" t="n">
        <f aca="false">Tiers!C12</f>
        <v>14.8</v>
      </c>
      <c r="M33" s="18" t="n">
        <f aca="false">Tiers!C13</f>
        <v>16.65</v>
      </c>
      <c r="N33" s="18" t="n">
        <f aca="false">Tiers!C14</f>
        <v>0</v>
      </c>
      <c r="O33" s="18" t="n">
        <f aca="false">Tiers!C15</f>
        <v>0</v>
      </c>
      <c r="P33" s="18" t="n">
        <f aca="false">Tiers!C16</f>
        <v>0</v>
      </c>
      <c r="Q33" s="18" t="n">
        <f aca="false">Tiers!C17</f>
        <v>0</v>
      </c>
      <c r="R33" s="18" t="n">
        <f aca="false">Tiers!C18</f>
        <v>0</v>
      </c>
      <c r="S33" s="18" t="n">
        <f aca="false">Tiers!C19</f>
        <v>0</v>
      </c>
      <c r="T33" s="18" t="n">
        <f aca="false">Tiers!C20</f>
        <v>0</v>
      </c>
      <c r="U33" s="18" t="n">
        <f aca="false">Tiers!C21</f>
        <v>0</v>
      </c>
      <c r="V33" s="18" t="n">
        <f aca="false">Tiers!C22</f>
        <v>0</v>
      </c>
      <c r="W33" s="18" t="n">
        <f aca="false">Tiers!C23</f>
        <v>0</v>
      </c>
    </row>
    <row r="34" customFormat="false" ht="15" hidden="false" customHeight="false" outlineLevel="0" collapsed="false">
      <c r="C34" s="7" t="s">
        <v>145</v>
      </c>
      <c r="D34" s="19" t="n">
        <f aca="false">Tiers!J4</f>
        <v>0</v>
      </c>
      <c r="E34" s="19" t="n">
        <f aca="false">Tiers!J5</f>
        <v>0.666666666666667</v>
      </c>
      <c r="F34" s="19" t="n">
        <f aca="false">Tiers!J6</f>
        <v>0.0833333333333333</v>
      </c>
      <c r="G34" s="19" t="n">
        <f aca="false">Tiers!J7</f>
        <v>0.0833333333333333</v>
      </c>
      <c r="H34" s="19" t="n">
        <f aca="false">Tiers!J8</f>
        <v>0.0833333333333333</v>
      </c>
      <c r="I34" s="19" t="n">
        <f aca="false">Tiers!J9</f>
        <v>0.0166666666666667</v>
      </c>
      <c r="J34" s="19" t="n">
        <f aca="false">Tiers!J10</f>
        <v>0.0166666666666667</v>
      </c>
      <c r="K34" s="19" t="n">
        <f aca="false">Tiers!J11</f>
        <v>0.0166666666666667</v>
      </c>
      <c r="L34" s="19" t="n">
        <f aca="false">Tiers!J12</f>
        <v>0.0166666666666667</v>
      </c>
      <c r="M34" s="19" t="n">
        <f aca="false">Tiers!J13</f>
        <v>0.0166666666666667</v>
      </c>
      <c r="N34" s="19" t="n">
        <f aca="false">Tiers!J14</f>
        <v>0</v>
      </c>
      <c r="O34" s="19" t="n">
        <f aca="false">Tiers!J15</f>
        <v>0</v>
      </c>
      <c r="P34" s="19" t="n">
        <f aca="false">Tiers!J16</f>
        <v>0</v>
      </c>
      <c r="Q34" s="19" t="n">
        <f aca="false">Tiers!J17</f>
        <v>0</v>
      </c>
      <c r="R34" s="19" t="n">
        <f aca="false">Tiers!J18</f>
        <v>0</v>
      </c>
      <c r="S34" s="19" t="n">
        <f aca="false">Tiers!J19</f>
        <v>0</v>
      </c>
      <c r="T34" s="19" t="n">
        <f aca="false">Tiers!J20</f>
        <v>0</v>
      </c>
      <c r="U34" s="19" t="n">
        <f aca="false">Tiers!J21</f>
        <v>0</v>
      </c>
      <c r="V34" s="19" t="n">
        <f aca="false">Tiers!J22</f>
        <v>0</v>
      </c>
      <c r="W34" s="19" t="n">
        <f aca="false">Tiers!J23</f>
        <v>0</v>
      </c>
    </row>
    <row r="35" customFormat="false" ht="15" hidden="false" customHeight="false" outlineLevel="0" collapsed="false">
      <c r="A35" s="11" t="s">
        <v>146</v>
      </c>
      <c r="B35" s="11" t="s">
        <v>147</v>
      </c>
      <c r="C35" s="11" t="s">
        <v>148</v>
      </c>
    </row>
    <row r="36" customFormat="false" ht="15" hidden="false" customHeight="false" outlineLevel="0" collapsed="false">
      <c r="A36" s="7" t="n">
        <v>1</v>
      </c>
      <c r="B36" s="18" t="n">
        <f aca="false">Tiers!C4</f>
        <v>0</v>
      </c>
      <c r="C36" s="19" t="n">
        <f aca="false">Tiers!J4</f>
        <v>0</v>
      </c>
      <c r="D36" s="20" t="n">
        <f aca="false">$C36*D$34*(t_ch+IF(($B36)&lt;=0,0,IF(($B36)&gt;=v_lift^2/a_lift,($B36)/v_lift+v_lift/a_lift,2*SQRT(($B36)/a_lift)))+t_pos+t_I+IF((ABS($B36-D$33))&lt;=0,0,IF((ABS($B36-D$33))&gt;=v_lift^2/a_lift,(ABS($B36-D$33))/v_lift+v_lift/a_lift,2*SQRT((ABS($B36-D$33))/a_lift)))+t_pos+t_I+IF((D$33)&lt;=0,0,IF((D$33)&gt;=v_lift^2/a_lift,(D$33)/v_lift+v_lift/a_lift,2*SQRT((D$33)/a_lift)))+t_pos+t_ch)</f>
        <v>0</v>
      </c>
      <c r="E36" s="20" t="n">
        <f aca="false">$C36*E$34*(t_ch+IF(($B36)&lt;=0,0,IF(($B36)&gt;=v_lift^2/a_lift,($B36)/v_lift+v_lift/a_lift,2*SQRT(($B36)/a_lift)))+t_pos+t_I+IF((ABS($B36-E$33))&lt;=0,0,IF((ABS($B36-E$33))&gt;=v_lift^2/a_lift,(ABS($B36-E$33))/v_lift+v_lift/a_lift,2*SQRT((ABS($B36-E$33))/a_lift)))+t_pos+t_I+IF((E$33)&lt;=0,0,IF((E$33)&gt;=v_lift^2/a_lift,(E$33)/v_lift+v_lift/a_lift,2*SQRT((E$33)/a_lift)))+t_pos+t_ch)</f>
        <v>0</v>
      </c>
      <c r="F36" s="20" t="n">
        <f aca="false">$C36*F$34*(t_ch+IF(($B36)&lt;=0,0,IF(($B36)&gt;=v_lift^2/a_lift,($B36)/v_lift+v_lift/a_lift,2*SQRT(($B36)/a_lift)))+t_pos+t_I+IF((ABS($B36-F$33))&lt;=0,0,IF((ABS($B36-F$33))&gt;=v_lift^2/a_lift,(ABS($B36-F$33))/v_lift+v_lift/a_lift,2*SQRT((ABS($B36-F$33))/a_lift)))+t_pos+t_I+IF((F$33)&lt;=0,0,IF((F$33)&gt;=v_lift^2/a_lift,(F$33)/v_lift+v_lift/a_lift,2*SQRT((F$33)/a_lift)))+t_pos+t_ch)</f>
        <v>0</v>
      </c>
      <c r="G36" s="20" t="n">
        <f aca="false">$C36*G$34*(t_ch+IF(($B36)&lt;=0,0,IF(($B36)&gt;=v_lift^2/a_lift,($B36)/v_lift+v_lift/a_lift,2*SQRT(($B36)/a_lift)))+t_pos+t_I+IF((ABS($B36-G$33))&lt;=0,0,IF((ABS($B36-G$33))&gt;=v_lift^2/a_lift,(ABS($B36-G$33))/v_lift+v_lift/a_lift,2*SQRT((ABS($B36-G$33))/a_lift)))+t_pos+t_I+IF((G$33)&lt;=0,0,IF((G$33)&gt;=v_lift^2/a_lift,(G$33)/v_lift+v_lift/a_lift,2*SQRT((G$33)/a_lift)))+t_pos+t_ch)</f>
        <v>0</v>
      </c>
      <c r="H36" s="20" t="n">
        <f aca="false">$C36*H$34*(t_ch+IF(($B36)&lt;=0,0,IF(($B36)&gt;=v_lift^2/a_lift,($B36)/v_lift+v_lift/a_lift,2*SQRT(($B36)/a_lift)))+t_pos+t_I+IF((ABS($B36-H$33))&lt;=0,0,IF((ABS($B36-H$33))&gt;=v_lift^2/a_lift,(ABS($B36-H$33))/v_lift+v_lift/a_lift,2*SQRT((ABS($B36-H$33))/a_lift)))+t_pos+t_I+IF((H$33)&lt;=0,0,IF((H$33)&gt;=v_lift^2/a_lift,(H$33)/v_lift+v_lift/a_lift,2*SQRT((H$33)/a_lift)))+t_pos+t_ch)</f>
        <v>0</v>
      </c>
      <c r="I36" s="20" t="n">
        <f aca="false">$C36*I$34*(t_ch+IF(($B36)&lt;=0,0,IF(($B36)&gt;=v_lift^2/a_lift,($B36)/v_lift+v_lift/a_lift,2*SQRT(($B36)/a_lift)))+t_pos+t_I+IF((ABS($B36-I$33))&lt;=0,0,IF((ABS($B36-I$33))&gt;=v_lift^2/a_lift,(ABS($B36-I$33))/v_lift+v_lift/a_lift,2*SQRT((ABS($B36-I$33))/a_lift)))+t_pos+t_I+IF((I$33)&lt;=0,0,IF((I$33)&gt;=v_lift^2/a_lift,(I$33)/v_lift+v_lift/a_lift,2*SQRT((I$33)/a_lift)))+t_pos+t_ch)</f>
        <v>0</v>
      </c>
      <c r="J36" s="20" t="n">
        <f aca="false">$C36*J$34*(t_ch+IF(($B36)&lt;=0,0,IF(($B36)&gt;=v_lift^2/a_lift,($B36)/v_lift+v_lift/a_lift,2*SQRT(($B36)/a_lift)))+t_pos+t_I+IF((ABS($B36-J$33))&lt;=0,0,IF((ABS($B36-J$33))&gt;=v_lift^2/a_lift,(ABS($B36-J$33))/v_lift+v_lift/a_lift,2*SQRT((ABS($B36-J$33))/a_lift)))+t_pos+t_I+IF((J$33)&lt;=0,0,IF((J$33)&gt;=v_lift^2/a_lift,(J$33)/v_lift+v_lift/a_lift,2*SQRT((J$33)/a_lift)))+t_pos+t_ch)</f>
        <v>0</v>
      </c>
      <c r="K36" s="20" t="n">
        <f aca="false">$C36*K$34*(t_ch+IF(($B36)&lt;=0,0,IF(($B36)&gt;=v_lift^2/a_lift,($B36)/v_lift+v_lift/a_lift,2*SQRT(($B36)/a_lift)))+t_pos+t_I+IF((ABS($B36-K$33))&lt;=0,0,IF((ABS($B36-K$33))&gt;=v_lift^2/a_lift,(ABS($B36-K$33))/v_lift+v_lift/a_lift,2*SQRT((ABS($B36-K$33))/a_lift)))+t_pos+t_I+IF((K$33)&lt;=0,0,IF((K$33)&gt;=v_lift^2/a_lift,(K$33)/v_lift+v_lift/a_lift,2*SQRT((K$33)/a_lift)))+t_pos+t_ch)</f>
        <v>0</v>
      </c>
      <c r="L36" s="20" t="n">
        <f aca="false">$C36*L$34*(t_ch+IF(($B36)&lt;=0,0,IF(($B36)&gt;=v_lift^2/a_lift,($B36)/v_lift+v_lift/a_lift,2*SQRT(($B36)/a_lift)))+t_pos+t_I+IF((ABS($B36-L$33))&lt;=0,0,IF((ABS($B36-L$33))&gt;=v_lift^2/a_lift,(ABS($B36-L$33))/v_lift+v_lift/a_lift,2*SQRT((ABS($B36-L$33))/a_lift)))+t_pos+t_I+IF((L$33)&lt;=0,0,IF((L$33)&gt;=v_lift^2/a_lift,(L$33)/v_lift+v_lift/a_lift,2*SQRT((L$33)/a_lift)))+t_pos+t_ch)</f>
        <v>0</v>
      </c>
      <c r="M36" s="20" t="n">
        <f aca="false">$C36*M$34*(t_ch+IF(($B36)&lt;=0,0,IF(($B36)&gt;=v_lift^2/a_lift,($B36)/v_lift+v_lift/a_lift,2*SQRT(($B36)/a_lift)))+t_pos+t_I+IF((ABS($B36-M$33))&lt;=0,0,IF((ABS($B36-M$33))&gt;=v_lift^2/a_lift,(ABS($B36-M$33))/v_lift+v_lift/a_lift,2*SQRT((ABS($B36-M$33))/a_lift)))+t_pos+t_I+IF((M$33)&lt;=0,0,IF((M$33)&gt;=v_lift^2/a_lift,(M$33)/v_lift+v_lift/a_lift,2*SQRT((M$33)/a_lift)))+t_pos+t_ch)</f>
        <v>0</v>
      </c>
      <c r="N36" s="20" t="n">
        <f aca="false">$C36*N$34*(t_ch+IF(($B36)&lt;=0,0,IF(($B36)&gt;=v_lift^2/a_lift,($B36)/v_lift+v_lift/a_lift,2*SQRT(($B36)/a_lift)))+t_pos+t_I+IF((ABS($B36-N$33))&lt;=0,0,IF((ABS($B36-N$33))&gt;=v_lift^2/a_lift,(ABS($B36-N$33))/v_lift+v_lift/a_lift,2*SQRT((ABS($B36-N$33))/a_lift)))+t_pos+t_I+IF((N$33)&lt;=0,0,IF((N$33)&gt;=v_lift^2/a_lift,(N$33)/v_lift+v_lift/a_lift,2*SQRT((N$33)/a_lift)))+t_pos+t_ch)</f>
        <v>0</v>
      </c>
      <c r="O36" s="20" t="n">
        <f aca="false">$C36*O$34*(t_ch+IF(($B36)&lt;=0,0,IF(($B36)&gt;=v_lift^2/a_lift,($B36)/v_lift+v_lift/a_lift,2*SQRT(($B36)/a_lift)))+t_pos+t_I+IF((ABS($B36-O$33))&lt;=0,0,IF((ABS($B36-O$33))&gt;=v_lift^2/a_lift,(ABS($B36-O$33))/v_lift+v_lift/a_lift,2*SQRT((ABS($B36-O$33))/a_lift)))+t_pos+t_I+IF((O$33)&lt;=0,0,IF((O$33)&gt;=v_lift^2/a_lift,(O$33)/v_lift+v_lift/a_lift,2*SQRT((O$33)/a_lift)))+t_pos+t_ch)</f>
        <v>0</v>
      </c>
      <c r="P36" s="20" t="n">
        <f aca="false">$C36*P$34*(t_ch+IF(($B36)&lt;=0,0,IF(($B36)&gt;=v_lift^2/a_lift,($B36)/v_lift+v_lift/a_lift,2*SQRT(($B36)/a_lift)))+t_pos+t_I+IF((ABS($B36-P$33))&lt;=0,0,IF((ABS($B36-P$33))&gt;=v_lift^2/a_lift,(ABS($B36-P$33))/v_lift+v_lift/a_lift,2*SQRT((ABS($B36-P$33))/a_lift)))+t_pos+t_I+IF((P$33)&lt;=0,0,IF((P$33)&gt;=v_lift^2/a_lift,(P$33)/v_lift+v_lift/a_lift,2*SQRT((P$33)/a_lift)))+t_pos+t_ch)</f>
        <v>0</v>
      </c>
      <c r="Q36" s="20" t="n">
        <f aca="false">$C36*Q$34*(t_ch+IF(($B36)&lt;=0,0,IF(($B36)&gt;=v_lift^2/a_lift,($B36)/v_lift+v_lift/a_lift,2*SQRT(($B36)/a_lift)))+t_pos+t_I+IF((ABS($B36-Q$33))&lt;=0,0,IF((ABS($B36-Q$33))&gt;=v_lift^2/a_lift,(ABS($B36-Q$33))/v_lift+v_lift/a_lift,2*SQRT((ABS($B36-Q$33))/a_lift)))+t_pos+t_I+IF((Q$33)&lt;=0,0,IF((Q$33)&gt;=v_lift^2/a_lift,(Q$33)/v_lift+v_lift/a_lift,2*SQRT((Q$33)/a_lift)))+t_pos+t_ch)</f>
        <v>0</v>
      </c>
      <c r="R36" s="20" t="n">
        <f aca="false">$C36*R$34*(t_ch+IF(($B36)&lt;=0,0,IF(($B36)&gt;=v_lift^2/a_lift,($B36)/v_lift+v_lift/a_lift,2*SQRT(($B36)/a_lift)))+t_pos+t_I+IF((ABS($B36-R$33))&lt;=0,0,IF((ABS($B36-R$33))&gt;=v_lift^2/a_lift,(ABS($B36-R$33))/v_lift+v_lift/a_lift,2*SQRT((ABS($B36-R$33))/a_lift)))+t_pos+t_I+IF((R$33)&lt;=0,0,IF((R$33)&gt;=v_lift^2/a_lift,(R$33)/v_lift+v_lift/a_lift,2*SQRT((R$33)/a_lift)))+t_pos+t_ch)</f>
        <v>0</v>
      </c>
      <c r="S36" s="20" t="n">
        <f aca="false">$C36*S$34*(t_ch+IF(($B36)&lt;=0,0,IF(($B36)&gt;=v_lift^2/a_lift,($B36)/v_lift+v_lift/a_lift,2*SQRT(($B36)/a_lift)))+t_pos+t_I+IF((ABS($B36-S$33))&lt;=0,0,IF((ABS($B36-S$33))&gt;=v_lift^2/a_lift,(ABS($B36-S$33))/v_lift+v_lift/a_lift,2*SQRT((ABS($B36-S$33))/a_lift)))+t_pos+t_I+IF((S$33)&lt;=0,0,IF((S$33)&gt;=v_lift^2/a_lift,(S$33)/v_lift+v_lift/a_lift,2*SQRT((S$33)/a_lift)))+t_pos+t_ch)</f>
        <v>0</v>
      </c>
      <c r="T36" s="20" t="n">
        <f aca="false">$C36*T$34*(t_ch+IF(($B36)&lt;=0,0,IF(($B36)&gt;=v_lift^2/a_lift,($B36)/v_lift+v_lift/a_lift,2*SQRT(($B36)/a_lift)))+t_pos+t_I+IF((ABS($B36-T$33))&lt;=0,0,IF((ABS($B36-T$33))&gt;=v_lift^2/a_lift,(ABS($B36-T$33))/v_lift+v_lift/a_lift,2*SQRT((ABS($B36-T$33))/a_lift)))+t_pos+t_I+IF((T$33)&lt;=0,0,IF((T$33)&gt;=v_lift^2/a_lift,(T$33)/v_lift+v_lift/a_lift,2*SQRT((T$33)/a_lift)))+t_pos+t_ch)</f>
        <v>0</v>
      </c>
      <c r="U36" s="20" t="n">
        <f aca="false">$C36*U$34*(t_ch+IF(($B36)&lt;=0,0,IF(($B36)&gt;=v_lift^2/a_lift,($B36)/v_lift+v_lift/a_lift,2*SQRT(($B36)/a_lift)))+t_pos+t_I+IF((ABS($B36-U$33))&lt;=0,0,IF((ABS($B36-U$33))&gt;=v_lift^2/a_lift,(ABS($B36-U$33))/v_lift+v_lift/a_lift,2*SQRT((ABS($B36-U$33))/a_lift)))+t_pos+t_I+IF((U$33)&lt;=0,0,IF((U$33)&gt;=v_lift^2/a_lift,(U$33)/v_lift+v_lift/a_lift,2*SQRT((U$33)/a_lift)))+t_pos+t_ch)</f>
        <v>0</v>
      </c>
      <c r="V36" s="20" t="n">
        <f aca="false">$C36*V$34*(t_ch+IF(($B36)&lt;=0,0,IF(($B36)&gt;=v_lift^2/a_lift,($B36)/v_lift+v_lift/a_lift,2*SQRT(($B36)/a_lift)))+t_pos+t_I+IF((ABS($B36-V$33))&lt;=0,0,IF((ABS($B36-V$33))&gt;=v_lift^2/a_lift,(ABS($B36-V$33))/v_lift+v_lift/a_lift,2*SQRT((ABS($B36-V$33))/a_lift)))+t_pos+t_I+IF((V$33)&lt;=0,0,IF((V$33)&gt;=v_lift^2/a_lift,(V$33)/v_lift+v_lift/a_lift,2*SQRT((V$33)/a_lift)))+t_pos+t_ch)</f>
        <v>0</v>
      </c>
      <c r="W36" s="20" t="n">
        <f aca="false">$C36*W$34*(t_ch+IF(($B36)&lt;=0,0,IF(($B36)&gt;=v_lift^2/a_lift,($B36)/v_lift+v_lift/a_lift,2*SQRT(($B36)/a_lift)))+t_pos+t_I+IF((ABS($B36-W$33))&lt;=0,0,IF((ABS($B36-W$33))&gt;=v_lift^2/a_lift,(ABS($B36-W$33))/v_lift+v_lift/a_lift,2*SQRT((ABS($B36-W$33))/a_lift)))+t_pos+t_I+IF((W$33)&lt;=0,0,IF((W$33)&gt;=v_lift^2/a_lift,(W$33)/v_lift+v_lift/a_lift,2*SQRT((W$33)/a_lift)))+t_pos+t_ch)</f>
        <v>0</v>
      </c>
    </row>
    <row r="37" customFormat="false" ht="15" hidden="false" customHeight="false" outlineLevel="0" collapsed="false">
      <c r="A37" s="7" t="n">
        <v>2</v>
      </c>
      <c r="B37" s="18" t="n">
        <f aca="false">Tiers!C5</f>
        <v>1.85</v>
      </c>
      <c r="C37" s="19" t="n">
        <f aca="false">Tiers!J5</f>
        <v>0.666666666666667</v>
      </c>
      <c r="D37" s="20" t="n">
        <f aca="false">$C37*D$34*(t_ch+IF(($B37)&lt;=0,0,IF(($B37)&gt;=v_lift^2/a_lift,($B37)/v_lift+v_lift/a_lift,2*SQRT(($B37)/a_lift)))+t_pos+t_I+IF((ABS($B37-D$33))&lt;=0,0,IF((ABS($B37-D$33))&gt;=v_lift^2/a_lift,(ABS($B37-D$33))/v_lift+v_lift/a_lift,2*SQRT((ABS($B37-D$33))/a_lift)))+t_pos+t_I+IF((D$33)&lt;=0,0,IF((D$33)&gt;=v_lift^2/a_lift,(D$33)/v_lift+v_lift/a_lift,2*SQRT((D$33)/a_lift)))+t_pos+t_ch)</f>
        <v>0</v>
      </c>
      <c r="E37" s="20" t="n">
        <f aca="false">$C37*E$34*(t_ch+IF(($B37)&lt;=0,0,IF(($B37)&gt;=v_lift^2/a_lift,($B37)/v_lift+v_lift/a_lift,2*SQRT(($B37)/a_lift)))+t_pos+t_I+IF((ABS($B37-E$33))&lt;=0,0,IF((ABS($B37-E$33))&gt;=v_lift^2/a_lift,(ABS($B37-E$33))/v_lift+v_lift/a_lift,2*SQRT((ABS($B37-E$33))/a_lift)))+t_pos+t_I+IF((E$33)&lt;=0,0,IF((E$33)&gt;=v_lift^2/a_lift,(E$33)/v_lift+v_lift/a_lift,2*SQRT((E$33)/a_lift)))+t_pos+t_ch)</f>
        <v>32.6920634920635</v>
      </c>
      <c r="F37" s="20" t="n">
        <f aca="false">$C37*F$34*(t_ch+IF(($B37)&lt;=0,0,IF(($B37)&gt;=v_lift^2/a_lift,($B37)/v_lift+v_lift/a_lift,2*SQRT(($B37)/a_lift)))+t_pos+t_I+IF((ABS($B37-F$33))&lt;=0,0,IF((ABS($B37-F$33))&gt;=v_lift^2/a_lift,(ABS($B37-F$33))/v_lift+v_lift/a_lift,2*SQRT((ABS($B37-F$33))/a_lift)))+t_pos+t_I+IF((F$33)&lt;=0,0,IF((F$33)&gt;=v_lift^2/a_lift,(F$33)/v_lift+v_lift/a_lift,2*SQRT((F$33)/a_lift)))+t_pos+t_ch)</f>
        <v>4.37142857142857</v>
      </c>
      <c r="G37" s="20" t="n">
        <f aca="false">$C37*G$34*(t_ch+IF(($B37)&lt;=0,0,IF(($B37)&gt;=v_lift^2/a_lift,($B37)/v_lift+v_lift/a_lift,2*SQRT(($B37)/a_lift)))+t_pos+t_I+IF((ABS($B37-G$33))&lt;=0,0,IF((ABS($B37-G$33))&gt;=v_lift^2/a_lift,(ABS($B37-G$33))/v_lift+v_lift/a_lift,2*SQRT((ABS($B37-G$33))/a_lift)))+t_pos+t_I+IF((G$33)&lt;=0,0,IF((G$33)&gt;=v_lift^2/a_lift,(G$33)/v_lift+v_lift/a_lift,2*SQRT((G$33)/a_lift)))+t_pos+t_ch)</f>
        <v>4.57698412698413</v>
      </c>
      <c r="H37" s="20" t="n">
        <f aca="false">$C37*H$34*(t_ch+IF(($B37)&lt;=0,0,IF(($B37)&gt;=v_lift^2/a_lift,($B37)/v_lift+v_lift/a_lift,2*SQRT(($B37)/a_lift)))+t_pos+t_I+IF((ABS($B37-H$33))&lt;=0,0,IF((ABS($B37-H$33))&gt;=v_lift^2/a_lift,(ABS($B37-H$33))/v_lift+v_lift/a_lift,2*SQRT((ABS($B37-H$33))/a_lift)))+t_pos+t_I+IF((H$33)&lt;=0,0,IF((H$33)&gt;=v_lift^2/a_lift,(H$33)/v_lift+v_lift/a_lift,2*SQRT((H$33)/a_lift)))+t_pos+t_ch)</f>
        <v>4.78253968253968</v>
      </c>
      <c r="I37" s="20" t="n">
        <f aca="false">$C37*I$34*(t_ch+IF(($B37)&lt;=0,0,IF(($B37)&gt;=v_lift^2/a_lift,($B37)/v_lift+v_lift/a_lift,2*SQRT(($B37)/a_lift)))+t_pos+t_I+IF((ABS($B37-I$33))&lt;=0,0,IF((ABS($B37-I$33))&gt;=v_lift^2/a_lift,(ABS($B37-I$33))/v_lift+v_lift/a_lift,2*SQRT((ABS($B37-I$33))/a_lift)))+t_pos+t_I+IF((I$33)&lt;=0,0,IF((I$33)&gt;=v_lift^2/a_lift,(I$33)/v_lift+v_lift/a_lift,2*SQRT((I$33)/a_lift)))+t_pos+t_ch)</f>
        <v>0.997619047619048</v>
      </c>
      <c r="J37" s="20" t="n">
        <f aca="false">$C37*J$34*(t_ch+IF(($B37)&lt;=0,0,IF(($B37)&gt;=v_lift^2/a_lift,($B37)/v_lift+v_lift/a_lift,2*SQRT(($B37)/a_lift)))+t_pos+t_I+IF((ABS($B37-J$33))&lt;=0,0,IF((ABS($B37-J$33))&gt;=v_lift^2/a_lift,(ABS($B37-J$33))/v_lift+v_lift/a_lift,2*SQRT((ABS($B37-J$33))/a_lift)))+t_pos+t_I+IF((J$33)&lt;=0,0,IF((J$33)&gt;=v_lift^2/a_lift,(J$33)/v_lift+v_lift/a_lift,2*SQRT((J$33)/a_lift)))+t_pos+t_ch)</f>
        <v>1.03873015873016</v>
      </c>
      <c r="K37" s="20" t="n">
        <f aca="false">$C37*K$34*(t_ch+IF(($B37)&lt;=0,0,IF(($B37)&gt;=v_lift^2/a_lift,($B37)/v_lift+v_lift/a_lift,2*SQRT(($B37)/a_lift)))+t_pos+t_I+IF((ABS($B37-K$33))&lt;=0,0,IF((ABS($B37-K$33))&gt;=v_lift^2/a_lift,(ABS($B37-K$33))/v_lift+v_lift/a_lift,2*SQRT((ABS($B37-K$33))/a_lift)))+t_pos+t_I+IF((K$33)&lt;=0,0,IF((K$33)&gt;=v_lift^2/a_lift,(K$33)/v_lift+v_lift/a_lift,2*SQRT((K$33)/a_lift)))+t_pos+t_ch)</f>
        <v>1.07984126984127</v>
      </c>
      <c r="L37" s="20" t="n">
        <f aca="false">$C37*L$34*(t_ch+IF(($B37)&lt;=0,0,IF(($B37)&gt;=v_lift^2/a_lift,($B37)/v_lift+v_lift/a_lift,2*SQRT(($B37)/a_lift)))+t_pos+t_I+IF((ABS($B37-L$33))&lt;=0,0,IF((ABS($B37-L$33))&gt;=v_lift^2/a_lift,(ABS($B37-L$33))/v_lift+v_lift/a_lift,2*SQRT((ABS($B37-L$33))/a_lift)))+t_pos+t_I+IF((L$33)&lt;=0,0,IF((L$33)&gt;=v_lift^2/a_lift,(L$33)/v_lift+v_lift/a_lift,2*SQRT((L$33)/a_lift)))+t_pos+t_ch)</f>
        <v>1.12095238095238</v>
      </c>
      <c r="M37" s="20" t="n">
        <f aca="false">$C37*M$34*(t_ch+IF(($B37)&lt;=0,0,IF(($B37)&gt;=v_lift^2/a_lift,($B37)/v_lift+v_lift/a_lift,2*SQRT(($B37)/a_lift)))+t_pos+t_I+IF((ABS($B37-M$33))&lt;=0,0,IF((ABS($B37-M$33))&gt;=v_lift^2/a_lift,(ABS($B37-M$33))/v_lift+v_lift/a_lift,2*SQRT((ABS($B37-M$33))/a_lift)))+t_pos+t_I+IF((M$33)&lt;=0,0,IF((M$33)&gt;=v_lift^2/a_lift,(M$33)/v_lift+v_lift/a_lift,2*SQRT((M$33)/a_lift)))+t_pos+t_ch)</f>
        <v>1.16206349206349</v>
      </c>
      <c r="N37" s="20" t="n">
        <f aca="false">$C37*N$34*(t_ch+IF(($B37)&lt;=0,0,IF(($B37)&gt;=v_lift^2/a_lift,($B37)/v_lift+v_lift/a_lift,2*SQRT(($B37)/a_lift)))+t_pos+t_I+IF((ABS($B37-N$33))&lt;=0,0,IF((ABS($B37-N$33))&gt;=v_lift^2/a_lift,(ABS($B37-N$33))/v_lift+v_lift/a_lift,2*SQRT((ABS($B37-N$33))/a_lift)))+t_pos+t_I+IF((N$33)&lt;=0,0,IF((N$33)&gt;=v_lift^2/a_lift,(N$33)/v_lift+v_lift/a_lift,2*SQRT((N$33)/a_lift)))+t_pos+t_ch)</f>
        <v>0</v>
      </c>
      <c r="O37" s="20" t="n">
        <f aca="false">$C37*O$34*(t_ch+IF(($B37)&lt;=0,0,IF(($B37)&gt;=v_lift^2/a_lift,($B37)/v_lift+v_lift/a_lift,2*SQRT(($B37)/a_lift)))+t_pos+t_I+IF((ABS($B37-O$33))&lt;=0,0,IF((ABS($B37-O$33))&gt;=v_lift^2/a_lift,(ABS($B37-O$33))/v_lift+v_lift/a_lift,2*SQRT((ABS($B37-O$33))/a_lift)))+t_pos+t_I+IF((O$33)&lt;=0,0,IF((O$33)&gt;=v_lift^2/a_lift,(O$33)/v_lift+v_lift/a_lift,2*SQRT((O$33)/a_lift)))+t_pos+t_ch)</f>
        <v>0</v>
      </c>
      <c r="P37" s="20" t="n">
        <f aca="false">$C37*P$34*(t_ch+IF(($B37)&lt;=0,0,IF(($B37)&gt;=v_lift^2/a_lift,($B37)/v_lift+v_lift/a_lift,2*SQRT(($B37)/a_lift)))+t_pos+t_I+IF((ABS($B37-P$33))&lt;=0,0,IF((ABS($B37-P$33))&gt;=v_lift^2/a_lift,(ABS($B37-P$33))/v_lift+v_lift/a_lift,2*SQRT((ABS($B37-P$33))/a_lift)))+t_pos+t_I+IF((P$33)&lt;=0,0,IF((P$33)&gt;=v_lift^2/a_lift,(P$33)/v_lift+v_lift/a_lift,2*SQRT((P$33)/a_lift)))+t_pos+t_ch)</f>
        <v>0</v>
      </c>
      <c r="Q37" s="20" t="n">
        <f aca="false">$C37*Q$34*(t_ch+IF(($B37)&lt;=0,0,IF(($B37)&gt;=v_lift^2/a_lift,($B37)/v_lift+v_lift/a_lift,2*SQRT(($B37)/a_lift)))+t_pos+t_I+IF((ABS($B37-Q$33))&lt;=0,0,IF((ABS($B37-Q$33))&gt;=v_lift^2/a_lift,(ABS($B37-Q$33))/v_lift+v_lift/a_lift,2*SQRT((ABS($B37-Q$33))/a_lift)))+t_pos+t_I+IF((Q$33)&lt;=0,0,IF((Q$33)&gt;=v_lift^2/a_lift,(Q$33)/v_lift+v_lift/a_lift,2*SQRT((Q$33)/a_lift)))+t_pos+t_ch)</f>
        <v>0</v>
      </c>
      <c r="R37" s="20" t="n">
        <f aca="false">$C37*R$34*(t_ch+IF(($B37)&lt;=0,0,IF(($B37)&gt;=v_lift^2/a_lift,($B37)/v_lift+v_lift/a_lift,2*SQRT(($B37)/a_lift)))+t_pos+t_I+IF((ABS($B37-R$33))&lt;=0,0,IF((ABS($B37-R$33))&gt;=v_lift^2/a_lift,(ABS($B37-R$33))/v_lift+v_lift/a_lift,2*SQRT((ABS($B37-R$33))/a_lift)))+t_pos+t_I+IF((R$33)&lt;=0,0,IF((R$33)&gt;=v_lift^2/a_lift,(R$33)/v_lift+v_lift/a_lift,2*SQRT((R$33)/a_lift)))+t_pos+t_ch)</f>
        <v>0</v>
      </c>
      <c r="S37" s="20" t="n">
        <f aca="false">$C37*S$34*(t_ch+IF(($B37)&lt;=0,0,IF(($B37)&gt;=v_lift^2/a_lift,($B37)/v_lift+v_lift/a_lift,2*SQRT(($B37)/a_lift)))+t_pos+t_I+IF((ABS($B37-S$33))&lt;=0,0,IF((ABS($B37-S$33))&gt;=v_lift^2/a_lift,(ABS($B37-S$33))/v_lift+v_lift/a_lift,2*SQRT((ABS($B37-S$33))/a_lift)))+t_pos+t_I+IF((S$33)&lt;=0,0,IF((S$33)&gt;=v_lift^2/a_lift,(S$33)/v_lift+v_lift/a_lift,2*SQRT((S$33)/a_lift)))+t_pos+t_ch)</f>
        <v>0</v>
      </c>
      <c r="T37" s="20" t="n">
        <f aca="false">$C37*T$34*(t_ch+IF(($B37)&lt;=0,0,IF(($B37)&gt;=v_lift^2/a_lift,($B37)/v_lift+v_lift/a_lift,2*SQRT(($B37)/a_lift)))+t_pos+t_I+IF((ABS($B37-T$33))&lt;=0,0,IF((ABS($B37-T$33))&gt;=v_lift^2/a_lift,(ABS($B37-T$33))/v_lift+v_lift/a_lift,2*SQRT((ABS($B37-T$33))/a_lift)))+t_pos+t_I+IF((T$33)&lt;=0,0,IF((T$33)&gt;=v_lift^2/a_lift,(T$33)/v_lift+v_lift/a_lift,2*SQRT((T$33)/a_lift)))+t_pos+t_ch)</f>
        <v>0</v>
      </c>
      <c r="U37" s="20" t="n">
        <f aca="false">$C37*U$34*(t_ch+IF(($B37)&lt;=0,0,IF(($B37)&gt;=v_lift^2/a_lift,($B37)/v_lift+v_lift/a_lift,2*SQRT(($B37)/a_lift)))+t_pos+t_I+IF((ABS($B37-U$33))&lt;=0,0,IF((ABS($B37-U$33))&gt;=v_lift^2/a_lift,(ABS($B37-U$33))/v_lift+v_lift/a_lift,2*SQRT((ABS($B37-U$33))/a_lift)))+t_pos+t_I+IF((U$33)&lt;=0,0,IF((U$33)&gt;=v_lift^2/a_lift,(U$33)/v_lift+v_lift/a_lift,2*SQRT((U$33)/a_lift)))+t_pos+t_ch)</f>
        <v>0</v>
      </c>
      <c r="V37" s="20" t="n">
        <f aca="false">$C37*V$34*(t_ch+IF(($B37)&lt;=0,0,IF(($B37)&gt;=v_lift^2/a_lift,($B37)/v_lift+v_lift/a_lift,2*SQRT(($B37)/a_lift)))+t_pos+t_I+IF((ABS($B37-V$33))&lt;=0,0,IF((ABS($B37-V$33))&gt;=v_lift^2/a_lift,(ABS($B37-V$33))/v_lift+v_lift/a_lift,2*SQRT((ABS($B37-V$33))/a_lift)))+t_pos+t_I+IF((V$33)&lt;=0,0,IF((V$33)&gt;=v_lift^2/a_lift,(V$33)/v_lift+v_lift/a_lift,2*SQRT((V$33)/a_lift)))+t_pos+t_ch)</f>
        <v>0</v>
      </c>
      <c r="W37" s="20" t="n">
        <f aca="false">$C37*W$34*(t_ch+IF(($B37)&lt;=0,0,IF(($B37)&gt;=v_lift^2/a_lift,($B37)/v_lift+v_lift/a_lift,2*SQRT(($B37)/a_lift)))+t_pos+t_I+IF((ABS($B37-W$33))&lt;=0,0,IF((ABS($B37-W$33))&gt;=v_lift^2/a_lift,(ABS($B37-W$33))/v_lift+v_lift/a_lift,2*SQRT((ABS($B37-W$33))/a_lift)))+t_pos+t_I+IF((W$33)&lt;=0,0,IF((W$33)&gt;=v_lift^2/a_lift,(W$33)/v_lift+v_lift/a_lift,2*SQRT((W$33)/a_lift)))+t_pos+t_ch)</f>
        <v>0</v>
      </c>
    </row>
    <row r="38" customFormat="false" ht="15" hidden="false" customHeight="false" outlineLevel="0" collapsed="false">
      <c r="A38" s="7" t="n">
        <v>3</v>
      </c>
      <c r="B38" s="18" t="n">
        <f aca="false">Tiers!C6</f>
        <v>3.7</v>
      </c>
      <c r="C38" s="19" t="n">
        <f aca="false">Tiers!J6</f>
        <v>0.0833333333333333</v>
      </c>
      <c r="D38" s="20" t="n">
        <f aca="false">$C38*D$34*(t_ch+IF(($B38)&lt;=0,0,IF(($B38)&gt;=v_lift^2/a_lift,($B38)/v_lift+v_lift/a_lift,2*SQRT(($B38)/a_lift)))+t_pos+t_I+IF((ABS($B38-D$33))&lt;=0,0,IF((ABS($B38-D$33))&gt;=v_lift^2/a_lift,(ABS($B38-D$33))/v_lift+v_lift/a_lift,2*SQRT((ABS($B38-D$33))/a_lift)))+t_pos+t_I+IF((D$33)&lt;=0,0,IF((D$33)&gt;=v_lift^2/a_lift,(D$33)/v_lift+v_lift/a_lift,2*SQRT((D$33)/a_lift)))+t_pos+t_ch)</f>
        <v>0</v>
      </c>
      <c r="E38" s="20" t="n">
        <f aca="false">$C38*E$34*(t_ch+IF(($B38)&lt;=0,0,IF(($B38)&gt;=v_lift^2/a_lift,($B38)/v_lift+v_lift/a_lift,2*SQRT(($B38)/a_lift)))+t_pos+t_I+IF((ABS($B38-E$33))&lt;=0,0,IF((ABS($B38-E$33))&gt;=v_lift^2/a_lift,(ABS($B38-E$33))/v_lift+v_lift/a_lift,2*SQRT((ABS($B38-E$33))/a_lift)))+t_pos+t_I+IF((E$33)&lt;=0,0,IF((E$33)&gt;=v_lift^2/a_lift,(E$33)/v_lift+v_lift/a_lift,2*SQRT((E$33)/a_lift)))+t_pos+t_ch)</f>
        <v>4.37142857142857</v>
      </c>
      <c r="F38" s="20" t="n">
        <f aca="false">$C38*F$34*(t_ch+IF(($B38)&lt;=0,0,IF(($B38)&gt;=v_lift^2/a_lift,($B38)/v_lift+v_lift/a_lift,2*SQRT(($B38)/a_lift)))+t_pos+t_I+IF((ABS($B38-F$33))&lt;=0,0,IF((ABS($B38-F$33))&gt;=v_lift^2/a_lift,(ABS($B38-F$33))/v_lift+v_lift/a_lift,2*SQRT((ABS($B38-F$33))/a_lift)))+t_pos+t_I+IF((F$33)&lt;=0,0,IF((F$33)&gt;=v_lift^2/a_lift,(F$33)/v_lift+v_lift/a_lift,2*SQRT((F$33)/a_lift)))+t_pos+t_ch)</f>
        <v>0.536507936507937</v>
      </c>
      <c r="G38" s="20" t="n">
        <f aca="false">$C38*G$34*(t_ch+IF(($B38)&lt;=0,0,IF(($B38)&gt;=v_lift^2/a_lift,($B38)/v_lift+v_lift/a_lift,2*SQRT(($B38)/a_lift)))+t_pos+t_I+IF((ABS($B38-G$33))&lt;=0,0,IF((ABS($B38-G$33))&gt;=v_lift^2/a_lift,(ABS($B38-G$33))/v_lift+v_lift/a_lift,2*SQRT((ABS($B38-G$33))/a_lift)))+t_pos+t_I+IF((G$33)&lt;=0,0,IF((G$33)&gt;=v_lift^2/a_lift,(G$33)/v_lift+v_lift/a_lift,2*SQRT((G$33)/a_lift)))+t_pos+t_ch)</f>
        <v>0.572123015873016</v>
      </c>
      <c r="H38" s="20" t="n">
        <f aca="false">$C38*H$34*(t_ch+IF(($B38)&lt;=0,0,IF(($B38)&gt;=v_lift^2/a_lift,($B38)/v_lift+v_lift/a_lift,2*SQRT(($B38)/a_lift)))+t_pos+t_I+IF((ABS($B38-H$33))&lt;=0,0,IF((ABS($B38-H$33))&gt;=v_lift^2/a_lift,(ABS($B38-H$33))/v_lift+v_lift/a_lift,2*SQRT((ABS($B38-H$33))/a_lift)))+t_pos+t_I+IF((H$33)&lt;=0,0,IF((H$33)&gt;=v_lift^2/a_lift,(H$33)/v_lift+v_lift/a_lift,2*SQRT((H$33)/a_lift)))+t_pos+t_ch)</f>
        <v>0.59781746031746</v>
      </c>
      <c r="I38" s="20" t="n">
        <f aca="false">$C38*I$34*(t_ch+IF(($B38)&lt;=0,0,IF(($B38)&gt;=v_lift^2/a_lift,($B38)/v_lift+v_lift/a_lift,2*SQRT(($B38)/a_lift)))+t_pos+t_I+IF((ABS($B38-I$33))&lt;=0,0,IF((ABS($B38-I$33))&gt;=v_lift^2/a_lift,(ABS($B38-I$33))/v_lift+v_lift/a_lift,2*SQRT((ABS($B38-I$33))/a_lift)))+t_pos+t_I+IF((I$33)&lt;=0,0,IF((I$33)&gt;=v_lift^2/a_lift,(I$33)/v_lift+v_lift/a_lift,2*SQRT((I$33)/a_lift)))+t_pos+t_ch)</f>
        <v>0.124702380952381</v>
      </c>
      <c r="J38" s="20" t="n">
        <f aca="false">$C38*J$34*(t_ch+IF(($B38)&lt;=0,0,IF(($B38)&gt;=v_lift^2/a_lift,($B38)/v_lift+v_lift/a_lift,2*SQRT(($B38)/a_lift)))+t_pos+t_I+IF((ABS($B38-J$33))&lt;=0,0,IF((ABS($B38-J$33))&gt;=v_lift^2/a_lift,(ABS($B38-J$33))/v_lift+v_lift/a_lift,2*SQRT((ABS($B38-J$33))/a_lift)))+t_pos+t_I+IF((J$33)&lt;=0,0,IF((J$33)&gt;=v_lift^2/a_lift,(J$33)/v_lift+v_lift/a_lift,2*SQRT((J$33)/a_lift)))+t_pos+t_ch)</f>
        <v>0.12984126984127</v>
      </c>
      <c r="K38" s="20" t="n">
        <f aca="false">$C38*K$34*(t_ch+IF(($B38)&lt;=0,0,IF(($B38)&gt;=v_lift^2/a_lift,($B38)/v_lift+v_lift/a_lift,2*SQRT(($B38)/a_lift)))+t_pos+t_I+IF((ABS($B38-K$33))&lt;=0,0,IF((ABS($B38-K$33))&gt;=v_lift^2/a_lift,(ABS($B38-K$33))/v_lift+v_lift/a_lift,2*SQRT((ABS($B38-K$33))/a_lift)))+t_pos+t_I+IF((K$33)&lt;=0,0,IF((K$33)&gt;=v_lift^2/a_lift,(K$33)/v_lift+v_lift/a_lift,2*SQRT((K$33)/a_lift)))+t_pos+t_ch)</f>
        <v>0.134980158730159</v>
      </c>
      <c r="L38" s="20" t="n">
        <f aca="false">$C38*L$34*(t_ch+IF(($B38)&lt;=0,0,IF(($B38)&gt;=v_lift^2/a_lift,($B38)/v_lift+v_lift/a_lift,2*SQRT(($B38)/a_lift)))+t_pos+t_I+IF((ABS($B38-L$33))&lt;=0,0,IF((ABS($B38-L$33))&gt;=v_lift^2/a_lift,(ABS($B38-L$33))/v_lift+v_lift/a_lift,2*SQRT((ABS($B38-L$33))/a_lift)))+t_pos+t_I+IF((L$33)&lt;=0,0,IF((L$33)&gt;=v_lift^2/a_lift,(L$33)/v_lift+v_lift/a_lift,2*SQRT((L$33)/a_lift)))+t_pos+t_ch)</f>
        <v>0.140119047619048</v>
      </c>
      <c r="M38" s="20" t="n">
        <f aca="false">$C38*M$34*(t_ch+IF(($B38)&lt;=0,0,IF(($B38)&gt;=v_lift^2/a_lift,($B38)/v_lift+v_lift/a_lift,2*SQRT(($B38)/a_lift)))+t_pos+t_I+IF((ABS($B38-M$33))&lt;=0,0,IF((ABS($B38-M$33))&gt;=v_lift^2/a_lift,(ABS($B38-M$33))/v_lift+v_lift/a_lift,2*SQRT((ABS($B38-M$33))/a_lift)))+t_pos+t_I+IF((M$33)&lt;=0,0,IF((M$33)&gt;=v_lift^2/a_lift,(M$33)/v_lift+v_lift/a_lift,2*SQRT((M$33)/a_lift)))+t_pos+t_ch)</f>
        <v>0.145257936507937</v>
      </c>
      <c r="N38" s="20" t="n">
        <f aca="false">$C38*N$34*(t_ch+IF(($B38)&lt;=0,0,IF(($B38)&gt;=v_lift^2/a_lift,($B38)/v_lift+v_lift/a_lift,2*SQRT(($B38)/a_lift)))+t_pos+t_I+IF((ABS($B38-N$33))&lt;=0,0,IF((ABS($B38-N$33))&gt;=v_lift^2/a_lift,(ABS($B38-N$33))/v_lift+v_lift/a_lift,2*SQRT((ABS($B38-N$33))/a_lift)))+t_pos+t_I+IF((N$33)&lt;=0,0,IF((N$33)&gt;=v_lift^2/a_lift,(N$33)/v_lift+v_lift/a_lift,2*SQRT((N$33)/a_lift)))+t_pos+t_ch)</f>
        <v>0</v>
      </c>
      <c r="O38" s="20" t="n">
        <f aca="false">$C38*O$34*(t_ch+IF(($B38)&lt;=0,0,IF(($B38)&gt;=v_lift^2/a_lift,($B38)/v_lift+v_lift/a_lift,2*SQRT(($B38)/a_lift)))+t_pos+t_I+IF((ABS($B38-O$33))&lt;=0,0,IF((ABS($B38-O$33))&gt;=v_lift^2/a_lift,(ABS($B38-O$33))/v_lift+v_lift/a_lift,2*SQRT((ABS($B38-O$33))/a_lift)))+t_pos+t_I+IF((O$33)&lt;=0,0,IF((O$33)&gt;=v_lift^2/a_lift,(O$33)/v_lift+v_lift/a_lift,2*SQRT((O$33)/a_lift)))+t_pos+t_ch)</f>
        <v>0</v>
      </c>
      <c r="P38" s="20" t="n">
        <f aca="false">$C38*P$34*(t_ch+IF(($B38)&lt;=0,0,IF(($B38)&gt;=v_lift^2/a_lift,($B38)/v_lift+v_lift/a_lift,2*SQRT(($B38)/a_lift)))+t_pos+t_I+IF((ABS($B38-P$33))&lt;=0,0,IF((ABS($B38-P$33))&gt;=v_lift^2/a_lift,(ABS($B38-P$33))/v_lift+v_lift/a_lift,2*SQRT((ABS($B38-P$33))/a_lift)))+t_pos+t_I+IF((P$33)&lt;=0,0,IF((P$33)&gt;=v_lift^2/a_lift,(P$33)/v_lift+v_lift/a_lift,2*SQRT((P$33)/a_lift)))+t_pos+t_ch)</f>
        <v>0</v>
      </c>
      <c r="Q38" s="20" t="n">
        <f aca="false">$C38*Q$34*(t_ch+IF(($B38)&lt;=0,0,IF(($B38)&gt;=v_lift^2/a_lift,($B38)/v_lift+v_lift/a_lift,2*SQRT(($B38)/a_lift)))+t_pos+t_I+IF((ABS($B38-Q$33))&lt;=0,0,IF((ABS($B38-Q$33))&gt;=v_lift^2/a_lift,(ABS($B38-Q$33))/v_lift+v_lift/a_lift,2*SQRT((ABS($B38-Q$33))/a_lift)))+t_pos+t_I+IF((Q$33)&lt;=0,0,IF((Q$33)&gt;=v_lift^2/a_lift,(Q$33)/v_lift+v_lift/a_lift,2*SQRT((Q$33)/a_lift)))+t_pos+t_ch)</f>
        <v>0</v>
      </c>
      <c r="R38" s="20" t="n">
        <f aca="false">$C38*R$34*(t_ch+IF(($B38)&lt;=0,0,IF(($B38)&gt;=v_lift^2/a_lift,($B38)/v_lift+v_lift/a_lift,2*SQRT(($B38)/a_lift)))+t_pos+t_I+IF((ABS($B38-R$33))&lt;=0,0,IF((ABS($B38-R$33))&gt;=v_lift^2/a_lift,(ABS($B38-R$33))/v_lift+v_lift/a_lift,2*SQRT((ABS($B38-R$33))/a_lift)))+t_pos+t_I+IF((R$33)&lt;=0,0,IF((R$33)&gt;=v_lift^2/a_lift,(R$33)/v_lift+v_lift/a_lift,2*SQRT((R$33)/a_lift)))+t_pos+t_ch)</f>
        <v>0</v>
      </c>
      <c r="S38" s="20" t="n">
        <f aca="false">$C38*S$34*(t_ch+IF(($B38)&lt;=0,0,IF(($B38)&gt;=v_lift^2/a_lift,($B38)/v_lift+v_lift/a_lift,2*SQRT(($B38)/a_lift)))+t_pos+t_I+IF((ABS($B38-S$33))&lt;=0,0,IF((ABS($B38-S$33))&gt;=v_lift^2/a_lift,(ABS($B38-S$33))/v_lift+v_lift/a_lift,2*SQRT((ABS($B38-S$33))/a_lift)))+t_pos+t_I+IF((S$33)&lt;=0,0,IF((S$33)&gt;=v_lift^2/a_lift,(S$33)/v_lift+v_lift/a_lift,2*SQRT((S$33)/a_lift)))+t_pos+t_ch)</f>
        <v>0</v>
      </c>
      <c r="T38" s="20" t="n">
        <f aca="false">$C38*T$34*(t_ch+IF(($B38)&lt;=0,0,IF(($B38)&gt;=v_lift^2/a_lift,($B38)/v_lift+v_lift/a_lift,2*SQRT(($B38)/a_lift)))+t_pos+t_I+IF((ABS($B38-T$33))&lt;=0,0,IF((ABS($B38-T$33))&gt;=v_lift^2/a_lift,(ABS($B38-T$33))/v_lift+v_lift/a_lift,2*SQRT((ABS($B38-T$33))/a_lift)))+t_pos+t_I+IF((T$33)&lt;=0,0,IF((T$33)&gt;=v_lift^2/a_lift,(T$33)/v_lift+v_lift/a_lift,2*SQRT((T$33)/a_lift)))+t_pos+t_ch)</f>
        <v>0</v>
      </c>
      <c r="U38" s="20" t="n">
        <f aca="false">$C38*U$34*(t_ch+IF(($B38)&lt;=0,0,IF(($B38)&gt;=v_lift^2/a_lift,($B38)/v_lift+v_lift/a_lift,2*SQRT(($B38)/a_lift)))+t_pos+t_I+IF((ABS($B38-U$33))&lt;=0,0,IF((ABS($B38-U$33))&gt;=v_lift^2/a_lift,(ABS($B38-U$33))/v_lift+v_lift/a_lift,2*SQRT((ABS($B38-U$33))/a_lift)))+t_pos+t_I+IF((U$33)&lt;=0,0,IF((U$33)&gt;=v_lift^2/a_lift,(U$33)/v_lift+v_lift/a_lift,2*SQRT((U$33)/a_lift)))+t_pos+t_ch)</f>
        <v>0</v>
      </c>
      <c r="V38" s="20" t="n">
        <f aca="false">$C38*V$34*(t_ch+IF(($B38)&lt;=0,0,IF(($B38)&gt;=v_lift^2/a_lift,($B38)/v_lift+v_lift/a_lift,2*SQRT(($B38)/a_lift)))+t_pos+t_I+IF((ABS($B38-V$33))&lt;=0,0,IF((ABS($B38-V$33))&gt;=v_lift^2/a_lift,(ABS($B38-V$33))/v_lift+v_lift/a_lift,2*SQRT((ABS($B38-V$33))/a_lift)))+t_pos+t_I+IF((V$33)&lt;=0,0,IF((V$33)&gt;=v_lift^2/a_lift,(V$33)/v_lift+v_lift/a_lift,2*SQRT((V$33)/a_lift)))+t_pos+t_ch)</f>
        <v>0</v>
      </c>
      <c r="W38" s="20" t="n">
        <f aca="false">$C38*W$34*(t_ch+IF(($B38)&lt;=0,0,IF(($B38)&gt;=v_lift^2/a_lift,($B38)/v_lift+v_lift/a_lift,2*SQRT(($B38)/a_lift)))+t_pos+t_I+IF((ABS($B38-W$33))&lt;=0,0,IF((ABS($B38-W$33))&gt;=v_lift^2/a_lift,(ABS($B38-W$33))/v_lift+v_lift/a_lift,2*SQRT((ABS($B38-W$33))/a_lift)))+t_pos+t_I+IF((W$33)&lt;=0,0,IF((W$33)&gt;=v_lift^2/a_lift,(W$33)/v_lift+v_lift/a_lift,2*SQRT((W$33)/a_lift)))+t_pos+t_ch)</f>
        <v>0</v>
      </c>
    </row>
    <row r="39" customFormat="false" ht="15" hidden="false" customHeight="false" outlineLevel="0" collapsed="false">
      <c r="A39" s="7" t="n">
        <v>4</v>
      </c>
      <c r="B39" s="18" t="n">
        <f aca="false">Tiers!C7</f>
        <v>5.55</v>
      </c>
      <c r="C39" s="19" t="n">
        <f aca="false">Tiers!J7</f>
        <v>0.0833333333333333</v>
      </c>
      <c r="D39" s="20" t="n">
        <f aca="false">$C39*D$34*(t_ch+IF(($B39)&lt;=0,0,IF(($B39)&gt;=v_lift^2/a_lift,($B39)/v_lift+v_lift/a_lift,2*SQRT(($B39)/a_lift)))+t_pos+t_I+IF((ABS($B39-D$33))&lt;=0,0,IF((ABS($B39-D$33))&gt;=v_lift^2/a_lift,(ABS($B39-D$33))/v_lift+v_lift/a_lift,2*SQRT((ABS($B39-D$33))/a_lift)))+t_pos+t_I+IF((D$33)&lt;=0,0,IF((D$33)&gt;=v_lift^2/a_lift,(D$33)/v_lift+v_lift/a_lift,2*SQRT((D$33)/a_lift)))+t_pos+t_ch)</f>
        <v>0</v>
      </c>
      <c r="E39" s="20" t="n">
        <f aca="false">$C39*E$34*(t_ch+IF(($B39)&lt;=0,0,IF(($B39)&gt;=v_lift^2/a_lift,($B39)/v_lift+v_lift/a_lift,2*SQRT(($B39)/a_lift)))+t_pos+t_I+IF((ABS($B39-E$33))&lt;=0,0,IF((ABS($B39-E$33))&gt;=v_lift^2/a_lift,(ABS($B39-E$33))/v_lift+v_lift/a_lift,2*SQRT((ABS($B39-E$33))/a_lift)))+t_pos+t_I+IF((E$33)&lt;=0,0,IF((E$33)&gt;=v_lift^2/a_lift,(E$33)/v_lift+v_lift/a_lift,2*SQRT((E$33)/a_lift)))+t_pos+t_ch)</f>
        <v>4.57698412698413</v>
      </c>
      <c r="F39" s="20" t="n">
        <f aca="false">$C39*F$34*(t_ch+IF(($B39)&lt;=0,0,IF(($B39)&gt;=v_lift^2/a_lift,($B39)/v_lift+v_lift/a_lift,2*SQRT(($B39)/a_lift)))+t_pos+t_I+IF((ABS($B39-F$33))&lt;=0,0,IF((ABS($B39-F$33))&gt;=v_lift^2/a_lift,(ABS($B39-F$33))/v_lift+v_lift/a_lift,2*SQRT((ABS($B39-F$33))/a_lift)))+t_pos+t_I+IF((F$33)&lt;=0,0,IF((F$33)&gt;=v_lift^2/a_lift,(F$33)/v_lift+v_lift/a_lift,2*SQRT((F$33)/a_lift)))+t_pos+t_ch)</f>
        <v>0.572123015873016</v>
      </c>
      <c r="G39" s="20" t="n">
        <f aca="false">$C39*G$34*(t_ch+IF(($B39)&lt;=0,0,IF(($B39)&gt;=v_lift^2/a_lift,($B39)/v_lift+v_lift/a_lift,2*SQRT(($B39)/a_lift)))+t_pos+t_I+IF((ABS($B39-G$33))&lt;=0,0,IF((ABS($B39-G$33))&gt;=v_lift^2/a_lift,(ABS($B39-G$33))/v_lift+v_lift/a_lift,2*SQRT((ABS($B39-G$33))/a_lift)))+t_pos+t_I+IF((G$33)&lt;=0,0,IF((G$33)&gt;=v_lift^2/a_lift,(G$33)/v_lift+v_lift/a_lift,2*SQRT((G$33)/a_lift)))+t_pos+t_ch)</f>
        <v>0.562202380952381</v>
      </c>
      <c r="H39" s="20" t="n">
        <f aca="false">$C39*H$34*(t_ch+IF(($B39)&lt;=0,0,IF(($B39)&gt;=v_lift^2/a_lift,($B39)/v_lift+v_lift/a_lift,2*SQRT(($B39)/a_lift)))+t_pos+t_I+IF((ABS($B39-H$33))&lt;=0,0,IF((ABS($B39-H$33))&gt;=v_lift^2/a_lift,(ABS($B39-H$33))/v_lift+v_lift/a_lift,2*SQRT((ABS($B39-H$33))/a_lift)))+t_pos+t_I+IF((H$33)&lt;=0,0,IF((H$33)&gt;=v_lift^2/a_lift,(H$33)/v_lift+v_lift/a_lift,2*SQRT((H$33)/a_lift)))+t_pos+t_ch)</f>
        <v>0.59781746031746</v>
      </c>
      <c r="I39" s="20" t="n">
        <f aca="false">$C39*I$34*(t_ch+IF(($B39)&lt;=0,0,IF(($B39)&gt;=v_lift^2/a_lift,($B39)/v_lift+v_lift/a_lift,2*SQRT(($B39)/a_lift)))+t_pos+t_I+IF((ABS($B39-I$33))&lt;=0,0,IF((ABS($B39-I$33))&gt;=v_lift^2/a_lift,(ABS($B39-I$33))/v_lift+v_lift/a_lift,2*SQRT((ABS($B39-I$33))/a_lift)))+t_pos+t_I+IF((I$33)&lt;=0,0,IF((I$33)&gt;=v_lift^2/a_lift,(I$33)/v_lift+v_lift/a_lift,2*SQRT((I$33)/a_lift)))+t_pos+t_ch)</f>
        <v>0.124702380952381</v>
      </c>
      <c r="J39" s="20" t="n">
        <f aca="false">$C39*J$34*(t_ch+IF(($B39)&lt;=0,0,IF(($B39)&gt;=v_lift^2/a_lift,($B39)/v_lift+v_lift/a_lift,2*SQRT(($B39)/a_lift)))+t_pos+t_I+IF((ABS($B39-J$33))&lt;=0,0,IF((ABS($B39-J$33))&gt;=v_lift^2/a_lift,(ABS($B39-J$33))/v_lift+v_lift/a_lift,2*SQRT((ABS($B39-J$33))/a_lift)))+t_pos+t_I+IF((J$33)&lt;=0,0,IF((J$33)&gt;=v_lift^2/a_lift,(J$33)/v_lift+v_lift/a_lift,2*SQRT((J$33)/a_lift)))+t_pos+t_ch)</f>
        <v>0.12984126984127</v>
      </c>
      <c r="K39" s="20" t="n">
        <f aca="false">$C39*K$34*(t_ch+IF(($B39)&lt;=0,0,IF(($B39)&gt;=v_lift^2/a_lift,($B39)/v_lift+v_lift/a_lift,2*SQRT(($B39)/a_lift)))+t_pos+t_I+IF((ABS($B39-K$33))&lt;=0,0,IF((ABS($B39-K$33))&gt;=v_lift^2/a_lift,(ABS($B39-K$33))/v_lift+v_lift/a_lift,2*SQRT((ABS($B39-K$33))/a_lift)))+t_pos+t_I+IF((K$33)&lt;=0,0,IF((K$33)&gt;=v_lift^2/a_lift,(K$33)/v_lift+v_lift/a_lift,2*SQRT((K$33)/a_lift)))+t_pos+t_ch)</f>
        <v>0.134980158730159</v>
      </c>
      <c r="L39" s="20" t="n">
        <f aca="false">$C39*L$34*(t_ch+IF(($B39)&lt;=0,0,IF(($B39)&gt;=v_lift^2/a_lift,($B39)/v_lift+v_lift/a_lift,2*SQRT(($B39)/a_lift)))+t_pos+t_I+IF((ABS($B39-L$33))&lt;=0,0,IF((ABS($B39-L$33))&gt;=v_lift^2/a_lift,(ABS($B39-L$33))/v_lift+v_lift/a_lift,2*SQRT((ABS($B39-L$33))/a_lift)))+t_pos+t_I+IF((L$33)&lt;=0,0,IF((L$33)&gt;=v_lift^2/a_lift,(L$33)/v_lift+v_lift/a_lift,2*SQRT((L$33)/a_lift)))+t_pos+t_ch)</f>
        <v>0.140119047619048</v>
      </c>
      <c r="M39" s="20" t="n">
        <f aca="false">$C39*M$34*(t_ch+IF(($B39)&lt;=0,0,IF(($B39)&gt;=v_lift^2/a_lift,($B39)/v_lift+v_lift/a_lift,2*SQRT(($B39)/a_lift)))+t_pos+t_I+IF((ABS($B39-M$33))&lt;=0,0,IF((ABS($B39-M$33))&gt;=v_lift^2/a_lift,(ABS($B39-M$33))/v_lift+v_lift/a_lift,2*SQRT((ABS($B39-M$33))/a_lift)))+t_pos+t_I+IF((M$33)&lt;=0,0,IF((M$33)&gt;=v_lift^2/a_lift,(M$33)/v_lift+v_lift/a_lift,2*SQRT((M$33)/a_lift)))+t_pos+t_ch)</f>
        <v>0.145257936507937</v>
      </c>
      <c r="N39" s="20" t="n">
        <f aca="false">$C39*N$34*(t_ch+IF(($B39)&lt;=0,0,IF(($B39)&gt;=v_lift^2/a_lift,($B39)/v_lift+v_lift/a_lift,2*SQRT(($B39)/a_lift)))+t_pos+t_I+IF((ABS($B39-N$33))&lt;=0,0,IF((ABS($B39-N$33))&gt;=v_lift^2/a_lift,(ABS($B39-N$33))/v_lift+v_lift/a_lift,2*SQRT((ABS($B39-N$33))/a_lift)))+t_pos+t_I+IF((N$33)&lt;=0,0,IF((N$33)&gt;=v_lift^2/a_lift,(N$33)/v_lift+v_lift/a_lift,2*SQRT((N$33)/a_lift)))+t_pos+t_ch)</f>
        <v>0</v>
      </c>
      <c r="O39" s="20" t="n">
        <f aca="false">$C39*O$34*(t_ch+IF(($B39)&lt;=0,0,IF(($B39)&gt;=v_lift^2/a_lift,($B39)/v_lift+v_lift/a_lift,2*SQRT(($B39)/a_lift)))+t_pos+t_I+IF((ABS($B39-O$33))&lt;=0,0,IF((ABS($B39-O$33))&gt;=v_lift^2/a_lift,(ABS($B39-O$33))/v_lift+v_lift/a_lift,2*SQRT((ABS($B39-O$33))/a_lift)))+t_pos+t_I+IF((O$33)&lt;=0,0,IF((O$33)&gt;=v_lift^2/a_lift,(O$33)/v_lift+v_lift/a_lift,2*SQRT((O$33)/a_lift)))+t_pos+t_ch)</f>
        <v>0</v>
      </c>
      <c r="P39" s="20" t="n">
        <f aca="false">$C39*P$34*(t_ch+IF(($B39)&lt;=0,0,IF(($B39)&gt;=v_lift^2/a_lift,($B39)/v_lift+v_lift/a_lift,2*SQRT(($B39)/a_lift)))+t_pos+t_I+IF((ABS($B39-P$33))&lt;=0,0,IF((ABS($B39-P$33))&gt;=v_lift^2/a_lift,(ABS($B39-P$33))/v_lift+v_lift/a_lift,2*SQRT((ABS($B39-P$33))/a_lift)))+t_pos+t_I+IF((P$33)&lt;=0,0,IF((P$33)&gt;=v_lift^2/a_lift,(P$33)/v_lift+v_lift/a_lift,2*SQRT((P$33)/a_lift)))+t_pos+t_ch)</f>
        <v>0</v>
      </c>
      <c r="Q39" s="20" t="n">
        <f aca="false">$C39*Q$34*(t_ch+IF(($B39)&lt;=0,0,IF(($B39)&gt;=v_lift^2/a_lift,($B39)/v_lift+v_lift/a_lift,2*SQRT(($B39)/a_lift)))+t_pos+t_I+IF((ABS($B39-Q$33))&lt;=0,0,IF((ABS($B39-Q$33))&gt;=v_lift^2/a_lift,(ABS($B39-Q$33))/v_lift+v_lift/a_lift,2*SQRT((ABS($B39-Q$33))/a_lift)))+t_pos+t_I+IF((Q$33)&lt;=0,0,IF((Q$33)&gt;=v_lift^2/a_lift,(Q$33)/v_lift+v_lift/a_lift,2*SQRT((Q$33)/a_lift)))+t_pos+t_ch)</f>
        <v>0</v>
      </c>
      <c r="R39" s="20" t="n">
        <f aca="false">$C39*R$34*(t_ch+IF(($B39)&lt;=0,0,IF(($B39)&gt;=v_lift^2/a_lift,($B39)/v_lift+v_lift/a_lift,2*SQRT(($B39)/a_lift)))+t_pos+t_I+IF((ABS($B39-R$33))&lt;=0,0,IF((ABS($B39-R$33))&gt;=v_lift^2/a_lift,(ABS($B39-R$33))/v_lift+v_lift/a_lift,2*SQRT((ABS($B39-R$33))/a_lift)))+t_pos+t_I+IF((R$33)&lt;=0,0,IF((R$33)&gt;=v_lift^2/a_lift,(R$33)/v_lift+v_lift/a_lift,2*SQRT((R$33)/a_lift)))+t_pos+t_ch)</f>
        <v>0</v>
      </c>
      <c r="S39" s="20" t="n">
        <f aca="false">$C39*S$34*(t_ch+IF(($B39)&lt;=0,0,IF(($B39)&gt;=v_lift^2/a_lift,($B39)/v_lift+v_lift/a_lift,2*SQRT(($B39)/a_lift)))+t_pos+t_I+IF((ABS($B39-S$33))&lt;=0,0,IF((ABS($B39-S$33))&gt;=v_lift^2/a_lift,(ABS($B39-S$33))/v_lift+v_lift/a_lift,2*SQRT((ABS($B39-S$33))/a_lift)))+t_pos+t_I+IF((S$33)&lt;=0,0,IF((S$33)&gt;=v_lift^2/a_lift,(S$33)/v_lift+v_lift/a_lift,2*SQRT((S$33)/a_lift)))+t_pos+t_ch)</f>
        <v>0</v>
      </c>
      <c r="T39" s="20" t="n">
        <f aca="false">$C39*T$34*(t_ch+IF(($B39)&lt;=0,0,IF(($B39)&gt;=v_lift^2/a_lift,($B39)/v_lift+v_lift/a_lift,2*SQRT(($B39)/a_lift)))+t_pos+t_I+IF((ABS($B39-T$33))&lt;=0,0,IF((ABS($B39-T$33))&gt;=v_lift^2/a_lift,(ABS($B39-T$33))/v_lift+v_lift/a_lift,2*SQRT((ABS($B39-T$33))/a_lift)))+t_pos+t_I+IF((T$33)&lt;=0,0,IF((T$33)&gt;=v_lift^2/a_lift,(T$33)/v_lift+v_lift/a_lift,2*SQRT((T$33)/a_lift)))+t_pos+t_ch)</f>
        <v>0</v>
      </c>
      <c r="U39" s="20" t="n">
        <f aca="false">$C39*U$34*(t_ch+IF(($B39)&lt;=0,0,IF(($B39)&gt;=v_lift^2/a_lift,($B39)/v_lift+v_lift/a_lift,2*SQRT(($B39)/a_lift)))+t_pos+t_I+IF((ABS($B39-U$33))&lt;=0,0,IF((ABS($B39-U$33))&gt;=v_lift^2/a_lift,(ABS($B39-U$33))/v_lift+v_lift/a_lift,2*SQRT((ABS($B39-U$33))/a_lift)))+t_pos+t_I+IF((U$33)&lt;=0,0,IF((U$33)&gt;=v_lift^2/a_lift,(U$33)/v_lift+v_lift/a_lift,2*SQRT((U$33)/a_lift)))+t_pos+t_ch)</f>
        <v>0</v>
      </c>
      <c r="V39" s="20" t="n">
        <f aca="false">$C39*V$34*(t_ch+IF(($B39)&lt;=0,0,IF(($B39)&gt;=v_lift^2/a_lift,($B39)/v_lift+v_lift/a_lift,2*SQRT(($B39)/a_lift)))+t_pos+t_I+IF((ABS($B39-V$33))&lt;=0,0,IF((ABS($B39-V$33))&gt;=v_lift^2/a_lift,(ABS($B39-V$33))/v_lift+v_lift/a_lift,2*SQRT((ABS($B39-V$33))/a_lift)))+t_pos+t_I+IF((V$33)&lt;=0,0,IF((V$33)&gt;=v_lift^2/a_lift,(V$33)/v_lift+v_lift/a_lift,2*SQRT((V$33)/a_lift)))+t_pos+t_ch)</f>
        <v>0</v>
      </c>
      <c r="W39" s="20" t="n">
        <f aca="false">$C39*W$34*(t_ch+IF(($B39)&lt;=0,0,IF(($B39)&gt;=v_lift^2/a_lift,($B39)/v_lift+v_lift/a_lift,2*SQRT(($B39)/a_lift)))+t_pos+t_I+IF((ABS($B39-W$33))&lt;=0,0,IF((ABS($B39-W$33))&gt;=v_lift^2/a_lift,(ABS($B39-W$33))/v_lift+v_lift/a_lift,2*SQRT((ABS($B39-W$33))/a_lift)))+t_pos+t_I+IF((W$33)&lt;=0,0,IF((W$33)&gt;=v_lift^2/a_lift,(W$33)/v_lift+v_lift/a_lift,2*SQRT((W$33)/a_lift)))+t_pos+t_ch)</f>
        <v>0</v>
      </c>
    </row>
    <row r="40" customFormat="false" ht="15" hidden="false" customHeight="false" outlineLevel="0" collapsed="false">
      <c r="A40" s="7" t="n">
        <v>5</v>
      </c>
      <c r="B40" s="18" t="n">
        <f aca="false">Tiers!C8</f>
        <v>7.4</v>
      </c>
      <c r="C40" s="19" t="n">
        <f aca="false">Tiers!J8</f>
        <v>0.0833333333333333</v>
      </c>
      <c r="D40" s="20" t="n">
        <f aca="false">$C40*D$34*(t_ch+IF(($B40)&lt;=0,0,IF(($B40)&gt;=v_lift^2/a_lift,($B40)/v_lift+v_lift/a_lift,2*SQRT(($B40)/a_lift)))+t_pos+t_I+IF((ABS($B40-D$33))&lt;=0,0,IF((ABS($B40-D$33))&gt;=v_lift^2/a_lift,(ABS($B40-D$33))/v_lift+v_lift/a_lift,2*SQRT((ABS($B40-D$33))/a_lift)))+t_pos+t_I+IF((D$33)&lt;=0,0,IF((D$33)&gt;=v_lift^2/a_lift,(D$33)/v_lift+v_lift/a_lift,2*SQRT((D$33)/a_lift)))+t_pos+t_ch)</f>
        <v>0</v>
      </c>
      <c r="E40" s="20" t="n">
        <f aca="false">$C40*E$34*(t_ch+IF(($B40)&lt;=0,0,IF(($B40)&gt;=v_lift^2/a_lift,($B40)/v_lift+v_lift/a_lift,2*SQRT(($B40)/a_lift)))+t_pos+t_I+IF((ABS($B40-E$33))&lt;=0,0,IF((ABS($B40-E$33))&gt;=v_lift^2/a_lift,(ABS($B40-E$33))/v_lift+v_lift/a_lift,2*SQRT((ABS($B40-E$33))/a_lift)))+t_pos+t_I+IF((E$33)&lt;=0,0,IF((E$33)&gt;=v_lift^2/a_lift,(E$33)/v_lift+v_lift/a_lift,2*SQRT((E$33)/a_lift)))+t_pos+t_ch)</f>
        <v>4.78253968253968</v>
      </c>
      <c r="F40" s="20" t="n">
        <f aca="false">$C40*F$34*(t_ch+IF(($B40)&lt;=0,0,IF(($B40)&gt;=v_lift^2/a_lift,($B40)/v_lift+v_lift/a_lift,2*SQRT(($B40)/a_lift)))+t_pos+t_I+IF((ABS($B40-F$33))&lt;=0,0,IF((ABS($B40-F$33))&gt;=v_lift^2/a_lift,(ABS($B40-F$33))/v_lift+v_lift/a_lift,2*SQRT((ABS($B40-F$33))/a_lift)))+t_pos+t_I+IF((F$33)&lt;=0,0,IF((F$33)&gt;=v_lift^2/a_lift,(F$33)/v_lift+v_lift/a_lift,2*SQRT((F$33)/a_lift)))+t_pos+t_ch)</f>
        <v>0.59781746031746</v>
      </c>
      <c r="G40" s="20" t="n">
        <f aca="false">$C40*G$34*(t_ch+IF(($B40)&lt;=0,0,IF(($B40)&gt;=v_lift^2/a_lift,($B40)/v_lift+v_lift/a_lift,2*SQRT(($B40)/a_lift)))+t_pos+t_I+IF((ABS($B40-G$33))&lt;=0,0,IF((ABS($B40-G$33))&gt;=v_lift^2/a_lift,(ABS($B40-G$33))/v_lift+v_lift/a_lift,2*SQRT((ABS($B40-G$33))/a_lift)))+t_pos+t_I+IF((G$33)&lt;=0,0,IF((G$33)&gt;=v_lift^2/a_lift,(G$33)/v_lift+v_lift/a_lift,2*SQRT((G$33)/a_lift)))+t_pos+t_ch)</f>
        <v>0.59781746031746</v>
      </c>
      <c r="H40" s="20" t="n">
        <f aca="false">$C40*H$34*(t_ch+IF(($B40)&lt;=0,0,IF(($B40)&gt;=v_lift^2/a_lift,($B40)/v_lift+v_lift/a_lift,2*SQRT(($B40)/a_lift)))+t_pos+t_I+IF((ABS($B40-H$33))&lt;=0,0,IF((ABS($B40-H$33))&gt;=v_lift^2/a_lift,(ABS($B40-H$33))/v_lift+v_lift/a_lift,2*SQRT((ABS($B40-H$33))/a_lift)))+t_pos+t_I+IF((H$33)&lt;=0,0,IF((H$33)&gt;=v_lift^2/a_lift,(H$33)/v_lift+v_lift/a_lift,2*SQRT((H$33)/a_lift)))+t_pos+t_ch)</f>
        <v>0.587896825396825</v>
      </c>
      <c r="I40" s="20" t="n">
        <f aca="false">$C40*I$34*(t_ch+IF(($B40)&lt;=0,0,IF(($B40)&gt;=v_lift^2/a_lift,($B40)/v_lift+v_lift/a_lift,2*SQRT(($B40)/a_lift)))+t_pos+t_I+IF((ABS($B40-I$33))&lt;=0,0,IF((ABS($B40-I$33))&gt;=v_lift^2/a_lift,(ABS($B40-I$33))/v_lift+v_lift/a_lift,2*SQRT((ABS($B40-I$33))/a_lift)))+t_pos+t_I+IF((I$33)&lt;=0,0,IF((I$33)&gt;=v_lift^2/a_lift,(I$33)/v_lift+v_lift/a_lift,2*SQRT((I$33)/a_lift)))+t_pos+t_ch)</f>
        <v>0.124702380952381</v>
      </c>
      <c r="J40" s="20" t="n">
        <f aca="false">$C40*J$34*(t_ch+IF(($B40)&lt;=0,0,IF(($B40)&gt;=v_lift^2/a_lift,($B40)/v_lift+v_lift/a_lift,2*SQRT(($B40)/a_lift)))+t_pos+t_I+IF((ABS($B40-J$33))&lt;=0,0,IF((ABS($B40-J$33))&gt;=v_lift^2/a_lift,(ABS($B40-J$33))/v_lift+v_lift/a_lift,2*SQRT((ABS($B40-J$33))/a_lift)))+t_pos+t_I+IF((J$33)&lt;=0,0,IF((J$33)&gt;=v_lift^2/a_lift,(J$33)/v_lift+v_lift/a_lift,2*SQRT((J$33)/a_lift)))+t_pos+t_ch)</f>
        <v>0.12984126984127</v>
      </c>
      <c r="K40" s="20" t="n">
        <f aca="false">$C40*K$34*(t_ch+IF(($B40)&lt;=0,0,IF(($B40)&gt;=v_lift^2/a_lift,($B40)/v_lift+v_lift/a_lift,2*SQRT(($B40)/a_lift)))+t_pos+t_I+IF((ABS($B40-K$33))&lt;=0,0,IF((ABS($B40-K$33))&gt;=v_lift^2/a_lift,(ABS($B40-K$33))/v_lift+v_lift/a_lift,2*SQRT((ABS($B40-K$33))/a_lift)))+t_pos+t_I+IF((K$33)&lt;=0,0,IF((K$33)&gt;=v_lift^2/a_lift,(K$33)/v_lift+v_lift/a_lift,2*SQRT((K$33)/a_lift)))+t_pos+t_ch)</f>
        <v>0.134980158730159</v>
      </c>
      <c r="L40" s="20" t="n">
        <f aca="false">$C40*L$34*(t_ch+IF(($B40)&lt;=0,0,IF(($B40)&gt;=v_lift^2/a_lift,($B40)/v_lift+v_lift/a_lift,2*SQRT(($B40)/a_lift)))+t_pos+t_I+IF((ABS($B40-L$33))&lt;=0,0,IF((ABS($B40-L$33))&gt;=v_lift^2/a_lift,(ABS($B40-L$33))/v_lift+v_lift/a_lift,2*SQRT((ABS($B40-L$33))/a_lift)))+t_pos+t_I+IF((L$33)&lt;=0,0,IF((L$33)&gt;=v_lift^2/a_lift,(L$33)/v_lift+v_lift/a_lift,2*SQRT((L$33)/a_lift)))+t_pos+t_ch)</f>
        <v>0.140119047619048</v>
      </c>
      <c r="M40" s="20" t="n">
        <f aca="false">$C40*M$34*(t_ch+IF(($B40)&lt;=0,0,IF(($B40)&gt;=v_lift^2/a_lift,($B40)/v_lift+v_lift/a_lift,2*SQRT(($B40)/a_lift)))+t_pos+t_I+IF((ABS($B40-M$33))&lt;=0,0,IF((ABS($B40-M$33))&gt;=v_lift^2/a_lift,(ABS($B40-M$33))/v_lift+v_lift/a_lift,2*SQRT((ABS($B40-M$33))/a_lift)))+t_pos+t_I+IF((M$33)&lt;=0,0,IF((M$33)&gt;=v_lift^2/a_lift,(M$33)/v_lift+v_lift/a_lift,2*SQRT((M$33)/a_lift)))+t_pos+t_ch)</f>
        <v>0.145257936507937</v>
      </c>
      <c r="N40" s="20" t="n">
        <f aca="false">$C40*N$34*(t_ch+IF(($B40)&lt;=0,0,IF(($B40)&gt;=v_lift^2/a_lift,($B40)/v_lift+v_lift/a_lift,2*SQRT(($B40)/a_lift)))+t_pos+t_I+IF((ABS($B40-N$33))&lt;=0,0,IF((ABS($B40-N$33))&gt;=v_lift^2/a_lift,(ABS($B40-N$33))/v_lift+v_lift/a_lift,2*SQRT((ABS($B40-N$33))/a_lift)))+t_pos+t_I+IF((N$33)&lt;=0,0,IF((N$33)&gt;=v_lift^2/a_lift,(N$33)/v_lift+v_lift/a_lift,2*SQRT((N$33)/a_lift)))+t_pos+t_ch)</f>
        <v>0</v>
      </c>
      <c r="O40" s="20" t="n">
        <f aca="false">$C40*O$34*(t_ch+IF(($B40)&lt;=0,0,IF(($B40)&gt;=v_lift^2/a_lift,($B40)/v_lift+v_lift/a_lift,2*SQRT(($B40)/a_lift)))+t_pos+t_I+IF((ABS($B40-O$33))&lt;=0,0,IF((ABS($B40-O$33))&gt;=v_lift^2/a_lift,(ABS($B40-O$33))/v_lift+v_lift/a_lift,2*SQRT((ABS($B40-O$33))/a_lift)))+t_pos+t_I+IF((O$33)&lt;=0,0,IF((O$33)&gt;=v_lift^2/a_lift,(O$33)/v_lift+v_lift/a_lift,2*SQRT((O$33)/a_lift)))+t_pos+t_ch)</f>
        <v>0</v>
      </c>
      <c r="P40" s="20" t="n">
        <f aca="false">$C40*P$34*(t_ch+IF(($B40)&lt;=0,0,IF(($B40)&gt;=v_lift^2/a_lift,($B40)/v_lift+v_lift/a_lift,2*SQRT(($B40)/a_lift)))+t_pos+t_I+IF((ABS($B40-P$33))&lt;=0,0,IF((ABS($B40-P$33))&gt;=v_lift^2/a_lift,(ABS($B40-P$33))/v_lift+v_lift/a_lift,2*SQRT((ABS($B40-P$33))/a_lift)))+t_pos+t_I+IF((P$33)&lt;=0,0,IF((P$33)&gt;=v_lift^2/a_lift,(P$33)/v_lift+v_lift/a_lift,2*SQRT((P$33)/a_lift)))+t_pos+t_ch)</f>
        <v>0</v>
      </c>
      <c r="Q40" s="20" t="n">
        <f aca="false">$C40*Q$34*(t_ch+IF(($B40)&lt;=0,0,IF(($B40)&gt;=v_lift^2/a_lift,($B40)/v_lift+v_lift/a_lift,2*SQRT(($B40)/a_lift)))+t_pos+t_I+IF((ABS($B40-Q$33))&lt;=0,0,IF((ABS($B40-Q$33))&gt;=v_lift^2/a_lift,(ABS($B40-Q$33))/v_lift+v_lift/a_lift,2*SQRT((ABS($B40-Q$33))/a_lift)))+t_pos+t_I+IF((Q$33)&lt;=0,0,IF((Q$33)&gt;=v_lift^2/a_lift,(Q$33)/v_lift+v_lift/a_lift,2*SQRT((Q$33)/a_lift)))+t_pos+t_ch)</f>
        <v>0</v>
      </c>
      <c r="R40" s="20" t="n">
        <f aca="false">$C40*R$34*(t_ch+IF(($B40)&lt;=0,0,IF(($B40)&gt;=v_lift^2/a_lift,($B40)/v_lift+v_lift/a_lift,2*SQRT(($B40)/a_lift)))+t_pos+t_I+IF((ABS($B40-R$33))&lt;=0,0,IF((ABS($B40-R$33))&gt;=v_lift^2/a_lift,(ABS($B40-R$33))/v_lift+v_lift/a_lift,2*SQRT((ABS($B40-R$33))/a_lift)))+t_pos+t_I+IF((R$33)&lt;=0,0,IF((R$33)&gt;=v_lift^2/a_lift,(R$33)/v_lift+v_lift/a_lift,2*SQRT((R$33)/a_lift)))+t_pos+t_ch)</f>
        <v>0</v>
      </c>
      <c r="S40" s="20" t="n">
        <f aca="false">$C40*S$34*(t_ch+IF(($B40)&lt;=0,0,IF(($B40)&gt;=v_lift^2/a_lift,($B40)/v_lift+v_lift/a_lift,2*SQRT(($B40)/a_lift)))+t_pos+t_I+IF((ABS($B40-S$33))&lt;=0,0,IF((ABS($B40-S$33))&gt;=v_lift^2/a_lift,(ABS($B40-S$33))/v_lift+v_lift/a_lift,2*SQRT((ABS($B40-S$33))/a_lift)))+t_pos+t_I+IF((S$33)&lt;=0,0,IF((S$33)&gt;=v_lift^2/a_lift,(S$33)/v_lift+v_lift/a_lift,2*SQRT((S$33)/a_lift)))+t_pos+t_ch)</f>
        <v>0</v>
      </c>
      <c r="T40" s="20" t="n">
        <f aca="false">$C40*T$34*(t_ch+IF(($B40)&lt;=0,0,IF(($B40)&gt;=v_lift^2/a_lift,($B40)/v_lift+v_lift/a_lift,2*SQRT(($B40)/a_lift)))+t_pos+t_I+IF((ABS($B40-T$33))&lt;=0,0,IF((ABS($B40-T$33))&gt;=v_lift^2/a_lift,(ABS($B40-T$33))/v_lift+v_lift/a_lift,2*SQRT((ABS($B40-T$33))/a_lift)))+t_pos+t_I+IF((T$33)&lt;=0,0,IF((T$33)&gt;=v_lift^2/a_lift,(T$33)/v_lift+v_lift/a_lift,2*SQRT((T$33)/a_lift)))+t_pos+t_ch)</f>
        <v>0</v>
      </c>
      <c r="U40" s="20" t="n">
        <f aca="false">$C40*U$34*(t_ch+IF(($B40)&lt;=0,0,IF(($B40)&gt;=v_lift^2/a_lift,($B40)/v_lift+v_lift/a_lift,2*SQRT(($B40)/a_lift)))+t_pos+t_I+IF((ABS($B40-U$33))&lt;=0,0,IF((ABS($B40-U$33))&gt;=v_lift^2/a_lift,(ABS($B40-U$33))/v_lift+v_lift/a_lift,2*SQRT((ABS($B40-U$33))/a_lift)))+t_pos+t_I+IF((U$33)&lt;=0,0,IF((U$33)&gt;=v_lift^2/a_lift,(U$33)/v_lift+v_lift/a_lift,2*SQRT((U$33)/a_lift)))+t_pos+t_ch)</f>
        <v>0</v>
      </c>
      <c r="V40" s="20" t="n">
        <f aca="false">$C40*V$34*(t_ch+IF(($B40)&lt;=0,0,IF(($B40)&gt;=v_lift^2/a_lift,($B40)/v_lift+v_lift/a_lift,2*SQRT(($B40)/a_lift)))+t_pos+t_I+IF((ABS($B40-V$33))&lt;=0,0,IF((ABS($B40-V$33))&gt;=v_lift^2/a_lift,(ABS($B40-V$33))/v_lift+v_lift/a_lift,2*SQRT((ABS($B40-V$33))/a_lift)))+t_pos+t_I+IF((V$33)&lt;=0,0,IF((V$33)&gt;=v_lift^2/a_lift,(V$33)/v_lift+v_lift/a_lift,2*SQRT((V$33)/a_lift)))+t_pos+t_ch)</f>
        <v>0</v>
      </c>
      <c r="W40" s="20" t="n">
        <f aca="false">$C40*W$34*(t_ch+IF(($B40)&lt;=0,0,IF(($B40)&gt;=v_lift^2/a_lift,($B40)/v_lift+v_lift/a_lift,2*SQRT(($B40)/a_lift)))+t_pos+t_I+IF((ABS($B40-W$33))&lt;=0,0,IF((ABS($B40-W$33))&gt;=v_lift^2/a_lift,(ABS($B40-W$33))/v_lift+v_lift/a_lift,2*SQRT((ABS($B40-W$33))/a_lift)))+t_pos+t_I+IF((W$33)&lt;=0,0,IF((W$33)&gt;=v_lift^2/a_lift,(W$33)/v_lift+v_lift/a_lift,2*SQRT((W$33)/a_lift)))+t_pos+t_ch)</f>
        <v>0</v>
      </c>
    </row>
    <row r="41" customFormat="false" ht="15" hidden="false" customHeight="false" outlineLevel="0" collapsed="false">
      <c r="A41" s="7" t="n">
        <v>6</v>
      </c>
      <c r="B41" s="18" t="n">
        <f aca="false">Tiers!C9</f>
        <v>9.25</v>
      </c>
      <c r="C41" s="19" t="n">
        <f aca="false">Tiers!J9</f>
        <v>0.0166666666666667</v>
      </c>
      <c r="D41" s="20" t="n">
        <f aca="false">$C41*D$34*(t_ch+IF(($B41)&lt;=0,0,IF(($B41)&gt;=v_lift^2/a_lift,($B41)/v_lift+v_lift/a_lift,2*SQRT(($B41)/a_lift)))+t_pos+t_I+IF((ABS($B41-D$33))&lt;=0,0,IF((ABS($B41-D$33))&gt;=v_lift^2/a_lift,(ABS($B41-D$33))/v_lift+v_lift/a_lift,2*SQRT((ABS($B41-D$33))/a_lift)))+t_pos+t_I+IF((D$33)&lt;=0,0,IF((D$33)&gt;=v_lift^2/a_lift,(D$33)/v_lift+v_lift/a_lift,2*SQRT((D$33)/a_lift)))+t_pos+t_ch)</f>
        <v>0</v>
      </c>
      <c r="E41" s="20" t="n">
        <f aca="false">$C41*E$34*(t_ch+IF(($B41)&lt;=0,0,IF(($B41)&gt;=v_lift^2/a_lift,($B41)/v_lift+v_lift/a_lift,2*SQRT(($B41)/a_lift)))+t_pos+t_I+IF((ABS($B41-E$33))&lt;=0,0,IF((ABS($B41-E$33))&gt;=v_lift^2/a_lift,(ABS($B41-E$33))/v_lift+v_lift/a_lift,2*SQRT((ABS($B41-E$33))/a_lift)))+t_pos+t_I+IF((E$33)&lt;=0,0,IF((E$33)&gt;=v_lift^2/a_lift,(E$33)/v_lift+v_lift/a_lift,2*SQRT((E$33)/a_lift)))+t_pos+t_ch)</f>
        <v>0.997619047619048</v>
      </c>
      <c r="F41" s="20" t="n">
        <f aca="false">$C41*F$34*(t_ch+IF(($B41)&lt;=0,0,IF(($B41)&gt;=v_lift^2/a_lift,($B41)/v_lift+v_lift/a_lift,2*SQRT(($B41)/a_lift)))+t_pos+t_I+IF((ABS($B41-F$33))&lt;=0,0,IF((ABS($B41-F$33))&gt;=v_lift^2/a_lift,(ABS($B41-F$33))/v_lift+v_lift/a_lift,2*SQRT((ABS($B41-F$33))/a_lift)))+t_pos+t_I+IF((F$33)&lt;=0,0,IF((F$33)&gt;=v_lift^2/a_lift,(F$33)/v_lift+v_lift/a_lift,2*SQRT((F$33)/a_lift)))+t_pos+t_ch)</f>
        <v>0.124702380952381</v>
      </c>
      <c r="G41" s="20" t="n">
        <f aca="false">$C41*G$34*(t_ch+IF(($B41)&lt;=0,0,IF(($B41)&gt;=v_lift^2/a_lift,($B41)/v_lift+v_lift/a_lift,2*SQRT(($B41)/a_lift)))+t_pos+t_I+IF((ABS($B41-G$33))&lt;=0,0,IF((ABS($B41-G$33))&gt;=v_lift^2/a_lift,(ABS($B41-G$33))/v_lift+v_lift/a_lift,2*SQRT((ABS($B41-G$33))/a_lift)))+t_pos+t_I+IF((G$33)&lt;=0,0,IF((G$33)&gt;=v_lift^2/a_lift,(G$33)/v_lift+v_lift/a_lift,2*SQRT((G$33)/a_lift)))+t_pos+t_ch)</f>
        <v>0.124702380952381</v>
      </c>
      <c r="H41" s="20" t="n">
        <f aca="false">$C41*H$34*(t_ch+IF(($B41)&lt;=0,0,IF(($B41)&gt;=v_lift^2/a_lift,($B41)/v_lift+v_lift/a_lift,2*SQRT(($B41)/a_lift)))+t_pos+t_I+IF((ABS($B41-H$33))&lt;=0,0,IF((ABS($B41-H$33))&gt;=v_lift^2/a_lift,(ABS($B41-H$33))/v_lift+v_lift/a_lift,2*SQRT((ABS($B41-H$33))/a_lift)))+t_pos+t_I+IF((H$33)&lt;=0,0,IF((H$33)&gt;=v_lift^2/a_lift,(H$33)/v_lift+v_lift/a_lift,2*SQRT((H$33)/a_lift)))+t_pos+t_ch)</f>
        <v>0.124702380952381</v>
      </c>
      <c r="I41" s="20" t="n">
        <f aca="false">$C41*I$34*(t_ch+IF(($B41)&lt;=0,0,IF(($B41)&gt;=v_lift^2/a_lift,($B41)/v_lift+v_lift/a_lift,2*SQRT(($B41)/a_lift)))+t_pos+t_I+IF((ABS($B41-I$33))&lt;=0,0,IF((ABS($B41-I$33))&gt;=v_lift^2/a_lift,(ABS($B41-I$33))/v_lift+v_lift/a_lift,2*SQRT((ABS($B41-I$33))/a_lift)))+t_pos+t_I+IF((I$33)&lt;=0,0,IF((I$33)&gt;=v_lift^2/a_lift,(I$33)/v_lift+v_lift/a_lift,2*SQRT((I$33)/a_lift)))+t_pos+t_ch)</f>
        <v>0.0245436507936508</v>
      </c>
      <c r="J41" s="20" t="n">
        <f aca="false">$C41*J$34*(t_ch+IF(($B41)&lt;=0,0,IF(($B41)&gt;=v_lift^2/a_lift,($B41)/v_lift+v_lift/a_lift,2*SQRT(($B41)/a_lift)))+t_pos+t_I+IF((ABS($B41-J$33))&lt;=0,0,IF((ABS($B41-J$33))&gt;=v_lift^2/a_lift,(ABS($B41-J$33))/v_lift+v_lift/a_lift,2*SQRT((ABS($B41-J$33))/a_lift)))+t_pos+t_I+IF((J$33)&lt;=0,0,IF((J$33)&gt;=v_lift^2/a_lift,(J$33)/v_lift+v_lift/a_lift,2*SQRT((J$33)/a_lift)))+t_pos+t_ch)</f>
        <v>0.025968253968254</v>
      </c>
      <c r="K41" s="20" t="n">
        <f aca="false">$C41*K$34*(t_ch+IF(($B41)&lt;=0,0,IF(($B41)&gt;=v_lift^2/a_lift,($B41)/v_lift+v_lift/a_lift,2*SQRT(($B41)/a_lift)))+t_pos+t_I+IF((ABS($B41-K$33))&lt;=0,0,IF((ABS($B41-K$33))&gt;=v_lift^2/a_lift,(ABS($B41-K$33))/v_lift+v_lift/a_lift,2*SQRT((ABS($B41-K$33))/a_lift)))+t_pos+t_I+IF((K$33)&lt;=0,0,IF((K$33)&gt;=v_lift^2/a_lift,(K$33)/v_lift+v_lift/a_lift,2*SQRT((K$33)/a_lift)))+t_pos+t_ch)</f>
        <v>0.0269960317460318</v>
      </c>
      <c r="L41" s="20" t="n">
        <f aca="false">$C41*L$34*(t_ch+IF(($B41)&lt;=0,0,IF(($B41)&gt;=v_lift^2/a_lift,($B41)/v_lift+v_lift/a_lift,2*SQRT(($B41)/a_lift)))+t_pos+t_I+IF((ABS($B41-L$33))&lt;=0,0,IF((ABS($B41-L$33))&gt;=v_lift^2/a_lift,(ABS($B41-L$33))/v_lift+v_lift/a_lift,2*SQRT((ABS($B41-L$33))/a_lift)))+t_pos+t_I+IF((L$33)&lt;=0,0,IF((L$33)&gt;=v_lift^2/a_lift,(L$33)/v_lift+v_lift/a_lift,2*SQRT((L$33)/a_lift)))+t_pos+t_ch)</f>
        <v>0.0280238095238095</v>
      </c>
      <c r="M41" s="20" t="n">
        <f aca="false">$C41*M$34*(t_ch+IF(($B41)&lt;=0,0,IF(($B41)&gt;=v_lift^2/a_lift,($B41)/v_lift+v_lift/a_lift,2*SQRT(($B41)/a_lift)))+t_pos+t_I+IF((ABS($B41-M$33))&lt;=0,0,IF((ABS($B41-M$33))&gt;=v_lift^2/a_lift,(ABS($B41-M$33))/v_lift+v_lift/a_lift,2*SQRT((ABS($B41-M$33))/a_lift)))+t_pos+t_I+IF((M$33)&lt;=0,0,IF((M$33)&gt;=v_lift^2/a_lift,(M$33)/v_lift+v_lift/a_lift,2*SQRT((M$33)/a_lift)))+t_pos+t_ch)</f>
        <v>0.0290515873015873</v>
      </c>
      <c r="N41" s="20" t="n">
        <f aca="false">$C41*N$34*(t_ch+IF(($B41)&lt;=0,0,IF(($B41)&gt;=v_lift^2/a_lift,($B41)/v_lift+v_lift/a_lift,2*SQRT(($B41)/a_lift)))+t_pos+t_I+IF((ABS($B41-N$33))&lt;=0,0,IF((ABS($B41-N$33))&gt;=v_lift^2/a_lift,(ABS($B41-N$33))/v_lift+v_lift/a_lift,2*SQRT((ABS($B41-N$33))/a_lift)))+t_pos+t_I+IF((N$33)&lt;=0,0,IF((N$33)&gt;=v_lift^2/a_lift,(N$33)/v_lift+v_lift/a_lift,2*SQRT((N$33)/a_lift)))+t_pos+t_ch)</f>
        <v>0</v>
      </c>
      <c r="O41" s="20" t="n">
        <f aca="false">$C41*O$34*(t_ch+IF(($B41)&lt;=0,0,IF(($B41)&gt;=v_lift^2/a_lift,($B41)/v_lift+v_lift/a_lift,2*SQRT(($B41)/a_lift)))+t_pos+t_I+IF((ABS($B41-O$33))&lt;=0,0,IF((ABS($B41-O$33))&gt;=v_lift^2/a_lift,(ABS($B41-O$33))/v_lift+v_lift/a_lift,2*SQRT((ABS($B41-O$33))/a_lift)))+t_pos+t_I+IF((O$33)&lt;=0,0,IF((O$33)&gt;=v_lift^2/a_lift,(O$33)/v_lift+v_lift/a_lift,2*SQRT((O$33)/a_lift)))+t_pos+t_ch)</f>
        <v>0</v>
      </c>
      <c r="P41" s="20" t="n">
        <f aca="false">$C41*P$34*(t_ch+IF(($B41)&lt;=0,0,IF(($B41)&gt;=v_lift^2/a_lift,($B41)/v_lift+v_lift/a_lift,2*SQRT(($B41)/a_lift)))+t_pos+t_I+IF((ABS($B41-P$33))&lt;=0,0,IF((ABS($B41-P$33))&gt;=v_lift^2/a_lift,(ABS($B41-P$33))/v_lift+v_lift/a_lift,2*SQRT((ABS($B41-P$33))/a_lift)))+t_pos+t_I+IF((P$33)&lt;=0,0,IF((P$33)&gt;=v_lift^2/a_lift,(P$33)/v_lift+v_lift/a_lift,2*SQRT((P$33)/a_lift)))+t_pos+t_ch)</f>
        <v>0</v>
      </c>
      <c r="Q41" s="20" t="n">
        <f aca="false">$C41*Q$34*(t_ch+IF(($B41)&lt;=0,0,IF(($B41)&gt;=v_lift^2/a_lift,($B41)/v_lift+v_lift/a_lift,2*SQRT(($B41)/a_lift)))+t_pos+t_I+IF((ABS($B41-Q$33))&lt;=0,0,IF((ABS($B41-Q$33))&gt;=v_lift^2/a_lift,(ABS($B41-Q$33))/v_lift+v_lift/a_lift,2*SQRT((ABS($B41-Q$33))/a_lift)))+t_pos+t_I+IF((Q$33)&lt;=0,0,IF((Q$33)&gt;=v_lift^2/a_lift,(Q$33)/v_lift+v_lift/a_lift,2*SQRT((Q$33)/a_lift)))+t_pos+t_ch)</f>
        <v>0</v>
      </c>
      <c r="R41" s="20" t="n">
        <f aca="false">$C41*R$34*(t_ch+IF(($B41)&lt;=0,0,IF(($B41)&gt;=v_lift^2/a_lift,($B41)/v_lift+v_lift/a_lift,2*SQRT(($B41)/a_lift)))+t_pos+t_I+IF((ABS($B41-R$33))&lt;=0,0,IF((ABS($B41-R$33))&gt;=v_lift^2/a_lift,(ABS($B41-R$33))/v_lift+v_lift/a_lift,2*SQRT((ABS($B41-R$33))/a_lift)))+t_pos+t_I+IF((R$33)&lt;=0,0,IF((R$33)&gt;=v_lift^2/a_lift,(R$33)/v_lift+v_lift/a_lift,2*SQRT((R$33)/a_lift)))+t_pos+t_ch)</f>
        <v>0</v>
      </c>
      <c r="S41" s="20" t="n">
        <f aca="false">$C41*S$34*(t_ch+IF(($B41)&lt;=0,0,IF(($B41)&gt;=v_lift^2/a_lift,($B41)/v_lift+v_lift/a_lift,2*SQRT(($B41)/a_lift)))+t_pos+t_I+IF((ABS($B41-S$33))&lt;=0,0,IF((ABS($B41-S$33))&gt;=v_lift^2/a_lift,(ABS($B41-S$33))/v_lift+v_lift/a_lift,2*SQRT((ABS($B41-S$33))/a_lift)))+t_pos+t_I+IF((S$33)&lt;=0,0,IF((S$33)&gt;=v_lift^2/a_lift,(S$33)/v_lift+v_lift/a_lift,2*SQRT((S$33)/a_lift)))+t_pos+t_ch)</f>
        <v>0</v>
      </c>
      <c r="T41" s="20" t="n">
        <f aca="false">$C41*T$34*(t_ch+IF(($B41)&lt;=0,0,IF(($B41)&gt;=v_lift^2/a_lift,($B41)/v_lift+v_lift/a_lift,2*SQRT(($B41)/a_lift)))+t_pos+t_I+IF((ABS($B41-T$33))&lt;=0,0,IF((ABS($B41-T$33))&gt;=v_lift^2/a_lift,(ABS($B41-T$33))/v_lift+v_lift/a_lift,2*SQRT((ABS($B41-T$33))/a_lift)))+t_pos+t_I+IF((T$33)&lt;=0,0,IF((T$33)&gt;=v_lift^2/a_lift,(T$33)/v_lift+v_lift/a_lift,2*SQRT((T$33)/a_lift)))+t_pos+t_ch)</f>
        <v>0</v>
      </c>
      <c r="U41" s="20" t="n">
        <f aca="false">$C41*U$34*(t_ch+IF(($B41)&lt;=0,0,IF(($B41)&gt;=v_lift^2/a_lift,($B41)/v_lift+v_lift/a_lift,2*SQRT(($B41)/a_lift)))+t_pos+t_I+IF((ABS($B41-U$33))&lt;=0,0,IF((ABS($B41-U$33))&gt;=v_lift^2/a_lift,(ABS($B41-U$33))/v_lift+v_lift/a_lift,2*SQRT((ABS($B41-U$33))/a_lift)))+t_pos+t_I+IF((U$33)&lt;=0,0,IF((U$33)&gt;=v_lift^2/a_lift,(U$33)/v_lift+v_lift/a_lift,2*SQRT((U$33)/a_lift)))+t_pos+t_ch)</f>
        <v>0</v>
      </c>
      <c r="V41" s="20" t="n">
        <f aca="false">$C41*V$34*(t_ch+IF(($B41)&lt;=0,0,IF(($B41)&gt;=v_lift^2/a_lift,($B41)/v_lift+v_lift/a_lift,2*SQRT(($B41)/a_lift)))+t_pos+t_I+IF((ABS($B41-V$33))&lt;=0,0,IF((ABS($B41-V$33))&gt;=v_lift^2/a_lift,(ABS($B41-V$33))/v_lift+v_lift/a_lift,2*SQRT((ABS($B41-V$33))/a_lift)))+t_pos+t_I+IF((V$33)&lt;=0,0,IF((V$33)&gt;=v_lift^2/a_lift,(V$33)/v_lift+v_lift/a_lift,2*SQRT((V$33)/a_lift)))+t_pos+t_ch)</f>
        <v>0</v>
      </c>
      <c r="W41" s="20" t="n">
        <f aca="false">$C41*W$34*(t_ch+IF(($B41)&lt;=0,0,IF(($B41)&gt;=v_lift^2/a_lift,($B41)/v_lift+v_lift/a_lift,2*SQRT(($B41)/a_lift)))+t_pos+t_I+IF((ABS($B41-W$33))&lt;=0,0,IF((ABS($B41-W$33))&gt;=v_lift^2/a_lift,(ABS($B41-W$33))/v_lift+v_lift/a_lift,2*SQRT((ABS($B41-W$33))/a_lift)))+t_pos+t_I+IF((W$33)&lt;=0,0,IF((W$33)&gt;=v_lift^2/a_lift,(W$33)/v_lift+v_lift/a_lift,2*SQRT((W$33)/a_lift)))+t_pos+t_ch)</f>
        <v>0</v>
      </c>
    </row>
    <row r="42" customFormat="false" ht="15" hidden="false" customHeight="false" outlineLevel="0" collapsed="false">
      <c r="A42" s="7" t="n">
        <v>7</v>
      </c>
      <c r="B42" s="18" t="n">
        <f aca="false">Tiers!C10</f>
        <v>11.1</v>
      </c>
      <c r="C42" s="19" t="n">
        <f aca="false">Tiers!J10</f>
        <v>0.0166666666666667</v>
      </c>
      <c r="D42" s="20" t="n">
        <f aca="false">$C42*D$34*(t_ch+IF(($B42)&lt;=0,0,IF(($B42)&gt;=v_lift^2/a_lift,($B42)/v_lift+v_lift/a_lift,2*SQRT(($B42)/a_lift)))+t_pos+t_I+IF((ABS($B42-D$33))&lt;=0,0,IF((ABS($B42-D$33))&gt;=v_lift^2/a_lift,(ABS($B42-D$33))/v_lift+v_lift/a_lift,2*SQRT((ABS($B42-D$33))/a_lift)))+t_pos+t_I+IF((D$33)&lt;=0,0,IF((D$33)&gt;=v_lift^2/a_lift,(D$33)/v_lift+v_lift/a_lift,2*SQRT((D$33)/a_lift)))+t_pos+t_ch)</f>
        <v>0</v>
      </c>
      <c r="E42" s="20" t="n">
        <f aca="false">$C42*E$34*(t_ch+IF(($B42)&lt;=0,0,IF(($B42)&gt;=v_lift^2/a_lift,($B42)/v_lift+v_lift/a_lift,2*SQRT(($B42)/a_lift)))+t_pos+t_I+IF((ABS($B42-E$33))&lt;=0,0,IF((ABS($B42-E$33))&gt;=v_lift^2/a_lift,(ABS($B42-E$33))/v_lift+v_lift/a_lift,2*SQRT((ABS($B42-E$33))/a_lift)))+t_pos+t_I+IF((E$33)&lt;=0,0,IF((E$33)&gt;=v_lift^2/a_lift,(E$33)/v_lift+v_lift/a_lift,2*SQRT((E$33)/a_lift)))+t_pos+t_ch)</f>
        <v>1.03873015873016</v>
      </c>
      <c r="F42" s="20" t="n">
        <f aca="false">$C42*F$34*(t_ch+IF(($B42)&lt;=0,0,IF(($B42)&gt;=v_lift^2/a_lift,($B42)/v_lift+v_lift/a_lift,2*SQRT(($B42)/a_lift)))+t_pos+t_I+IF((ABS($B42-F$33))&lt;=0,0,IF((ABS($B42-F$33))&gt;=v_lift^2/a_lift,(ABS($B42-F$33))/v_lift+v_lift/a_lift,2*SQRT((ABS($B42-F$33))/a_lift)))+t_pos+t_I+IF((F$33)&lt;=0,0,IF((F$33)&gt;=v_lift^2/a_lift,(F$33)/v_lift+v_lift/a_lift,2*SQRT((F$33)/a_lift)))+t_pos+t_ch)</f>
        <v>0.12984126984127</v>
      </c>
      <c r="G42" s="20" t="n">
        <f aca="false">$C42*G$34*(t_ch+IF(($B42)&lt;=0,0,IF(($B42)&gt;=v_lift^2/a_lift,($B42)/v_lift+v_lift/a_lift,2*SQRT(($B42)/a_lift)))+t_pos+t_I+IF((ABS($B42-G$33))&lt;=0,0,IF((ABS($B42-G$33))&gt;=v_lift^2/a_lift,(ABS($B42-G$33))/v_lift+v_lift/a_lift,2*SQRT((ABS($B42-G$33))/a_lift)))+t_pos+t_I+IF((G$33)&lt;=0,0,IF((G$33)&gt;=v_lift^2/a_lift,(G$33)/v_lift+v_lift/a_lift,2*SQRT((G$33)/a_lift)))+t_pos+t_ch)</f>
        <v>0.12984126984127</v>
      </c>
      <c r="H42" s="20" t="n">
        <f aca="false">$C42*H$34*(t_ch+IF(($B42)&lt;=0,0,IF(($B42)&gt;=v_lift^2/a_lift,($B42)/v_lift+v_lift/a_lift,2*SQRT(($B42)/a_lift)))+t_pos+t_I+IF((ABS($B42-H$33))&lt;=0,0,IF((ABS($B42-H$33))&gt;=v_lift^2/a_lift,(ABS($B42-H$33))/v_lift+v_lift/a_lift,2*SQRT((ABS($B42-H$33))/a_lift)))+t_pos+t_I+IF((H$33)&lt;=0,0,IF((H$33)&gt;=v_lift^2/a_lift,(H$33)/v_lift+v_lift/a_lift,2*SQRT((H$33)/a_lift)))+t_pos+t_ch)</f>
        <v>0.12984126984127</v>
      </c>
      <c r="I42" s="20" t="n">
        <f aca="false">$C42*I$34*(t_ch+IF(($B42)&lt;=0,0,IF(($B42)&gt;=v_lift^2/a_lift,($B42)/v_lift+v_lift/a_lift,2*SQRT(($B42)/a_lift)))+t_pos+t_I+IF((ABS($B42-I$33))&lt;=0,0,IF((ABS($B42-I$33))&gt;=v_lift^2/a_lift,(ABS($B42-I$33))/v_lift+v_lift/a_lift,2*SQRT((ABS($B42-I$33))/a_lift)))+t_pos+t_I+IF((I$33)&lt;=0,0,IF((I$33)&gt;=v_lift^2/a_lift,(I$33)/v_lift+v_lift/a_lift,2*SQRT((I$33)/a_lift)))+t_pos+t_ch)</f>
        <v>0.025968253968254</v>
      </c>
      <c r="J42" s="20" t="n">
        <f aca="false">$C42*J$34*(t_ch+IF(($B42)&lt;=0,0,IF(($B42)&gt;=v_lift^2/a_lift,($B42)/v_lift+v_lift/a_lift,2*SQRT(($B42)/a_lift)))+t_pos+t_I+IF((ABS($B42-J$33))&lt;=0,0,IF((ABS($B42-J$33))&gt;=v_lift^2/a_lift,(ABS($B42-J$33))/v_lift+v_lift/a_lift,2*SQRT((ABS($B42-J$33))/a_lift)))+t_pos+t_I+IF((J$33)&lt;=0,0,IF((J$33)&gt;=v_lift^2/a_lift,(J$33)/v_lift+v_lift/a_lift,2*SQRT((J$33)/a_lift)))+t_pos+t_ch)</f>
        <v>0.0255714285714286</v>
      </c>
      <c r="K42" s="20" t="n">
        <f aca="false">$C42*K$34*(t_ch+IF(($B42)&lt;=0,0,IF(($B42)&gt;=v_lift^2/a_lift,($B42)/v_lift+v_lift/a_lift,2*SQRT(($B42)/a_lift)))+t_pos+t_I+IF((ABS($B42-K$33))&lt;=0,0,IF((ABS($B42-K$33))&gt;=v_lift^2/a_lift,(ABS($B42-K$33))/v_lift+v_lift/a_lift,2*SQRT((ABS($B42-K$33))/a_lift)))+t_pos+t_I+IF((K$33)&lt;=0,0,IF((K$33)&gt;=v_lift^2/a_lift,(K$33)/v_lift+v_lift/a_lift,2*SQRT((K$33)/a_lift)))+t_pos+t_ch)</f>
        <v>0.0269960317460318</v>
      </c>
      <c r="L42" s="20" t="n">
        <f aca="false">$C42*L$34*(t_ch+IF(($B42)&lt;=0,0,IF(($B42)&gt;=v_lift^2/a_lift,($B42)/v_lift+v_lift/a_lift,2*SQRT(($B42)/a_lift)))+t_pos+t_I+IF((ABS($B42-L$33))&lt;=0,0,IF((ABS($B42-L$33))&gt;=v_lift^2/a_lift,(ABS($B42-L$33))/v_lift+v_lift/a_lift,2*SQRT((ABS($B42-L$33))/a_lift)))+t_pos+t_I+IF((L$33)&lt;=0,0,IF((L$33)&gt;=v_lift^2/a_lift,(L$33)/v_lift+v_lift/a_lift,2*SQRT((L$33)/a_lift)))+t_pos+t_ch)</f>
        <v>0.0280238095238095</v>
      </c>
      <c r="M42" s="20" t="n">
        <f aca="false">$C42*M$34*(t_ch+IF(($B42)&lt;=0,0,IF(($B42)&gt;=v_lift^2/a_lift,($B42)/v_lift+v_lift/a_lift,2*SQRT(($B42)/a_lift)))+t_pos+t_I+IF((ABS($B42-M$33))&lt;=0,0,IF((ABS($B42-M$33))&gt;=v_lift^2/a_lift,(ABS($B42-M$33))/v_lift+v_lift/a_lift,2*SQRT((ABS($B42-M$33))/a_lift)))+t_pos+t_I+IF((M$33)&lt;=0,0,IF((M$33)&gt;=v_lift^2/a_lift,(M$33)/v_lift+v_lift/a_lift,2*SQRT((M$33)/a_lift)))+t_pos+t_ch)</f>
        <v>0.0290515873015873</v>
      </c>
      <c r="N42" s="20" t="n">
        <f aca="false">$C42*N$34*(t_ch+IF(($B42)&lt;=0,0,IF(($B42)&gt;=v_lift^2/a_lift,($B42)/v_lift+v_lift/a_lift,2*SQRT(($B42)/a_lift)))+t_pos+t_I+IF((ABS($B42-N$33))&lt;=0,0,IF((ABS($B42-N$33))&gt;=v_lift^2/a_lift,(ABS($B42-N$33))/v_lift+v_lift/a_lift,2*SQRT((ABS($B42-N$33))/a_lift)))+t_pos+t_I+IF((N$33)&lt;=0,0,IF((N$33)&gt;=v_lift^2/a_lift,(N$33)/v_lift+v_lift/a_lift,2*SQRT((N$33)/a_lift)))+t_pos+t_ch)</f>
        <v>0</v>
      </c>
      <c r="O42" s="20" t="n">
        <f aca="false">$C42*O$34*(t_ch+IF(($B42)&lt;=0,0,IF(($B42)&gt;=v_lift^2/a_lift,($B42)/v_lift+v_lift/a_lift,2*SQRT(($B42)/a_lift)))+t_pos+t_I+IF((ABS($B42-O$33))&lt;=0,0,IF((ABS($B42-O$33))&gt;=v_lift^2/a_lift,(ABS($B42-O$33))/v_lift+v_lift/a_lift,2*SQRT((ABS($B42-O$33))/a_lift)))+t_pos+t_I+IF((O$33)&lt;=0,0,IF((O$33)&gt;=v_lift^2/a_lift,(O$33)/v_lift+v_lift/a_lift,2*SQRT((O$33)/a_lift)))+t_pos+t_ch)</f>
        <v>0</v>
      </c>
      <c r="P42" s="20" t="n">
        <f aca="false">$C42*P$34*(t_ch+IF(($B42)&lt;=0,0,IF(($B42)&gt;=v_lift^2/a_lift,($B42)/v_lift+v_lift/a_lift,2*SQRT(($B42)/a_lift)))+t_pos+t_I+IF((ABS($B42-P$33))&lt;=0,0,IF((ABS($B42-P$33))&gt;=v_lift^2/a_lift,(ABS($B42-P$33))/v_lift+v_lift/a_lift,2*SQRT((ABS($B42-P$33))/a_lift)))+t_pos+t_I+IF((P$33)&lt;=0,0,IF((P$33)&gt;=v_lift^2/a_lift,(P$33)/v_lift+v_lift/a_lift,2*SQRT((P$33)/a_lift)))+t_pos+t_ch)</f>
        <v>0</v>
      </c>
      <c r="Q42" s="20" t="n">
        <f aca="false">$C42*Q$34*(t_ch+IF(($B42)&lt;=0,0,IF(($B42)&gt;=v_lift^2/a_lift,($B42)/v_lift+v_lift/a_lift,2*SQRT(($B42)/a_lift)))+t_pos+t_I+IF((ABS($B42-Q$33))&lt;=0,0,IF((ABS($B42-Q$33))&gt;=v_lift^2/a_lift,(ABS($B42-Q$33))/v_lift+v_lift/a_lift,2*SQRT((ABS($B42-Q$33))/a_lift)))+t_pos+t_I+IF((Q$33)&lt;=0,0,IF((Q$33)&gt;=v_lift^2/a_lift,(Q$33)/v_lift+v_lift/a_lift,2*SQRT((Q$33)/a_lift)))+t_pos+t_ch)</f>
        <v>0</v>
      </c>
      <c r="R42" s="20" t="n">
        <f aca="false">$C42*R$34*(t_ch+IF(($B42)&lt;=0,0,IF(($B42)&gt;=v_lift^2/a_lift,($B42)/v_lift+v_lift/a_lift,2*SQRT(($B42)/a_lift)))+t_pos+t_I+IF((ABS($B42-R$33))&lt;=0,0,IF((ABS($B42-R$33))&gt;=v_lift^2/a_lift,(ABS($B42-R$33))/v_lift+v_lift/a_lift,2*SQRT((ABS($B42-R$33))/a_lift)))+t_pos+t_I+IF((R$33)&lt;=0,0,IF((R$33)&gt;=v_lift^2/a_lift,(R$33)/v_lift+v_lift/a_lift,2*SQRT((R$33)/a_lift)))+t_pos+t_ch)</f>
        <v>0</v>
      </c>
      <c r="S42" s="20" t="n">
        <f aca="false">$C42*S$34*(t_ch+IF(($B42)&lt;=0,0,IF(($B42)&gt;=v_lift^2/a_lift,($B42)/v_lift+v_lift/a_lift,2*SQRT(($B42)/a_lift)))+t_pos+t_I+IF((ABS($B42-S$33))&lt;=0,0,IF((ABS($B42-S$33))&gt;=v_lift^2/a_lift,(ABS($B42-S$33))/v_lift+v_lift/a_lift,2*SQRT((ABS($B42-S$33))/a_lift)))+t_pos+t_I+IF((S$33)&lt;=0,0,IF((S$33)&gt;=v_lift^2/a_lift,(S$33)/v_lift+v_lift/a_lift,2*SQRT((S$33)/a_lift)))+t_pos+t_ch)</f>
        <v>0</v>
      </c>
      <c r="T42" s="20" t="n">
        <f aca="false">$C42*T$34*(t_ch+IF(($B42)&lt;=0,0,IF(($B42)&gt;=v_lift^2/a_lift,($B42)/v_lift+v_lift/a_lift,2*SQRT(($B42)/a_lift)))+t_pos+t_I+IF((ABS($B42-T$33))&lt;=0,0,IF((ABS($B42-T$33))&gt;=v_lift^2/a_lift,(ABS($B42-T$33))/v_lift+v_lift/a_lift,2*SQRT((ABS($B42-T$33))/a_lift)))+t_pos+t_I+IF((T$33)&lt;=0,0,IF((T$33)&gt;=v_lift^2/a_lift,(T$33)/v_lift+v_lift/a_lift,2*SQRT((T$33)/a_lift)))+t_pos+t_ch)</f>
        <v>0</v>
      </c>
      <c r="U42" s="20" t="n">
        <f aca="false">$C42*U$34*(t_ch+IF(($B42)&lt;=0,0,IF(($B42)&gt;=v_lift^2/a_lift,($B42)/v_lift+v_lift/a_lift,2*SQRT(($B42)/a_lift)))+t_pos+t_I+IF((ABS($B42-U$33))&lt;=0,0,IF((ABS($B42-U$33))&gt;=v_lift^2/a_lift,(ABS($B42-U$33))/v_lift+v_lift/a_lift,2*SQRT((ABS($B42-U$33))/a_lift)))+t_pos+t_I+IF((U$33)&lt;=0,0,IF((U$33)&gt;=v_lift^2/a_lift,(U$33)/v_lift+v_lift/a_lift,2*SQRT((U$33)/a_lift)))+t_pos+t_ch)</f>
        <v>0</v>
      </c>
      <c r="V42" s="20" t="n">
        <f aca="false">$C42*V$34*(t_ch+IF(($B42)&lt;=0,0,IF(($B42)&gt;=v_lift^2/a_lift,($B42)/v_lift+v_lift/a_lift,2*SQRT(($B42)/a_lift)))+t_pos+t_I+IF((ABS($B42-V$33))&lt;=0,0,IF((ABS($B42-V$33))&gt;=v_lift^2/a_lift,(ABS($B42-V$33))/v_lift+v_lift/a_lift,2*SQRT((ABS($B42-V$33))/a_lift)))+t_pos+t_I+IF((V$33)&lt;=0,0,IF((V$33)&gt;=v_lift^2/a_lift,(V$33)/v_lift+v_lift/a_lift,2*SQRT((V$33)/a_lift)))+t_pos+t_ch)</f>
        <v>0</v>
      </c>
      <c r="W42" s="20" t="n">
        <f aca="false">$C42*W$34*(t_ch+IF(($B42)&lt;=0,0,IF(($B42)&gt;=v_lift^2/a_lift,($B42)/v_lift+v_lift/a_lift,2*SQRT(($B42)/a_lift)))+t_pos+t_I+IF((ABS($B42-W$33))&lt;=0,0,IF((ABS($B42-W$33))&gt;=v_lift^2/a_lift,(ABS($B42-W$33))/v_lift+v_lift/a_lift,2*SQRT((ABS($B42-W$33))/a_lift)))+t_pos+t_I+IF((W$33)&lt;=0,0,IF((W$33)&gt;=v_lift^2/a_lift,(W$33)/v_lift+v_lift/a_lift,2*SQRT((W$33)/a_lift)))+t_pos+t_ch)</f>
        <v>0</v>
      </c>
    </row>
    <row r="43" customFormat="false" ht="15" hidden="false" customHeight="false" outlineLevel="0" collapsed="false">
      <c r="A43" s="7" t="n">
        <v>8</v>
      </c>
      <c r="B43" s="18" t="n">
        <f aca="false">Tiers!C11</f>
        <v>12.95</v>
      </c>
      <c r="C43" s="19" t="n">
        <f aca="false">Tiers!J11</f>
        <v>0.0166666666666667</v>
      </c>
      <c r="D43" s="20" t="n">
        <f aca="false">$C43*D$34*(t_ch+IF(($B43)&lt;=0,0,IF(($B43)&gt;=v_lift^2/a_lift,($B43)/v_lift+v_lift/a_lift,2*SQRT(($B43)/a_lift)))+t_pos+t_I+IF((ABS($B43-D$33))&lt;=0,0,IF((ABS($B43-D$33))&gt;=v_lift^2/a_lift,(ABS($B43-D$33))/v_lift+v_lift/a_lift,2*SQRT((ABS($B43-D$33))/a_lift)))+t_pos+t_I+IF((D$33)&lt;=0,0,IF((D$33)&gt;=v_lift^2/a_lift,(D$33)/v_lift+v_lift/a_lift,2*SQRT((D$33)/a_lift)))+t_pos+t_ch)</f>
        <v>0</v>
      </c>
      <c r="E43" s="20" t="n">
        <f aca="false">$C43*E$34*(t_ch+IF(($B43)&lt;=0,0,IF(($B43)&gt;=v_lift^2/a_lift,($B43)/v_lift+v_lift/a_lift,2*SQRT(($B43)/a_lift)))+t_pos+t_I+IF((ABS($B43-E$33))&lt;=0,0,IF((ABS($B43-E$33))&gt;=v_lift^2/a_lift,(ABS($B43-E$33))/v_lift+v_lift/a_lift,2*SQRT((ABS($B43-E$33))/a_lift)))+t_pos+t_I+IF((E$33)&lt;=0,0,IF((E$33)&gt;=v_lift^2/a_lift,(E$33)/v_lift+v_lift/a_lift,2*SQRT((E$33)/a_lift)))+t_pos+t_ch)</f>
        <v>1.07984126984127</v>
      </c>
      <c r="F43" s="20" t="n">
        <f aca="false">$C43*F$34*(t_ch+IF(($B43)&lt;=0,0,IF(($B43)&gt;=v_lift^2/a_lift,($B43)/v_lift+v_lift/a_lift,2*SQRT(($B43)/a_lift)))+t_pos+t_I+IF((ABS($B43-F$33))&lt;=0,0,IF((ABS($B43-F$33))&gt;=v_lift^2/a_lift,(ABS($B43-F$33))/v_lift+v_lift/a_lift,2*SQRT((ABS($B43-F$33))/a_lift)))+t_pos+t_I+IF((F$33)&lt;=0,0,IF((F$33)&gt;=v_lift^2/a_lift,(F$33)/v_lift+v_lift/a_lift,2*SQRT((F$33)/a_lift)))+t_pos+t_ch)</f>
        <v>0.134980158730159</v>
      </c>
      <c r="G43" s="20" t="n">
        <f aca="false">$C43*G$34*(t_ch+IF(($B43)&lt;=0,0,IF(($B43)&gt;=v_lift^2/a_lift,($B43)/v_lift+v_lift/a_lift,2*SQRT(($B43)/a_lift)))+t_pos+t_I+IF((ABS($B43-G$33))&lt;=0,0,IF((ABS($B43-G$33))&gt;=v_lift^2/a_lift,(ABS($B43-G$33))/v_lift+v_lift/a_lift,2*SQRT((ABS($B43-G$33))/a_lift)))+t_pos+t_I+IF((G$33)&lt;=0,0,IF((G$33)&gt;=v_lift^2/a_lift,(G$33)/v_lift+v_lift/a_lift,2*SQRT((G$33)/a_lift)))+t_pos+t_ch)</f>
        <v>0.134980158730159</v>
      </c>
      <c r="H43" s="20" t="n">
        <f aca="false">$C43*H$34*(t_ch+IF(($B43)&lt;=0,0,IF(($B43)&gt;=v_lift^2/a_lift,($B43)/v_lift+v_lift/a_lift,2*SQRT(($B43)/a_lift)))+t_pos+t_I+IF((ABS($B43-H$33))&lt;=0,0,IF((ABS($B43-H$33))&gt;=v_lift^2/a_lift,(ABS($B43-H$33))/v_lift+v_lift/a_lift,2*SQRT((ABS($B43-H$33))/a_lift)))+t_pos+t_I+IF((H$33)&lt;=0,0,IF((H$33)&gt;=v_lift^2/a_lift,(H$33)/v_lift+v_lift/a_lift,2*SQRT((H$33)/a_lift)))+t_pos+t_ch)</f>
        <v>0.134980158730159</v>
      </c>
      <c r="I43" s="20" t="n">
        <f aca="false">$C43*I$34*(t_ch+IF(($B43)&lt;=0,0,IF(($B43)&gt;=v_lift^2/a_lift,($B43)/v_lift+v_lift/a_lift,2*SQRT(($B43)/a_lift)))+t_pos+t_I+IF((ABS($B43-I$33))&lt;=0,0,IF((ABS($B43-I$33))&gt;=v_lift^2/a_lift,(ABS($B43-I$33))/v_lift+v_lift/a_lift,2*SQRT((ABS($B43-I$33))/a_lift)))+t_pos+t_I+IF((I$33)&lt;=0,0,IF((I$33)&gt;=v_lift^2/a_lift,(I$33)/v_lift+v_lift/a_lift,2*SQRT((I$33)/a_lift)))+t_pos+t_ch)</f>
        <v>0.0269960317460318</v>
      </c>
      <c r="J43" s="20" t="n">
        <f aca="false">$C43*J$34*(t_ch+IF(($B43)&lt;=0,0,IF(($B43)&gt;=v_lift^2/a_lift,($B43)/v_lift+v_lift/a_lift,2*SQRT(($B43)/a_lift)))+t_pos+t_I+IF((ABS($B43-J$33))&lt;=0,0,IF((ABS($B43-J$33))&gt;=v_lift^2/a_lift,(ABS($B43-J$33))/v_lift+v_lift/a_lift,2*SQRT((ABS($B43-J$33))/a_lift)))+t_pos+t_I+IF((J$33)&lt;=0,0,IF((J$33)&gt;=v_lift^2/a_lift,(J$33)/v_lift+v_lift/a_lift,2*SQRT((J$33)/a_lift)))+t_pos+t_ch)</f>
        <v>0.0269960317460317</v>
      </c>
      <c r="K43" s="20" t="n">
        <f aca="false">$C43*K$34*(t_ch+IF(($B43)&lt;=0,0,IF(($B43)&gt;=v_lift^2/a_lift,($B43)/v_lift+v_lift/a_lift,2*SQRT(($B43)/a_lift)))+t_pos+t_I+IF((ABS($B43-K$33))&lt;=0,0,IF((ABS($B43-K$33))&gt;=v_lift^2/a_lift,(ABS($B43-K$33))/v_lift+v_lift/a_lift,2*SQRT((ABS($B43-K$33))/a_lift)))+t_pos+t_I+IF((K$33)&lt;=0,0,IF((K$33)&gt;=v_lift^2/a_lift,(K$33)/v_lift+v_lift/a_lift,2*SQRT((K$33)/a_lift)))+t_pos+t_ch)</f>
        <v>0.0265992063492064</v>
      </c>
      <c r="L43" s="20" t="n">
        <f aca="false">$C43*L$34*(t_ch+IF(($B43)&lt;=0,0,IF(($B43)&gt;=v_lift^2/a_lift,($B43)/v_lift+v_lift/a_lift,2*SQRT(($B43)/a_lift)))+t_pos+t_I+IF((ABS($B43-L$33))&lt;=0,0,IF((ABS($B43-L$33))&gt;=v_lift^2/a_lift,(ABS($B43-L$33))/v_lift+v_lift/a_lift,2*SQRT((ABS($B43-L$33))/a_lift)))+t_pos+t_I+IF((L$33)&lt;=0,0,IF((L$33)&gt;=v_lift^2/a_lift,(L$33)/v_lift+v_lift/a_lift,2*SQRT((L$33)/a_lift)))+t_pos+t_ch)</f>
        <v>0.0280238095238095</v>
      </c>
      <c r="M43" s="20" t="n">
        <f aca="false">$C43*M$34*(t_ch+IF(($B43)&lt;=0,0,IF(($B43)&gt;=v_lift^2/a_lift,($B43)/v_lift+v_lift/a_lift,2*SQRT(($B43)/a_lift)))+t_pos+t_I+IF((ABS($B43-M$33))&lt;=0,0,IF((ABS($B43-M$33))&gt;=v_lift^2/a_lift,(ABS($B43-M$33))/v_lift+v_lift/a_lift,2*SQRT((ABS($B43-M$33))/a_lift)))+t_pos+t_I+IF((M$33)&lt;=0,0,IF((M$33)&gt;=v_lift^2/a_lift,(M$33)/v_lift+v_lift/a_lift,2*SQRT((M$33)/a_lift)))+t_pos+t_ch)</f>
        <v>0.0290515873015873</v>
      </c>
      <c r="N43" s="20" t="n">
        <f aca="false">$C43*N$34*(t_ch+IF(($B43)&lt;=0,0,IF(($B43)&gt;=v_lift^2/a_lift,($B43)/v_lift+v_lift/a_lift,2*SQRT(($B43)/a_lift)))+t_pos+t_I+IF((ABS($B43-N$33))&lt;=0,0,IF((ABS($B43-N$33))&gt;=v_lift^2/a_lift,(ABS($B43-N$33))/v_lift+v_lift/a_lift,2*SQRT((ABS($B43-N$33))/a_lift)))+t_pos+t_I+IF((N$33)&lt;=0,0,IF((N$33)&gt;=v_lift^2/a_lift,(N$33)/v_lift+v_lift/a_lift,2*SQRT((N$33)/a_lift)))+t_pos+t_ch)</f>
        <v>0</v>
      </c>
      <c r="O43" s="20" t="n">
        <f aca="false">$C43*O$34*(t_ch+IF(($B43)&lt;=0,0,IF(($B43)&gt;=v_lift^2/a_lift,($B43)/v_lift+v_lift/a_lift,2*SQRT(($B43)/a_lift)))+t_pos+t_I+IF((ABS($B43-O$33))&lt;=0,0,IF((ABS($B43-O$33))&gt;=v_lift^2/a_lift,(ABS($B43-O$33))/v_lift+v_lift/a_lift,2*SQRT((ABS($B43-O$33))/a_lift)))+t_pos+t_I+IF((O$33)&lt;=0,0,IF((O$33)&gt;=v_lift^2/a_lift,(O$33)/v_lift+v_lift/a_lift,2*SQRT((O$33)/a_lift)))+t_pos+t_ch)</f>
        <v>0</v>
      </c>
      <c r="P43" s="20" t="n">
        <f aca="false">$C43*P$34*(t_ch+IF(($B43)&lt;=0,0,IF(($B43)&gt;=v_lift^2/a_lift,($B43)/v_lift+v_lift/a_lift,2*SQRT(($B43)/a_lift)))+t_pos+t_I+IF((ABS($B43-P$33))&lt;=0,0,IF((ABS($B43-P$33))&gt;=v_lift^2/a_lift,(ABS($B43-P$33))/v_lift+v_lift/a_lift,2*SQRT((ABS($B43-P$33))/a_lift)))+t_pos+t_I+IF((P$33)&lt;=0,0,IF((P$33)&gt;=v_lift^2/a_lift,(P$33)/v_lift+v_lift/a_lift,2*SQRT((P$33)/a_lift)))+t_pos+t_ch)</f>
        <v>0</v>
      </c>
      <c r="Q43" s="20" t="n">
        <f aca="false">$C43*Q$34*(t_ch+IF(($B43)&lt;=0,0,IF(($B43)&gt;=v_lift^2/a_lift,($B43)/v_lift+v_lift/a_lift,2*SQRT(($B43)/a_lift)))+t_pos+t_I+IF((ABS($B43-Q$33))&lt;=0,0,IF((ABS($B43-Q$33))&gt;=v_lift^2/a_lift,(ABS($B43-Q$33))/v_lift+v_lift/a_lift,2*SQRT((ABS($B43-Q$33))/a_lift)))+t_pos+t_I+IF((Q$33)&lt;=0,0,IF((Q$33)&gt;=v_lift^2/a_lift,(Q$33)/v_lift+v_lift/a_lift,2*SQRT((Q$33)/a_lift)))+t_pos+t_ch)</f>
        <v>0</v>
      </c>
      <c r="R43" s="20" t="n">
        <f aca="false">$C43*R$34*(t_ch+IF(($B43)&lt;=0,0,IF(($B43)&gt;=v_lift^2/a_lift,($B43)/v_lift+v_lift/a_lift,2*SQRT(($B43)/a_lift)))+t_pos+t_I+IF((ABS($B43-R$33))&lt;=0,0,IF((ABS($B43-R$33))&gt;=v_lift^2/a_lift,(ABS($B43-R$33))/v_lift+v_lift/a_lift,2*SQRT((ABS($B43-R$33))/a_lift)))+t_pos+t_I+IF((R$33)&lt;=0,0,IF((R$33)&gt;=v_lift^2/a_lift,(R$33)/v_lift+v_lift/a_lift,2*SQRT((R$33)/a_lift)))+t_pos+t_ch)</f>
        <v>0</v>
      </c>
      <c r="S43" s="20" t="n">
        <f aca="false">$C43*S$34*(t_ch+IF(($B43)&lt;=0,0,IF(($B43)&gt;=v_lift^2/a_lift,($B43)/v_lift+v_lift/a_lift,2*SQRT(($B43)/a_lift)))+t_pos+t_I+IF((ABS($B43-S$33))&lt;=0,0,IF((ABS($B43-S$33))&gt;=v_lift^2/a_lift,(ABS($B43-S$33))/v_lift+v_lift/a_lift,2*SQRT((ABS($B43-S$33))/a_lift)))+t_pos+t_I+IF((S$33)&lt;=0,0,IF((S$33)&gt;=v_lift^2/a_lift,(S$33)/v_lift+v_lift/a_lift,2*SQRT((S$33)/a_lift)))+t_pos+t_ch)</f>
        <v>0</v>
      </c>
      <c r="T43" s="20" t="n">
        <f aca="false">$C43*T$34*(t_ch+IF(($B43)&lt;=0,0,IF(($B43)&gt;=v_lift^2/a_lift,($B43)/v_lift+v_lift/a_lift,2*SQRT(($B43)/a_lift)))+t_pos+t_I+IF((ABS($B43-T$33))&lt;=0,0,IF((ABS($B43-T$33))&gt;=v_lift^2/a_lift,(ABS($B43-T$33))/v_lift+v_lift/a_lift,2*SQRT((ABS($B43-T$33))/a_lift)))+t_pos+t_I+IF((T$33)&lt;=0,0,IF((T$33)&gt;=v_lift^2/a_lift,(T$33)/v_lift+v_lift/a_lift,2*SQRT((T$33)/a_lift)))+t_pos+t_ch)</f>
        <v>0</v>
      </c>
      <c r="U43" s="20" t="n">
        <f aca="false">$C43*U$34*(t_ch+IF(($B43)&lt;=0,0,IF(($B43)&gt;=v_lift^2/a_lift,($B43)/v_lift+v_lift/a_lift,2*SQRT(($B43)/a_lift)))+t_pos+t_I+IF((ABS($B43-U$33))&lt;=0,0,IF((ABS($B43-U$33))&gt;=v_lift^2/a_lift,(ABS($B43-U$33))/v_lift+v_lift/a_lift,2*SQRT((ABS($B43-U$33))/a_lift)))+t_pos+t_I+IF((U$33)&lt;=0,0,IF((U$33)&gt;=v_lift^2/a_lift,(U$33)/v_lift+v_lift/a_lift,2*SQRT((U$33)/a_lift)))+t_pos+t_ch)</f>
        <v>0</v>
      </c>
      <c r="V43" s="20" t="n">
        <f aca="false">$C43*V$34*(t_ch+IF(($B43)&lt;=0,0,IF(($B43)&gt;=v_lift^2/a_lift,($B43)/v_lift+v_lift/a_lift,2*SQRT(($B43)/a_lift)))+t_pos+t_I+IF((ABS($B43-V$33))&lt;=0,0,IF((ABS($B43-V$33))&gt;=v_lift^2/a_lift,(ABS($B43-V$33))/v_lift+v_lift/a_lift,2*SQRT((ABS($B43-V$33))/a_lift)))+t_pos+t_I+IF((V$33)&lt;=0,0,IF((V$33)&gt;=v_lift^2/a_lift,(V$33)/v_lift+v_lift/a_lift,2*SQRT((V$33)/a_lift)))+t_pos+t_ch)</f>
        <v>0</v>
      </c>
      <c r="W43" s="20" t="n">
        <f aca="false">$C43*W$34*(t_ch+IF(($B43)&lt;=0,0,IF(($B43)&gt;=v_lift^2/a_lift,($B43)/v_lift+v_lift/a_lift,2*SQRT(($B43)/a_lift)))+t_pos+t_I+IF((ABS($B43-W$33))&lt;=0,0,IF((ABS($B43-W$33))&gt;=v_lift^2/a_lift,(ABS($B43-W$33))/v_lift+v_lift/a_lift,2*SQRT((ABS($B43-W$33))/a_lift)))+t_pos+t_I+IF((W$33)&lt;=0,0,IF((W$33)&gt;=v_lift^2/a_lift,(W$33)/v_lift+v_lift/a_lift,2*SQRT((W$33)/a_lift)))+t_pos+t_ch)</f>
        <v>0</v>
      </c>
    </row>
    <row r="44" customFormat="false" ht="15" hidden="false" customHeight="false" outlineLevel="0" collapsed="false">
      <c r="A44" s="7" t="n">
        <v>9</v>
      </c>
      <c r="B44" s="18" t="n">
        <f aca="false">Tiers!C12</f>
        <v>14.8</v>
      </c>
      <c r="C44" s="19" t="n">
        <f aca="false">Tiers!J12</f>
        <v>0.0166666666666667</v>
      </c>
      <c r="D44" s="20" t="n">
        <f aca="false">$C44*D$34*(t_ch+IF(($B44)&lt;=0,0,IF(($B44)&gt;=v_lift^2/a_lift,($B44)/v_lift+v_lift/a_lift,2*SQRT(($B44)/a_lift)))+t_pos+t_I+IF((ABS($B44-D$33))&lt;=0,0,IF((ABS($B44-D$33))&gt;=v_lift^2/a_lift,(ABS($B44-D$33))/v_lift+v_lift/a_lift,2*SQRT((ABS($B44-D$33))/a_lift)))+t_pos+t_I+IF((D$33)&lt;=0,0,IF((D$33)&gt;=v_lift^2/a_lift,(D$33)/v_lift+v_lift/a_lift,2*SQRT((D$33)/a_lift)))+t_pos+t_ch)</f>
        <v>0</v>
      </c>
      <c r="E44" s="20" t="n">
        <f aca="false">$C44*E$34*(t_ch+IF(($B44)&lt;=0,0,IF(($B44)&gt;=v_lift^2/a_lift,($B44)/v_lift+v_lift/a_lift,2*SQRT(($B44)/a_lift)))+t_pos+t_I+IF((ABS($B44-E$33))&lt;=0,0,IF((ABS($B44-E$33))&gt;=v_lift^2/a_lift,(ABS($B44-E$33))/v_lift+v_lift/a_lift,2*SQRT((ABS($B44-E$33))/a_lift)))+t_pos+t_I+IF((E$33)&lt;=0,0,IF((E$33)&gt;=v_lift^2/a_lift,(E$33)/v_lift+v_lift/a_lift,2*SQRT((E$33)/a_lift)))+t_pos+t_ch)</f>
        <v>1.12095238095238</v>
      </c>
      <c r="F44" s="20" t="n">
        <f aca="false">$C44*F$34*(t_ch+IF(($B44)&lt;=0,0,IF(($B44)&gt;=v_lift^2/a_lift,($B44)/v_lift+v_lift/a_lift,2*SQRT(($B44)/a_lift)))+t_pos+t_I+IF((ABS($B44-F$33))&lt;=0,0,IF((ABS($B44-F$33))&gt;=v_lift^2/a_lift,(ABS($B44-F$33))/v_lift+v_lift/a_lift,2*SQRT((ABS($B44-F$33))/a_lift)))+t_pos+t_I+IF((F$33)&lt;=0,0,IF((F$33)&gt;=v_lift^2/a_lift,(F$33)/v_lift+v_lift/a_lift,2*SQRT((F$33)/a_lift)))+t_pos+t_ch)</f>
        <v>0.140119047619048</v>
      </c>
      <c r="G44" s="20" t="n">
        <f aca="false">$C44*G$34*(t_ch+IF(($B44)&lt;=0,0,IF(($B44)&gt;=v_lift^2/a_lift,($B44)/v_lift+v_lift/a_lift,2*SQRT(($B44)/a_lift)))+t_pos+t_I+IF((ABS($B44-G$33))&lt;=0,0,IF((ABS($B44-G$33))&gt;=v_lift^2/a_lift,(ABS($B44-G$33))/v_lift+v_lift/a_lift,2*SQRT((ABS($B44-G$33))/a_lift)))+t_pos+t_I+IF((G$33)&lt;=0,0,IF((G$33)&gt;=v_lift^2/a_lift,(G$33)/v_lift+v_lift/a_lift,2*SQRT((G$33)/a_lift)))+t_pos+t_ch)</f>
        <v>0.140119047619048</v>
      </c>
      <c r="H44" s="20" t="n">
        <f aca="false">$C44*H$34*(t_ch+IF(($B44)&lt;=0,0,IF(($B44)&gt;=v_lift^2/a_lift,($B44)/v_lift+v_lift/a_lift,2*SQRT(($B44)/a_lift)))+t_pos+t_I+IF((ABS($B44-H$33))&lt;=0,0,IF((ABS($B44-H$33))&gt;=v_lift^2/a_lift,(ABS($B44-H$33))/v_lift+v_lift/a_lift,2*SQRT((ABS($B44-H$33))/a_lift)))+t_pos+t_I+IF((H$33)&lt;=0,0,IF((H$33)&gt;=v_lift^2/a_lift,(H$33)/v_lift+v_lift/a_lift,2*SQRT((H$33)/a_lift)))+t_pos+t_ch)</f>
        <v>0.140119047619048</v>
      </c>
      <c r="I44" s="20" t="n">
        <f aca="false">$C44*I$34*(t_ch+IF(($B44)&lt;=0,0,IF(($B44)&gt;=v_lift^2/a_lift,($B44)/v_lift+v_lift/a_lift,2*SQRT(($B44)/a_lift)))+t_pos+t_I+IF((ABS($B44-I$33))&lt;=0,0,IF((ABS($B44-I$33))&gt;=v_lift^2/a_lift,(ABS($B44-I$33))/v_lift+v_lift/a_lift,2*SQRT((ABS($B44-I$33))/a_lift)))+t_pos+t_I+IF((I$33)&lt;=0,0,IF((I$33)&gt;=v_lift^2/a_lift,(I$33)/v_lift+v_lift/a_lift,2*SQRT((I$33)/a_lift)))+t_pos+t_ch)</f>
        <v>0.0280238095238095</v>
      </c>
      <c r="J44" s="20" t="n">
        <f aca="false">$C44*J$34*(t_ch+IF(($B44)&lt;=0,0,IF(($B44)&gt;=v_lift^2/a_lift,($B44)/v_lift+v_lift/a_lift,2*SQRT(($B44)/a_lift)))+t_pos+t_I+IF((ABS($B44-J$33))&lt;=0,0,IF((ABS($B44-J$33))&gt;=v_lift^2/a_lift,(ABS($B44-J$33))/v_lift+v_lift/a_lift,2*SQRT((ABS($B44-J$33))/a_lift)))+t_pos+t_I+IF((J$33)&lt;=0,0,IF((J$33)&gt;=v_lift^2/a_lift,(J$33)/v_lift+v_lift/a_lift,2*SQRT((J$33)/a_lift)))+t_pos+t_ch)</f>
        <v>0.0280238095238095</v>
      </c>
      <c r="K44" s="20" t="n">
        <f aca="false">$C44*K$34*(t_ch+IF(($B44)&lt;=0,0,IF(($B44)&gt;=v_lift^2/a_lift,($B44)/v_lift+v_lift/a_lift,2*SQRT(($B44)/a_lift)))+t_pos+t_I+IF((ABS($B44-K$33))&lt;=0,0,IF((ABS($B44-K$33))&gt;=v_lift^2/a_lift,(ABS($B44-K$33))/v_lift+v_lift/a_lift,2*SQRT((ABS($B44-K$33))/a_lift)))+t_pos+t_I+IF((K$33)&lt;=0,0,IF((K$33)&gt;=v_lift^2/a_lift,(K$33)/v_lift+v_lift/a_lift,2*SQRT((K$33)/a_lift)))+t_pos+t_ch)</f>
        <v>0.0280238095238095</v>
      </c>
      <c r="L44" s="20" t="n">
        <f aca="false">$C44*L$34*(t_ch+IF(($B44)&lt;=0,0,IF(($B44)&gt;=v_lift^2/a_lift,($B44)/v_lift+v_lift/a_lift,2*SQRT(($B44)/a_lift)))+t_pos+t_I+IF((ABS($B44-L$33))&lt;=0,0,IF((ABS($B44-L$33))&gt;=v_lift^2/a_lift,(ABS($B44-L$33))/v_lift+v_lift/a_lift,2*SQRT((ABS($B44-L$33))/a_lift)))+t_pos+t_I+IF((L$33)&lt;=0,0,IF((L$33)&gt;=v_lift^2/a_lift,(L$33)/v_lift+v_lift/a_lift,2*SQRT((L$33)/a_lift)))+t_pos+t_ch)</f>
        <v>0.0276269841269841</v>
      </c>
      <c r="M44" s="20" t="n">
        <f aca="false">$C44*M$34*(t_ch+IF(($B44)&lt;=0,0,IF(($B44)&gt;=v_lift^2/a_lift,($B44)/v_lift+v_lift/a_lift,2*SQRT(($B44)/a_lift)))+t_pos+t_I+IF((ABS($B44-M$33))&lt;=0,0,IF((ABS($B44-M$33))&gt;=v_lift^2/a_lift,(ABS($B44-M$33))/v_lift+v_lift/a_lift,2*SQRT((ABS($B44-M$33))/a_lift)))+t_pos+t_I+IF((M$33)&lt;=0,0,IF((M$33)&gt;=v_lift^2/a_lift,(M$33)/v_lift+v_lift/a_lift,2*SQRT((M$33)/a_lift)))+t_pos+t_ch)</f>
        <v>0.0290515873015873</v>
      </c>
      <c r="N44" s="20" t="n">
        <f aca="false">$C44*N$34*(t_ch+IF(($B44)&lt;=0,0,IF(($B44)&gt;=v_lift^2/a_lift,($B44)/v_lift+v_lift/a_lift,2*SQRT(($B44)/a_lift)))+t_pos+t_I+IF((ABS($B44-N$33))&lt;=0,0,IF((ABS($B44-N$33))&gt;=v_lift^2/a_lift,(ABS($B44-N$33))/v_lift+v_lift/a_lift,2*SQRT((ABS($B44-N$33))/a_lift)))+t_pos+t_I+IF((N$33)&lt;=0,0,IF((N$33)&gt;=v_lift^2/a_lift,(N$33)/v_lift+v_lift/a_lift,2*SQRT((N$33)/a_lift)))+t_pos+t_ch)</f>
        <v>0</v>
      </c>
      <c r="O44" s="20" t="n">
        <f aca="false">$C44*O$34*(t_ch+IF(($B44)&lt;=0,0,IF(($B44)&gt;=v_lift^2/a_lift,($B44)/v_lift+v_lift/a_lift,2*SQRT(($B44)/a_lift)))+t_pos+t_I+IF((ABS($B44-O$33))&lt;=0,0,IF((ABS($B44-O$33))&gt;=v_lift^2/a_lift,(ABS($B44-O$33))/v_lift+v_lift/a_lift,2*SQRT((ABS($B44-O$33))/a_lift)))+t_pos+t_I+IF((O$33)&lt;=0,0,IF((O$33)&gt;=v_lift^2/a_lift,(O$33)/v_lift+v_lift/a_lift,2*SQRT((O$33)/a_lift)))+t_pos+t_ch)</f>
        <v>0</v>
      </c>
      <c r="P44" s="20" t="n">
        <f aca="false">$C44*P$34*(t_ch+IF(($B44)&lt;=0,0,IF(($B44)&gt;=v_lift^2/a_lift,($B44)/v_lift+v_lift/a_lift,2*SQRT(($B44)/a_lift)))+t_pos+t_I+IF((ABS($B44-P$33))&lt;=0,0,IF((ABS($B44-P$33))&gt;=v_lift^2/a_lift,(ABS($B44-P$33))/v_lift+v_lift/a_lift,2*SQRT((ABS($B44-P$33))/a_lift)))+t_pos+t_I+IF((P$33)&lt;=0,0,IF((P$33)&gt;=v_lift^2/a_lift,(P$33)/v_lift+v_lift/a_lift,2*SQRT((P$33)/a_lift)))+t_pos+t_ch)</f>
        <v>0</v>
      </c>
      <c r="Q44" s="20" t="n">
        <f aca="false">$C44*Q$34*(t_ch+IF(($B44)&lt;=0,0,IF(($B44)&gt;=v_lift^2/a_lift,($B44)/v_lift+v_lift/a_lift,2*SQRT(($B44)/a_lift)))+t_pos+t_I+IF((ABS($B44-Q$33))&lt;=0,0,IF((ABS($B44-Q$33))&gt;=v_lift^2/a_lift,(ABS($B44-Q$33))/v_lift+v_lift/a_lift,2*SQRT((ABS($B44-Q$33))/a_lift)))+t_pos+t_I+IF((Q$33)&lt;=0,0,IF((Q$33)&gt;=v_lift^2/a_lift,(Q$33)/v_lift+v_lift/a_lift,2*SQRT((Q$33)/a_lift)))+t_pos+t_ch)</f>
        <v>0</v>
      </c>
      <c r="R44" s="20" t="n">
        <f aca="false">$C44*R$34*(t_ch+IF(($B44)&lt;=0,0,IF(($B44)&gt;=v_lift^2/a_lift,($B44)/v_lift+v_lift/a_lift,2*SQRT(($B44)/a_lift)))+t_pos+t_I+IF((ABS($B44-R$33))&lt;=0,0,IF((ABS($B44-R$33))&gt;=v_lift^2/a_lift,(ABS($B44-R$33))/v_lift+v_lift/a_lift,2*SQRT((ABS($B44-R$33))/a_lift)))+t_pos+t_I+IF((R$33)&lt;=0,0,IF((R$33)&gt;=v_lift^2/a_lift,(R$33)/v_lift+v_lift/a_lift,2*SQRT((R$33)/a_lift)))+t_pos+t_ch)</f>
        <v>0</v>
      </c>
      <c r="S44" s="20" t="n">
        <f aca="false">$C44*S$34*(t_ch+IF(($B44)&lt;=0,0,IF(($B44)&gt;=v_lift^2/a_lift,($B44)/v_lift+v_lift/a_lift,2*SQRT(($B44)/a_lift)))+t_pos+t_I+IF((ABS($B44-S$33))&lt;=0,0,IF((ABS($B44-S$33))&gt;=v_lift^2/a_lift,(ABS($B44-S$33))/v_lift+v_lift/a_lift,2*SQRT((ABS($B44-S$33))/a_lift)))+t_pos+t_I+IF((S$33)&lt;=0,0,IF((S$33)&gt;=v_lift^2/a_lift,(S$33)/v_lift+v_lift/a_lift,2*SQRT((S$33)/a_lift)))+t_pos+t_ch)</f>
        <v>0</v>
      </c>
      <c r="T44" s="20" t="n">
        <f aca="false">$C44*T$34*(t_ch+IF(($B44)&lt;=0,0,IF(($B44)&gt;=v_lift^2/a_lift,($B44)/v_lift+v_lift/a_lift,2*SQRT(($B44)/a_lift)))+t_pos+t_I+IF((ABS($B44-T$33))&lt;=0,0,IF((ABS($B44-T$33))&gt;=v_lift^2/a_lift,(ABS($B44-T$33))/v_lift+v_lift/a_lift,2*SQRT((ABS($B44-T$33))/a_lift)))+t_pos+t_I+IF((T$33)&lt;=0,0,IF((T$33)&gt;=v_lift^2/a_lift,(T$33)/v_lift+v_lift/a_lift,2*SQRT((T$33)/a_lift)))+t_pos+t_ch)</f>
        <v>0</v>
      </c>
      <c r="U44" s="20" t="n">
        <f aca="false">$C44*U$34*(t_ch+IF(($B44)&lt;=0,0,IF(($B44)&gt;=v_lift^2/a_lift,($B44)/v_lift+v_lift/a_lift,2*SQRT(($B44)/a_lift)))+t_pos+t_I+IF((ABS($B44-U$33))&lt;=0,0,IF((ABS($B44-U$33))&gt;=v_lift^2/a_lift,(ABS($B44-U$33))/v_lift+v_lift/a_lift,2*SQRT((ABS($B44-U$33))/a_lift)))+t_pos+t_I+IF((U$33)&lt;=0,0,IF((U$33)&gt;=v_lift^2/a_lift,(U$33)/v_lift+v_lift/a_lift,2*SQRT((U$33)/a_lift)))+t_pos+t_ch)</f>
        <v>0</v>
      </c>
      <c r="V44" s="20" t="n">
        <f aca="false">$C44*V$34*(t_ch+IF(($B44)&lt;=0,0,IF(($B44)&gt;=v_lift^2/a_lift,($B44)/v_lift+v_lift/a_lift,2*SQRT(($B44)/a_lift)))+t_pos+t_I+IF((ABS($B44-V$33))&lt;=0,0,IF((ABS($B44-V$33))&gt;=v_lift^2/a_lift,(ABS($B44-V$33))/v_lift+v_lift/a_lift,2*SQRT((ABS($B44-V$33))/a_lift)))+t_pos+t_I+IF((V$33)&lt;=0,0,IF((V$33)&gt;=v_lift^2/a_lift,(V$33)/v_lift+v_lift/a_lift,2*SQRT((V$33)/a_lift)))+t_pos+t_ch)</f>
        <v>0</v>
      </c>
      <c r="W44" s="20" t="n">
        <f aca="false">$C44*W$34*(t_ch+IF(($B44)&lt;=0,0,IF(($B44)&gt;=v_lift^2/a_lift,($B44)/v_lift+v_lift/a_lift,2*SQRT(($B44)/a_lift)))+t_pos+t_I+IF((ABS($B44-W$33))&lt;=0,0,IF((ABS($B44-W$33))&gt;=v_lift^2/a_lift,(ABS($B44-W$33))/v_lift+v_lift/a_lift,2*SQRT((ABS($B44-W$33))/a_lift)))+t_pos+t_I+IF((W$33)&lt;=0,0,IF((W$33)&gt;=v_lift^2/a_lift,(W$33)/v_lift+v_lift/a_lift,2*SQRT((W$33)/a_lift)))+t_pos+t_ch)</f>
        <v>0</v>
      </c>
    </row>
    <row r="45" customFormat="false" ht="15" hidden="false" customHeight="false" outlineLevel="0" collapsed="false">
      <c r="A45" s="7" t="n">
        <v>10</v>
      </c>
      <c r="B45" s="18" t="n">
        <f aca="false">Tiers!C13</f>
        <v>16.65</v>
      </c>
      <c r="C45" s="19" t="n">
        <f aca="false">Tiers!J13</f>
        <v>0.0166666666666667</v>
      </c>
      <c r="D45" s="20" t="n">
        <f aca="false">$C45*D$34*(t_ch+IF(($B45)&lt;=0,0,IF(($B45)&gt;=v_lift^2/a_lift,($B45)/v_lift+v_lift/a_lift,2*SQRT(($B45)/a_lift)))+t_pos+t_I+IF((ABS($B45-D$33))&lt;=0,0,IF((ABS($B45-D$33))&gt;=v_lift^2/a_lift,(ABS($B45-D$33))/v_lift+v_lift/a_lift,2*SQRT((ABS($B45-D$33))/a_lift)))+t_pos+t_I+IF((D$33)&lt;=0,0,IF((D$33)&gt;=v_lift^2/a_lift,(D$33)/v_lift+v_lift/a_lift,2*SQRT((D$33)/a_lift)))+t_pos+t_ch)</f>
        <v>0</v>
      </c>
      <c r="E45" s="20" t="n">
        <f aca="false">$C45*E$34*(t_ch+IF(($B45)&lt;=0,0,IF(($B45)&gt;=v_lift^2/a_lift,($B45)/v_lift+v_lift/a_lift,2*SQRT(($B45)/a_lift)))+t_pos+t_I+IF((ABS($B45-E$33))&lt;=0,0,IF((ABS($B45-E$33))&gt;=v_lift^2/a_lift,(ABS($B45-E$33))/v_lift+v_lift/a_lift,2*SQRT((ABS($B45-E$33))/a_lift)))+t_pos+t_I+IF((E$33)&lt;=0,0,IF((E$33)&gt;=v_lift^2/a_lift,(E$33)/v_lift+v_lift/a_lift,2*SQRT((E$33)/a_lift)))+t_pos+t_ch)</f>
        <v>1.16206349206349</v>
      </c>
      <c r="F45" s="20" t="n">
        <f aca="false">$C45*F$34*(t_ch+IF(($B45)&lt;=0,0,IF(($B45)&gt;=v_lift^2/a_lift,($B45)/v_lift+v_lift/a_lift,2*SQRT(($B45)/a_lift)))+t_pos+t_I+IF((ABS($B45-F$33))&lt;=0,0,IF((ABS($B45-F$33))&gt;=v_lift^2/a_lift,(ABS($B45-F$33))/v_lift+v_lift/a_lift,2*SQRT((ABS($B45-F$33))/a_lift)))+t_pos+t_I+IF((F$33)&lt;=0,0,IF((F$33)&gt;=v_lift^2/a_lift,(F$33)/v_lift+v_lift/a_lift,2*SQRT((F$33)/a_lift)))+t_pos+t_ch)</f>
        <v>0.145257936507937</v>
      </c>
      <c r="G45" s="20" t="n">
        <f aca="false">$C45*G$34*(t_ch+IF(($B45)&lt;=0,0,IF(($B45)&gt;=v_lift^2/a_lift,($B45)/v_lift+v_lift/a_lift,2*SQRT(($B45)/a_lift)))+t_pos+t_I+IF((ABS($B45-G$33))&lt;=0,0,IF((ABS($B45-G$33))&gt;=v_lift^2/a_lift,(ABS($B45-G$33))/v_lift+v_lift/a_lift,2*SQRT((ABS($B45-G$33))/a_lift)))+t_pos+t_I+IF((G$33)&lt;=0,0,IF((G$33)&gt;=v_lift^2/a_lift,(G$33)/v_lift+v_lift/a_lift,2*SQRT((G$33)/a_lift)))+t_pos+t_ch)</f>
        <v>0.145257936507937</v>
      </c>
      <c r="H45" s="20" t="n">
        <f aca="false">$C45*H$34*(t_ch+IF(($B45)&lt;=0,0,IF(($B45)&gt;=v_lift^2/a_lift,($B45)/v_lift+v_lift/a_lift,2*SQRT(($B45)/a_lift)))+t_pos+t_I+IF((ABS($B45-H$33))&lt;=0,0,IF((ABS($B45-H$33))&gt;=v_lift^2/a_lift,(ABS($B45-H$33))/v_lift+v_lift/a_lift,2*SQRT((ABS($B45-H$33))/a_lift)))+t_pos+t_I+IF((H$33)&lt;=0,0,IF((H$33)&gt;=v_lift^2/a_lift,(H$33)/v_lift+v_lift/a_lift,2*SQRT((H$33)/a_lift)))+t_pos+t_ch)</f>
        <v>0.145257936507937</v>
      </c>
      <c r="I45" s="20" t="n">
        <f aca="false">$C45*I$34*(t_ch+IF(($B45)&lt;=0,0,IF(($B45)&gt;=v_lift^2/a_lift,($B45)/v_lift+v_lift/a_lift,2*SQRT(($B45)/a_lift)))+t_pos+t_I+IF((ABS($B45-I$33))&lt;=0,0,IF((ABS($B45-I$33))&gt;=v_lift^2/a_lift,(ABS($B45-I$33))/v_lift+v_lift/a_lift,2*SQRT((ABS($B45-I$33))/a_lift)))+t_pos+t_I+IF((I$33)&lt;=0,0,IF((I$33)&gt;=v_lift^2/a_lift,(I$33)/v_lift+v_lift/a_lift,2*SQRT((I$33)/a_lift)))+t_pos+t_ch)</f>
        <v>0.0290515873015873</v>
      </c>
      <c r="J45" s="20" t="n">
        <f aca="false">$C45*J$34*(t_ch+IF(($B45)&lt;=0,0,IF(($B45)&gt;=v_lift^2/a_lift,($B45)/v_lift+v_lift/a_lift,2*SQRT(($B45)/a_lift)))+t_pos+t_I+IF((ABS($B45-J$33))&lt;=0,0,IF((ABS($B45-J$33))&gt;=v_lift^2/a_lift,(ABS($B45-J$33))/v_lift+v_lift/a_lift,2*SQRT((ABS($B45-J$33))/a_lift)))+t_pos+t_I+IF((J$33)&lt;=0,0,IF((J$33)&gt;=v_lift^2/a_lift,(J$33)/v_lift+v_lift/a_lift,2*SQRT((J$33)/a_lift)))+t_pos+t_ch)</f>
        <v>0.0290515873015873</v>
      </c>
      <c r="K45" s="20" t="n">
        <f aca="false">$C45*K$34*(t_ch+IF(($B45)&lt;=0,0,IF(($B45)&gt;=v_lift^2/a_lift,($B45)/v_lift+v_lift/a_lift,2*SQRT(($B45)/a_lift)))+t_pos+t_I+IF((ABS($B45-K$33))&lt;=0,0,IF((ABS($B45-K$33))&gt;=v_lift^2/a_lift,(ABS($B45-K$33))/v_lift+v_lift/a_lift,2*SQRT((ABS($B45-K$33))/a_lift)))+t_pos+t_I+IF((K$33)&lt;=0,0,IF((K$33)&gt;=v_lift^2/a_lift,(K$33)/v_lift+v_lift/a_lift,2*SQRT((K$33)/a_lift)))+t_pos+t_ch)</f>
        <v>0.0290515873015873</v>
      </c>
      <c r="L45" s="20" t="n">
        <f aca="false">$C45*L$34*(t_ch+IF(($B45)&lt;=0,0,IF(($B45)&gt;=v_lift^2/a_lift,($B45)/v_lift+v_lift/a_lift,2*SQRT(($B45)/a_lift)))+t_pos+t_I+IF((ABS($B45-L$33))&lt;=0,0,IF((ABS($B45-L$33))&gt;=v_lift^2/a_lift,(ABS($B45-L$33))/v_lift+v_lift/a_lift,2*SQRT((ABS($B45-L$33))/a_lift)))+t_pos+t_I+IF((L$33)&lt;=0,0,IF((L$33)&gt;=v_lift^2/a_lift,(L$33)/v_lift+v_lift/a_lift,2*SQRT((L$33)/a_lift)))+t_pos+t_ch)</f>
        <v>0.0290515873015873</v>
      </c>
      <c r="M45" s="20" t="n">
        <f aca="false">$C45*M$34*(t_ch+IF(($B45)&lt;=0,0,IF(($B45)&gt;=v_lift^2/a_lift,($B45)/v_lift+v_lift/a_lift,2*SQRT(($B45)/a_lift)))+t_pos+t_I+IF((ABS($B45-M$33))&lt;=0,0,IF((ABS($B45-M$33))&gt;=v_lift^2/a_lift,(ABS($B45-M$33))/v_lift+v_lift/a_lift,2*SQRT((ABS($B45-M$33))/a_lift)))+t_pos+t_I+IF((M$33)&lt;=0,0,IF((M$33)&gt;=v_lift^2/a_lift,(M$33)/v_lift+v_lift/a_lift,2*SQRT((M$33)/a_lift)))+t_pos+t_ch)</f>
        <v>0.0286547619047619</v>
      </c>
      <c r="N45" s="20" t="n">
        <f aca="false">$C45*N$34*(t_ch+IF(($B45)&lt;=0,0,IF(($B45)&gt;=v_lift^2/a_lift,($B45)/v_lift+v_lift/a_lift,2*SQRT(($B45)/a_lift)))+t_pos+t_I+IF((ABS($B45-N$33))&lt;=0,0,IF((ABS($B45-N$33))&gt;=v_lift^2/a_lift,(ABS($B45-N$33))/v_lift+v_lift/a_lift,2*SQRT((ABS($B45-N$33))/a_lift)))+t_pos+t_I+IF((N$33)&lt;=0,0,IF((N$33)&gt;=v_lift^2/a_lift,(N$33)/v_lift+v_lift/a_lift,2*SQRT((N$33)/a_lift)))+t_pos+t_ch)</f>
        <v>0</v>
      </c>
      <c r="O45" s="20" t="n">
        <f aca="false">$C45*O$34*(t_ch+IF(($B45)&lt;=0,0,IF(($B45)&gt;=v_lift^2/a_lift,($B45)/v_lift+v_lift/a_lift,2*SQRT(($B45)/a_lift)))+t_pos+t_I+IF((ABS($B45-O$33))&lt;=0,0,IF((ABS($B45-O$33))&gt;=v_lift^2/a_lift,(ABS($B45-O$33))/v_lift+v_lift/a_lift,2*SQRT((ABS($B45-O$33))/a_lift)))+t_pos+t_I+IF((O$33)&lt;=0,0,IF((O$33)&gt;=v_lift^2/a_lift,(O$33)/v_lift+v_lift/a_lift,2*SQRT((O$33)/a_lift)))+t_pos+t_ch)</f>
        <v>0</v>
      </c>
      <c r="P45" s="20" t="n">
        <f aca="false">$C45*P$34*(t_ch+IF(($B45)&lt;=0,0,IF(($B45)&gt;=v_lift^2/a_lift,($B45)/v_lift+v_lift/a_lift,2*SQRT(($B45)/a_lift)))+t_pos+t_I+IF((ABS($B45-P$33))&lt;=0,0,IF((ABS($B45-P$33))&gt;=v_lift^2/a_lift,(ABS($B45-P$33))/v_lift+v_lift/a_lift,2*SQRT((ABS($B45-P$33))/a_lift)))+t_pos+t_I+IF((P$33)&lt;=0,0,IF((P$33)&gt;=v_lift^2/a_lift,(P$33)/v_lift+v_lift/a_lift,2*SQRT((P$33)/a_lift)))+t_pos+t_ch)</f>
        <v>0</v>
      </c>
      <c r="Q45" s="20" t="n">
        <f aca="false">$C45*Q$34*(t_ch+IF(($B45)&lt;=0,0,IF(($B45)&gt;=v_lift^2/a_lift,($B45)/v_lift+v_lift/a_lift,2*SQRT(($B45)/a_lift)))+t_pos+t_I+IF((ABS($B45-Q$33))&lt;=0,0,IF((ABS($B45-Q$33))&gt;=v_lift^2/a_lift,(ABS($B45-Q$33))/v_lift+v_lift/a_lift,2*SQRT((ABS($B45-Q$33))/a_lift)))+t_pos+t_I+IF((Q$33)&lt;=0,0,IF((Q$33)&gt;=v_lift^2/a_lift,(Q$33)/v_lift+v_lift/a_lift,2*SQRT((Q$33)/a_lift)))+t_pos+t_ch)</f>
        <v>0</v>
      </c>
      <c r="R45" s="20" t="n">
        <f aca="false">$C45*R$34*(t_ch+IF(($B45)&lt;=0,0,IF(($B45)&gt;=v_lift^2/a_lift,($B45)/v_lift+v_lift/a_lift,2*SQRT(($B45)/a_lift)))+t_pos+t_I+IF((ABS($B45-R$33))&lt;=0,0,IF((ABS($B45-R$33))&gt;=v_lift^2/a_lift,(ABS($B45-R$33))/v_lift+v_lift/a_lift,2*SQRT((ABS($B45-R$33))/a_lift)))+t_pos+t_I+IF((R$33)&lt;=0,0,IF((R$33)&gt;=v_lift^2/a_lift,(R$33)/v_lift+v_lift/a_lift,2*SQRT((R$33)/a_lift)))+t_pos+t_ch)</f>
        <v>0</v>
      </c>
      <c r="S45" s="20" t="n">
        <f aca="false">$C45*S$34*(t_ch+IF(($B45)&lt;=0,0,IF(($B45)&gt;=v_lift^2/a_lift,($B45)/v_lift+v_lift/a_lift,2*SQRT(($B45)/a_lift)))+t_pos+t_I+IF((ABS($B45-S$33))&lt;=0,0,IF((ABS($B45-S$33))&gt;=v_lift^2/a_lift,(ABS($B45-S$33))/v_lift+v_lift/a_lift,2*SQRT((ABS($B45-S$33))/a_lift)))+t_pos+t_I+IF((S$33)&lt;=0,0,IF((S$33)&gt;=v_lift^2/a_lift,(S$33)/v_lift+v_lift/a_lift,2*SQRT((S$33)/a_lift)))+t_pos+t_ch)</f>
        <v>0</v>
      </c>
      <c r="T45" s="20" t="n">
        <f aca="false">$C45*T$34*(t_ch+IF(($B45)&lt;=0,0,IF(($B45)&gt;=v_lift^2/a_lift,($B45)/v_lift+v_lift/a_lift,2*SQRT(($B45)/a_lift)))+t_pos+t_I+IF((ABS($B45-T$33))&lt;=0,0,IF((ABS($B45-T$33))&gt;=v_lift^2/a_lift,(ABS($B45-T$33))/v_lift+v_lift/a_lift,2*SQRT((ABS($B45-T$33))/a_lift)))+t_pos+t_I+IF((T$33)&lt;=0,0,IF((T$33)&gt;=v_lift^2/a_lift,(T$33)/v_lift+v_lift/a_lift,2*SQRT((T$33)/a_lift)))+t_pos+t_ch)</f>
        <v>0</v>
      </c>
      <c r="U45" s="20" t="n">
        <f aca="false">$C45*U$34*(t_ch+IF(($B45)&lt;=0,0,IF(($B45)&gt;=v_lift^2/a_lift,($B45)/v_lift+v_lift/a_lift,2*SQRT(($B45)/a_lift)))+t_pos+t_I+IF((ABS($B45-U$33))&lt;=0,0,IF((ABS($B45-U$33))&gt;=v_lift^2/a_lift,(ABS($B45-U$33))/v_lift+v_lift/a_lift,2*SQRT((ABS($B45-U$33))/a_lift)))+t_pos+t_I+IF((U$33)&lt;=0,0,IF((U$33)&gt;=v_lift^2/a_lift,(U$33)/v_lift+v_lift/a_lift,2*SQRT((U$33)/a_lift)))+t_pos+t_ch)</f>
        <v>0</v>
      </c>
      <c r="V45" s="20" t="n">
        <f aca="false">$C45*V$34*(t_ch+IF(($B45)&lt;=0,0,IF(($B45)&gt;=v_lift^2/a_lift,($B45)/v_lift+v_lift/a_lift,2*SQRT(($B45)/a_lift)))+t_pos+t_I+IF((ABS($B45-V$33))&lt;=0,0,IF((ABS($B45-V$33))&gt;=v_lift^2/a_lift,(ABS($B45-V$33))/v_lift+v_lift/a_lift,2*SQRT((ABS($B45-V$33))/a_lift)))+t_pos+t_I+IF((V$33)&lt;=0,0,IF((V$33)&gt;=v_lift^2/a_lift,(V$33)/v_lift+v_lift/a_lift,2*SQRT((V$33)/a_lift)))+t_pos+t_ch)</f>
        <v>0</v>
      </c>
      <c r="W45" s="20" t="n">
        <f aca="false">$C45*W$34*(t_ch+IF(($B45)&lt;=0,0,IF(($B45)&gt;=v_lift^2/a_lift,($B45)/v_lift+v_lift/a_lift,2*SQRT(($B45)/a_lift)))+t_pos+t_I+IF((ABS($B45-W$33))&lt;=0,0,IF((ABS($B45-W$33))&gt;=v_lift^2/a_lift,(ABS($B45-W$33))/v_lift+v_lift/a_lift,2*SQRT((ABS($B45-W$33))/a_lift)))+t_pos+t_I+IF((W$33)&lt;=0,0,IF((W$33)&gt;=v_lift^2/a_lift,(W$33)/v_lift+v_lift/a_lift,2*SQRT((W$33)/a_lift)))+t_pos+t_ch)</f>
        <v>0</v>
      </c>
    </row>
    <row r="46" customFormat="false" ht="15" hidden="false" customHeight="false" outlineLevel="0" collapsed="false">
      <c r="A46" s="7" t="n">
        <v>11</v>
      </c>
      <c r="B46" s="18" t="n">
        <f aca="false">Tiers!C14</f>
        <v>0</v>
      </c>
      <c r="C46" s="19" t="n">
        <f aca="false">Tiers!J14</f>
        <v>0</v>
      </c>
      <c r="D46" s="20" t="n">
        <f aca="false">$C46*D$34*(t_ch+IF(($B46)&lt;=0,0,IF(($B46)&gt;=v_lift^2/a_lift,($B46)/v_lift+v_lift/a_lift,2*SQRT(($B46)/a_lift)))+t_pos+t_I+IF((ABS($B46-D$33))&lt;=0,0,IF((ABS($B46-D$33))&gt;=v_lift^2/a_lift,(ABS($B46-D$33))/v_lift+v_lift/a_lift,2*SQRT((ABS($B46-D$33))/a_lift)))+t_pos+t_I+IF((D$33)&lt;=0,0,IF((D$33)&gt;=v_lift^2/a_lift,(D$33)/v_lift+v_lift/a_lift,2*SQRT((D$33)/a_lift)))+t_pos+t_ch)</f>
        <v>0</v>
      </c>
      <c r="E46" s="20" t="n">
        <f aca="false">$C46*E$34*(t_ch+IF(($B46)&lt;=0,0,IF(($B46)&gt;=v_lift^2/a_lift,($B46)/v_lift+v_lift/a_lift,2*SQRT(($B46)/a_lift)))+t_pos+t_I+IF((ABS($B46-E$33))&lt;=0,0,IF((ABS($B46-E$33))&gt;=v_lift^2/a_lift,(ABS($B46-E$33))/v_lift+v_lift/a_lift,2*SQRT((ABS($B46-E$33))/a_lift)))+t_pos+t_I+IF((E$33)&lt;=0,0,IF((E$33)&gt;=v_lift^2/a_lift,(E$33)/v_lift+v_lift/a_lift,2*SQRT((E$33)/a_lift)))+t_pos+t_ch)</f>
        <v>0</v>
      </c>
      <c r="F46" s="20" t="n">
        <f aca="false">$C46*F$34*(t_ch+IF(($B46)&lt;=0,0,IF(($B46)&gt;=v_lift^2/a_lift,($B46)/v_lift+v_lift/a_lift,2*SQRT(($B46)/a_lift)))+t_pos+t_I+IF((ABS($B46-F$33))&lt;=0,0,IF((ABS($B46-F$33))&gt;=v_lift^2/a_lift,(ABS($B46-F$33))/v_lift+v_lift/a_lift,2*SQRT((ABS($B46-F$33))/a_lift)))+t_pos+t_I+IF((F$33)&lt;=0,0,IF((F$33)&gt;=v_lift^2/a_lift,(F$33)/v_lift+v_lift/a_lift,2*SQRT((F$33)/a_lift)))+t_pos+t_ch)</f>
        <v>0</v>
      </c>
      <c r="G46" s="20" t="n">
        <f aca="false">$C46*G$34*(t_ch+IF(($B46)&lt;=0,0,IF(($B46)&gt;=v_lift^2/a_lift,($B46)/v_lift+v_lift/a_lift,2*SQRT(($B46)/a_lift)))+t_pos+t_I+IF((ABS($B46-G$33))&lt;=0,0,IF((ABS($B46-G$33))&gt;=v_lift^2/a_lift,(ABS($B46-G$33))/v_lift+v_lift/a_lift,2*SQRT((ABS($B46-G$33))/a_lift)))+t_pos+t_I+IF((G$33)&lt;=0,0,IF((G$33)&gt;=v_lift^2/a_lift,(G$33)/v_lift+v_lift/a_lift,2*SQRT((G$33)/a_lift)))+t_pos+t_ch)</f>
        <v>0</v>
      </c>
      <c r="H46" s="20" t="n">
        <f aca="false">$C46*H$34*(t_ch+IF(($B46)&lt;=0,0,IF(($B46)&gt;=v_lift^2/a_lift,($B46)/v_lift+v_lift/a_lift,2*SQRT(($B46)/a_lift)))+t_pos+t_I+IF((ABS($B46-H$33))&lt;=0,0,IF((ABS($B46-H$33))&gt;=v_lift^2/a_lift,(ABS($B46-H$33))/v_lift+v_lift/a_lift,2*SQRT((ABS($B46-H$33))/a_lift)))+t_pos+t_I+IF((H$33)&lt;=0,0,IF((H$33)&gt;=v_lift^2/a_lift,(H$33)/v_lift+v_lift/a_lift,2*SQRT((H$33)/a_lift)))+t_pos+t_ch)</f>
        <v>0</v>
      </c>
      <c r="I46" s="20" t="n">
        <f aca="false">$C46*I$34*(t_ch+IF(($B46)&lt;=0,0,IF(($B46)&gt;=v_lift^2/a_lift,($B46)/v_lift+v_lift/a_lift,2*SQRT(($B46)/a_lift)))+t_pos+t_I+IF((ABS($B46-I$33))&lt;=0,0,IF((ABS($B46-I$33))&gt;=v_lift^2/a_lift,(ABS($B46-I$33))/v_lift+v_lift/a_lift,2*SQRT((ABS($B46-I$33))/a_lift)))+t_pos+t_I+IF((I$33)&lt;=0,0,IF((I$33)&gt;=v_lift^2/a_lift,(I$33)/v_lift+v_lift/a_lift,2*SQRT((I$33)/a_lift)))+t_pos+t_ch)</f>
        <v>0</v>
      </c>
      <c r="J46" s="20" t="n">
        <f aca="false">$C46*J$34*(t_ch+IF(($B46)&lt;=0,0,IF(($B46)&gt;=v_lift^2/a_lift,($B46)/v_lift+v_lift/a_lift,2*SQRT(($B46)/a_lift)))+t_pos+t_I+IF((ABS($B46-J$33))&lt;=0,0,IF((ABS($B46-J$33))&gt;=v_lift^2/a_lift,(ABS($B46-J$33))/v_lift+v_lift/a_lift,2*SQRT((ABS($B46-J$33))/a_lift)))+t_pos+t_I+IF((J$33)&lt;=0,0,IF((J$33)&gt;=v_lift^2/a_lift,(J$33)/v_lift+v_lift/a_lift,2*SQRT((J$33)/a_lift)))+t_pos+t_ch)</f>
        <v>0</v>
      </c>
      <c r="K46" s="20" t="n">
        <f aca="false">$C46*K$34*(t_ch+IF(($B46)&lt;=0,0,IF(($B46)&gt;=v_lift^2/a_lift,($B46)/v_lift+v_lift/a_lift,2*SQRT(($B46)/a_lift)))+t_pos+t_I+IF((ABS($B46-K$33))&lt;=0,0,IF((ABS($B46-K$33))&gt;=v_lift^2/a_lift,(ABS($B46-K$33))/v_lift+v_lift/a_lift,2*SQRT((ABS($B46-K$33))/a_lift)))+t_pos+t_I+IF((K$33)&lt;=0,0,IF((K$33)&gt;=v_lift^2/a_lift,(K$33)/v_lift+v_lift/a_lift,2*SQRT((K$33)/a_lift)))+t_pos+t_ch)</f>
        <v>0</v>
      </c>
      <c r="L46" s="20" t="n">
        <f aca="false">$C46*L$34*(t_ch+IF(($B46)&lt;=0,0,IF(($B46)&gt;=v_lift^2/a_lift,($B46)/v_lift+v_lift/a_lift,2*SQRT(($B46)/a_lift)))+t_pos+t_I+IF((ABS($B46-L$33))&lt;=0,0,IF((ABS($B46-L$33))&gt;=v_lift^2/a_lift,(ABS($B46-L$33))/v_lift+v_lift/a_lift,2*SQRT((ABS($B46-L$33))/a_lift)))+t_pos+t_I+IF((L$33)&lt;=0,0,IF((L$33)&gt;=v_lift^2/a_lift,(L$33)/v_lift+v_lift/a_lift,2*SQRT((L$33)/a_lift)))+t_pos+t_ch)</f>
        <v>0</v>
      </c>
      <c r="M46" s="20" t="n">
        <f aca="false">$C46*M$34*(t_ch+IF(($B46)&lt;=0,0,IF(($B46)&gt;=v_lift^2/a_lift,($B46)/v_lift+v_lift/a_lift,2*SQRT(($B46)/a_lift)))+t_pos+t_I+IF((ABS($B46-M$33))&lt;=0,0,IF((ABS($B46-M$33))&gt;=v_lift^2/a_lift,(ABS($B46-M$33))/v_lift+v_lift/a_lift,2*SQRT((ABS($B46-M$33))/a_lift)))+t_pos+t_I+IF((M$33)&lt;=0,0,IF((M$33)&gt;=v_lift^2/a_lift,(M$33)/v_lift+v_lift/a_lift,2*SQRT((M$33)/a_lift)))+t_pos+t_ch)</f>
        <v>0</v>
      </c>
      <c r="N46" s="20" t="n">
        <f aca="false">$C46*N$34*(t_ch+IF(($B46)&lt;=0,0,IF(($B46)&gt;=v_lift^2/a_lift,($B46)/v_lift+v_lift/a_lift,2*SQRT(($B46)/a_lift)))+t_pos+t_I+IF((ABS($B46-N$33))&lt;=0,0,IF((ABS($B46-N$33))&gt;=v_lift^2/a_lift,(ABS($B46-N$33))/v_lift+v_lift/a_lift,2*SQRT((ABS($B46-N$33))/a_lift)))+t_pos+t_I+IF((N$33)&lt;=0,0,IF((N$33)&gt;=v_lift^2/a_lift,(N$33)/v_lift+v_lift/a_lift,2*SQRT((N$33)/a_lift)))+t_pos+t_ch)</f>
        <v>0</v>
      </c>
      <c r="O46" s="20" t="n">
        <f aca="false">$C46*O$34*(t_ch+IF(($B46)&lt;=0,0,IF(($B46)&gt;=v_lift^2/a_lift,($B46)/v_lift+v_lift/a_lift,2*SQRT(($B46)/a_lift)))+t_pos+t_I+IF((ABS($B46-O$33))&lt;=0,0,IF((ABS($B46-O$33))&gt;=v_lift^2/a_lift,(ABS($B46-O$33))/v_lift+v_lift/a_lift,2*SQRT((ABS($B46-O$33))/a_lift)))+t_pos+t_I+IF((O$33)&lt;=0,0,IF((O$33)&gt;=v_lift^2/a_lift,(O$33)/v_lift+v_lift/a_lift,2*SQRT((O$33)/a_lift)))+t_pos+t_ch)</f>
        <v>0</v>
      </c>
      <c r="P46" s="20" t="n">
        <f aca="false">$C46*P$34*(t_ch+IF(($B46)&lt;=0,0,IF(($B46)&gt;=v_lift^2/a_lift,($B46)/v_lift+v_lift/a_lift,2*SQRT(($B46)/a_lift)))+t_pos+t_I+IF((ABS($B46-P$33))&lt;=0,0,IF((ABS($B46-P$33))&gt;=v_lift^2/a_lift,(ABS($B46-P$33))/v_lift+v_lift/a_lift,2*SQRT((ABS($B46-P$33))/a_lift)))+t_pos+t_I+IF((P$33)&lt;=0,0,IF((P$33)&gt;=v_lift^2/a_lift,(P$33)/v_lift+v_lift/a_lift,2*SQRT((P$33)/a_lift)))+t_pos+t_ch)</f>
        <v>0</v>
      </c>
      <c r="Q46" s="20" t="n">
        <f aca="false">$C46*Q$34*(t_ch+IF(($B46)&lt;=0,0,IF(($B46)&gt;=v_lift^2/a_lift,($B46)/v_lift+v_lift/a_lift,2*SQRT(($B46)/a_lift)))+t_pos+t_I+IF((ABS($B46-Q$33))&lt;=0,0,IF((ABS($B46-Q$33))&gt;=v_lift^2/a_lift,(ABS($B46-Q$33))/v_lift+v_lift/a_lift,2*SQRT((ABS($B46-Q$33))/a_lift)))+t_pos+t_I+IF((Q$33)&lt;=0,0,IF((Q$33)&gt;=v_lift^2/a_lift,(Q$33)/v_lift+v_lift/a_lift,2*SQRT((Q$33)/a_lift)))+t_pos+t_ch)</f>
        <v>0</v>
      </c>
      <c r="R46" s="20" t="n">
        <f aca="false">$C46*R$34*(t_ch+IF(($B46)&lt;=0,0,IF(($B46)&gt;=v_lift^2/a_lift,($B46)/v_lift+v_lift/a_lift,2*SQRT(($B46)/a_lift)))+t_pos+t_I+IF((ABS($B46-R$33))&lt;=0,0,IF((ABS($B46-R$33))&gt;=v_lift^2/a_lift,(ABS($B46-R$33))/v_lift+v_lift/a_lift,2*SQRT((ABS($B46-R$33))/a_lift)))+t_pos+t_I+IF((R$33)&lt;=0,0,IF((R$33)&gt;=v_lift^2/a_lift,(R$33)/v_lift+v_lift/a_lift,2*SQRT((R$33)/a_lift)))+t_pos+t_ch)</f>
        <v>0</v>
      </c>
      <c r="S46" s="20" t="n">
        <f aca="false">$C46*S$34*(t_ch+IF(($B46)&lt;=0,0,IF(($B46)&gt;=v_lift^2/a_lift,($B46)/v_lift+v_lift/a_lift,2*SQRT(($B46)/a_lift)))+t_pos+t_I+IF((ABS($B46-S$33))&lt;=0,0,IF((ABS($B46-S$33))&gt;=v_lift^2/a_lift,(ABS($B46-S$33))/v_lift+v_lift/a_lift,2*SQRT((ABS($B46-S$33))/a_lift)))+t_pos+t_I+IF((S$33)&lt;=0,0,IF((S$33)&gt;=v_lift^2/a_lift,(S$33)/v_lift+v_lift/a_lift,2*SQRT((S$33)/a_lift)))+t_pos+t_ch)</f>
        <v>0</v>
      </c>
      <c r="T46" s="20" t="n">
        <f aca="false">$C46*T$34*(t_ch+IF(($B46)&lt;=0,0,IF(($B46)&gt;=v_lift^2/a_lift,($B46)/v_lift+v_lift/a_lift,2*SQRT(($B46)/a_lift)))+t_pos+t_I+IF((ABS($B46-T$33))&lt;=0,0,IF((ABS($B46-T$33))&gt;=v_lift^2/a_lift,(ABS($B46-T$33))/v_lift+v_lift/a_lift,2*SQRT((ABS($B46-T$33))/a_lift)))+t_pos+t_I+IF((T$33)&lt;=0,0,IF((T$33)&gt;=v_lift^2/a_lift,(T$33)/v_lift+v_lift/a_lift,2*SQRT((T$33)/a_lift)))+t_pos+t_ch)</f>
        <v>0</v>
      </c>
      <c r="U46" s="20" t="n">
        <f aca="false">$C46*U$34*(t_ch+IF(($B46)&lt;=0,0,IF(($B46)&gt;=v_lift^2/a_lift,($B46)/v_lift+v_lift/a_lift,2*SQRT(($B46)/a_lift)))+t_pos+t_I+IF((ABS($B46-U$33))&lt;=0,0,IF((ABS($B46-U$33))&gt;=v_lift^2/a_lift,(ABS($B46-U$33))/v_lift+v_lift/a_lift,2*SQRT((ABS($B46-U$33))/a_lift)))+t_pos+t_I+IF((U$33)&lt;=0,0,IF((U$33)&gt;=v_lift^2/a_lift,(U$33)/v_lift+v_lift/a_lift,2*SQRT((U$33)/a_lift)))+t_pos+t_ch)</f>
        <v>0</v>
      </c>
      <c r="V46" s="20" t="n">
        <f aca="false">$C46*V$34*(t_ch+IF(($B46)&lt;=0,0,IF(($B46)&gt;=v_lift^2/a_lift,($B46)/v_lift+v_lift/a_lift,2*SQRT(($B46)/a_lift)))+t_pos+t_I+IF((ABS($B46-V$33))&lt;=0,0,IF((ABS($B46-V$33))&gt;=v_lift^2/a_lift,(ABS($B46-V$33))/v_lift+v_lift/a_lift,2*SQRT((ABS($B46-V$33))/a_lift)))+t_pos+t_I+IF((V$33)&lt;=0,0,IF((V$33)&gt;=v_lift^2/a_lift,(V$33)/v_lift+v_lift/a_lift,2*SQRT((V$33)/a_lift)))+t_pos+t_ch)</f>
        <v>0</v>
      </c>
      <c r="W46" s="20" t="n">
        <f aca="false">$C46*W$34*(t_ch+IF(($B46)&lt;=0,0,IF(($B46)&gt;=v_lift^2/a_lift,($B46)/v_lift+v_lift/a_lift,2*SQRT(($B46)/a_lift)))+t_pos+t_I+IF((ABS($B46-W$33))&lt;=0,0,IF((ABS($B46-W$33))&gt;=v_lift^2/a_lift,(ABS($B46-W$33))/v_lift+v_lift/a_lift,2*SQRT((ABS($B46-W$33))/a_lift)))+t_pos+t_I+IF((W$33)&lt;=0,0,IF((W$33)&gt;=v_lift^2/a_lift,(W$33)/v_lift+v_lift/a_lift,2*SQRT((W$33)/a_lift)))+t_pos+t_ch)</f>
        <v>0</v>
      </c>
    </row>
    <row r="47" customFormat="false" ht="15" hidden="false" customHeight="false" outlineLevel="0" collapsed="false">
      <c r="A47" s="7" t="n">
        <v>12</v>
      </c>
      <c r="B47" s="18" t="n">
        <f aca="false">Tiers!C15</f>
        <v>0</v>
      </c>
      <c r="C47" s="19" t="n">
        <f aca="false">Tiers!J15</f>
        <v>0</v>
      </c>
      <c r="D47" s="20" t="n">
        <f aca="false">$C47*D$34*(t_ch+IF(($B47)&lt;=0,0,IF(($B47)&gt;=v_lift^2/a_lift,($B47)/v_lift+v_lift/a_lift,2*SQRT(($B47)/a_lift)))+t_pos+t_I+IF((ABS($B47-D$33))&lt;=0,0,IF((ABS($B47-D$33))&gt;=v_lift^2/a_lift,(ABS($B47-D$33))/v_lift+v_lift/a_lift,2*SQRT((ABS($B47-D$33))/a_lift)))+t_pos+t_I+IF((D$33)&lt;=0,0,IF((D$33)&gt;=v_lift^2/a_lift,(D$33)/v_lift+v_lift/a_lift,2*SQRT((D$33)/a_lift)))+t_pos+t_ch)</f>
        <v>0</v>
      </c>
      <c r="E47" s="20" t="n">
        <f aca="false">$C47*E$34*(t_ch+IF(($B47)&lt;=0,0,IF(($B47)&gt;=v_lift^2/a_lift,($B47)/v_lift+v_lift/a_lift,2*SQRT(($B47)/a_lift)))+t_pos+t_I+IF((ABS($B47-E$33))&lt;=0,0,IF((ABS($B47-E$33))&gt;=v_lift^2/a_lift,(ABS($B47-E$33))/v_lift+v_lift/a_lift,2*SQRT((ABS($B47-E$33))/a_lift)))+t_pos+t_I+IF((E$33)&lt;=0,0,IF((E$33)&gt;=v_lift^2/a_lift,(E$33)/v_lift+v_lift/a_lift,2*SQRT((E$33)/a_lift)))+t_pos+t_ch)</f>
        <v>0</v>
      </c>
      <c r="F47" s="20" t="n">
        <f aca="false">$C47*F$34*(t_ch+IF(($B47)&lt;=0,0,IF(($B47)&gt;=v_lift^2/a_lift,($B47)/v_lift+v_lift/a_lift,2*SQRT(($B47)/a_lift)))+t_pos+t_I+IF((ABS($B47-F$33))&lt;=0,0,IF((ABS($B47-F$33))&gt;=v_lift^2/a_lift,(ABS($B47-F$33))/v_lift+v_lift/a_lift,2*SQRT((ABS($B47-F$33))/a_lift)))+t_pos+t_I+IF((F$33)&lt;=0,0,IF((F$33)&gt;=v_lift^2/a_lift,(F$33)/v_lift+v_lift/a_lift,2*SQRT((F$33)/a_lift)))+t_pos+t_ch)</f>
        <v>0</v>
      </c>
      <c r="G47" s="20" t="n">
        <f aca="false">$C47*G$34*(t_ch+IF(($B47)&lt;=0,0,IF(($B47)&gt;=v_lift^2/a_lift,($B47)/v_lift+v_lift/a_lift,2*SQRT(($B47)/a_lift)))+t_pos+t_I+IF((ABS($B47-G$33))&lt;=0,0,IF((ABS($B47-G$33))&gt;=v_lift^2/a_lift,(ABS($B47-G$33))/v_lift+v_lift/a_lift,2*SQRT((ABS($B47-G$33))/a_lift)))+t_pos+t_I+IF((G$33)&lt;=0,0,IF((G$33)&gt;=v_lift^2/a_lift,(G$33)/v_lift+v_lift/a_lift,2*SQRT((G$33)/a_lift)))+t_pos+t_ch)</f>
        <v>0</v>
      </c>
      <c r="H47" s="20" t="n">
        <f aca="false">$C47*H$34*(t_ch+IF(($B47)&lt;=0,0,IF(($B47)&gt;=v_lift^2/a_lift,($B47)/v_lift+v_lift/a_lift,2*SQRT(($B47)/a_lift)))+t_pos+t_I+IF((ABS($B47-H$33))&lt;=0,0,IF((ABS($B47-H$33))&gt;=v_lift^2/a_lift,(ABS($B47-H$33))/v_lift+v_lift/a_lift,2*SQRT((ABS($B47-H$33))/a_lift)))+t_pos+t_I+IF((H$33)&lt;=0,0,IF((H$33)&gt;=v_lift^2/a_lift,(H$33)/v_lift+v_lift/a_lift,2*SQRT((H$33)/a_lift)))+t_pos+t_ch)</f>
        <v>0</v>
      </c>
      <c r="I47" s="20" t="n">
        <f aca="false">$C47*I$34*(t_ch+IF(($B47)&lt;=0,0,IF(($B47)&gt;=v_lift^2/a_lift,($B47)/v_lift+v_lift/a_lift,2*SQRT(($B47)/a_lift)))+t_pos+t_I+IF((ABS($B47-I$33))&lt;=0,0,IF((ABS($B47-I$33))&gt;=v_lift^2/a_lift,(ABS($B47-I$33))/v_lift+v_lift/a_lift,2*SQRT((ABS($B47-I$33))/a_lift)))+t_pos+t_I+IF((I$33)&lt;=0,0,IF((I$33)&gt;=v_lift^2/a_lift,(I$33)/v_lift+v_lift/a_lift,2*SQRT((I$33)/a_lift)))+t_pos+t_ch)</f>
        <v>0</v>
      </c>
      <c r="J47" s="20" t="n">
        <f aca="false">$C47*J$34*(t_ch+IF(($B47)&lt;=0,0,IF(($B47)&gt;=v_lift^2/a_lift,($B47)/v_lift+v_lift/a_lift,2*SQRT(($B47)/a_lift)))+t_pos+t_I+IF((ABS($B47-J$33))&lt;=0,0,IF((ABS($B47-J$33))&gt;=v_lift^2/a_lift,(ABS($B47-J$33))/v_lift+v_lift/a_lift,2*SQRT((ABS($B47-J$33))/a_lift)))+t_pos+t_I+IF((J$33)&lt;=0,0,IF((J$33)&gt;=v_lift^2/a_lift,(J$33)/v_lift+v_lift/a_lift,2*SQRT((J$33)/a_lift)))+t_pos+t_ch)</f>
        <v>0</v>
      </c>
      <c r="K47" s="20" t="n">
        <f aca="false">$C47*K$34*(t_ch+IF(($B47)&lt;=0,0,IF(($B47)&gt;=v_lift^2/a_lift,($B47)/v_lift+v_lift/a_lift,2*SQRT(($B47)/a_lift)))+t_pos+t_I+IF((ABS($B47-K$33))&lt;=0,0,IF((ABS($B47-K$33))&gt;=v_lift^2/a_lift,(ABS($B47-K$33))/v_lift+v_lift/a_lift,2*SQRT((ABS($B47-K$33))/a_lift)))+t_pos+t_I+IF((K$33)&lt;=0,0,IF((K$33)&gt;=v_lift^2/a_lift,(K$33)/v_lift+v_lift/a_lift,2*SQRT((K$33)/a_lift)))+t_pos+t_ch)</f>
        <v>0</v>
      </c>
      <c r="L47" s="20" t="n">
        <f aca="false">$C47*L$34*(t_ch+IF(($B47)&lt;=0,0,IF(($B47)&gt;=v_lift^2/a_lift,($B47)/v_lift+v_lift/a_lift,2*SQRT(($B47)/a_lift)))+t_pos+t_I+IF((ABS($B47-L$33))&lt;=0,0,IF((ABS($B47-L$33))&gt;=v_lift^2/a_lift,(ABS($B47-L$33))/v_lift+v_lift/a_lift,2*SQRT((ABS($B47-L$33))/a_lift)))+t_pos+t_I+IF((L$33)&lt;=0,0,IF((L$33)&gt;=v_lift^2/a_lift,(L$33)/v_lift+v_lift/a_lift,2*SQRT((L$33)/a_lift)))+t_pos+t_ch)</f>
        <v>0</v>
      </c>
      <c r="M47" s="20" t="n">
        <f aca="false">$C47*M$34*(t_ch+IF(($B47)&lt;=0,0,IF(($B47)&gt;=v_lift^2/a_lift,($B47)/v_lift+v_lift/a_lift,2*SQRT(($B47)/a_lift)))+t_pos+t_I+IF((ABS($B47-M$33))&lt;=0,0,IF((ABS($B47-M$33))&gt;=v_lift^2/a_lift,(ABS($B47-M$33))/v_lift+v_lift/a_lift,2*SQRT((ABS($B47-M$33))/a_lift)))+t_pos+t_I+IF((M$33)&lt;=0,0,IF((M$33)&gt;=v_lift^2/a_lift,(M$33)/v_lift+v_lift/a_lift,2*SQRT((M$33)/a_lift)))+t_pos+t_ch)</f>
        <v>0</v>
      </c>
      <c r="N47" s="20" t="n">
        <f aca="false">$C47*N$34*(t_ch+IF(($B47)&lt;=0,0,IF(($B47)&gt;=v_lift^2/a_lift,($B47)/v_lift+v_lift/a_lift,2*SQRT(($B47)/a_lift)))+t_pos+t_I+IF((ABS($B47-N$33))&lt;=0,0,IF((ABS($B47-N$33))&gt;=v_lift^2/a_lift,(ABS($B47-N$33))/v_lift+v_lift/a_lift,2*SQRT((ABS($B47-N$33))/a_lift)))+t_pos+t_I+IF((N$33)&lt;=0,0,IF((N$33)&gt;=v_lift^2/a_lift,(N$33)/v_lift+v_lift/a_lift,2*SQRT((N$33)/a_lift)))+t_pos+t_ch)</f>
        <v>0</v>
      </c>
      <c r="O47" s="20" t="n">
        <f aca="false">$C47*O$34*(t_ch+IF(($B47)&lt;=0,0,IF(($B47)&gt;=v_lift^2/a_lift,($B47)/v_lift+v_lift/a_lift,2*SQRT(($B47)/a_lift)))+t_pos+t_I+IF((ABS($B47-O$33))&lt;=0,0,IF((ABS($B47-O$33))&gt;=v_lift^2/a_lift,(ABS($B47-O$33))/v_lift+v_lift/a_lift,2*SQRT((ABS($B47-O$33))/a_lift)))+t_pos+t_I+IF((O$33)&lt;=0,0,IF((O$33)&gt;=v_lift^2/a_lift,(O$33)/v_lift+v_lift/a_lift,2*SQRT((O$33)/a_lift)))+t_pos+t_ch)</f>
        <v>0</v>
      </c>
      <c r="P47" s="20" t="n">
        <f aca="false">$C47*P$34*(t_ch+IF(($B47)&lt;=0,0,IF(($B47)&gt;=v_lift^2/a_lift,($B47)/v_lift+v_lift/a_lift,2*SQRT(($B47)/a_lift)))+t_pos+t_I+IF((ABS($B47-P$33))&lt;=0,0,IF((ABS($B47-P$33))&gt;=v_lift^2/a_lift,(ABS($B47-P$33))/v_lift+v_lift/a_lift,2*SQRT((ABS($B47-P$33))/a_lift)))+t_pos+t_I+IF((P$33)&lt;=0,0,IF((P$33)&gt;=v_lift^2/a_lift,(P$33)/v_lift+v_lift/a_lift,2*SQRT((P$33)/a_lift)))+t_pos+t_ch)</f>
        <v>0</v>
      </c>
      <c r="Q47" s="20" t="n">
        <f aca="false">$C47*Q$34*(t_ch+IF(($B47)&lt;=0,0,IF(($B47)&gt;=v_lift^2/a_lift,($B47)/v_lift+v_lift/a_lift,2*SQRT(($B47)/a_lift)))+t_pos+t_I+IF((ABS($B47-Q$33))&lt;=0,0,IF((ABS($B47-Q$33))&gt;=v_lift^2/a_lift,(ABS($B47-Q$33))/v_lift+v_lift/a_lift,2*SQRT((ABS($B47-Q$33))/a_lift)))+t_pos+t_I+IF((Q$33)&lt;=0,0,IF((Q$33)&gt;=v_lift^2/a_lift,(Q$33)/v_lift+v_lift/a_lift,2*SQRT((Q$33)/a_lift)))+t_pos+t_ch)</f>
        <v>0</v>
      </c>
      <c r="R47" s="20" t="n">
        <f aca="false">$C47*R$34*(t_ch+IF(($B47)&lt;=0,0,IF(($B47)&gt;=v_lift^2/a_lift,($B47)/v_lift+v_lift/a_lift,2*SQRT(($B47)/a_lift)))+t_pos+t_I+IF((ABS($B47-R$33))&lt;=0,0,IF((ABS($B47-R$33))&gt;=v_lift^2/a_lift,(ABS($B47-R$33))/v_lift+v_lift/a_lift,2*SQRT((ABS($B47-R$33))/a_lift)))+t_pos+t_I+IF((R$33)&lt;=0,0,IF((R$33)&gt;=v_lift^2/a_lift,(R$33)/v_lift+v_lift/a_lift,2*SQRT((R$33)/a_lift)))+t_pos+t_ch)</f>
        <v>0</v>
      </c>
      <c r="S47" s="20" t="n">
        <f aca="false">$C47*S$34*(t_ch+IF(($B47)&lt;=0,0,IF(($B47)&gt;=v_lift^2/a_lift,($B47)/v_lift+v_lift/a_lift,2*SQRT(($B47)/a_lift)))+t_pos+t_I+IF((ABS($B47-S$33))&lt;=0,0,IF((ABS($B47-S$33))&gt;=v_lift^2/a_lift,(ABS($B47-S$33))/v_lift+v_lift/a_lift,2*SQRT((ABS($B47-S$33))/a_lift)))+t_pos+t_I+IF((S$33)&lt;=0,0,IF((S$33)&gt;=v_lift^2/a_lift,(S$33)/v_lift+v_lift/a_lift,2*SQRT((S$33)/a_lift)))+t_pos+t_ch)</f>
        <v>0</v>
      </c>
      <c r="T47" s="20" t="n">
        <f aca="false">$C47*T$34*(t_ch+IF(($B47)&lt;=0,0,IF(($B47)&gt;=v_lift^2/a_lift,($B47)/v_lift+v_lift/a_lift,2*SQRT(($B47)/a_lift)))+t_pos+t_I+IF((ABS($B47-T$33))&lt;=0,0,IF((ABS($B47-T$33))&gt;=v_lift^2/a_lift,(ABS($B47-T$33))/v_lift+v_lift/a_lift,2*SQRT((ABS($B47-T$33))/a_lift)))+t_pos+t_I+IF((T$33)&lt;=0,0,IF((T$33)&gt;=v_lift^2/a_lift,(T$33)/v_lift+v_lift/a_lift,2*SQRT((T$33)/a_lift)))+t_pos+t_ch)</f>
        <v>0</v>
      </c>
      <c r="U47" s="20" t="n">
        <f aca="false">$C47*U$34*(t_ch+IF(($B47)&lt;=0,0,IF(($B47)&gt;=v_lift^2/a_lift,($B47)/v_lift+v_lift/a_lift,2*SQRT(($B47)/a_lift)))+t_pos+t_I+IF((ABS($B47-U$33))&lt;=0,0,IF((ABS($B47-U$33))&gt;=v_lift^2/a_lift,(ABS($B47-U$33))/v_lift+v_lift/a_lift,2*SQRT((ABS($B47-U$33))/a_lift)))+t_pos+t_I+IF((U$33)&lt;=0,0,IF((U$33)&gt;=v_lift^2/a_lift,(U$33)/v_lift+v_lift/a_lift,2*SQRT((U$33)/a_lift)))+t_pos+t_ch)</f>
        <v>0</v>
      </c>
      <c r="V47" s="20" t="n">
        <f aca="false">$C47*V$34*(t_ch+IF(($B47)&lt;=0,0,IF(($B47)&gt;=v_lift^2/a_lift,($B47)/v_lift+v_lift/a_lift,2*SQRT(($B47)/a_lift)))+t_pos+t_I+IF((ABS($B47-V$33))&lt;=0,0,IF((ABS($B47-V$33))&gt;=v_lift^2/a_lift,(ABS($B47-V$33))/v_lift+v_lift/a_lift,2*SQRT((ABS($B47-V$33))/a_lift)))+t_pos+t_I+IF((V$33)&lt;=0,0,IF((V$33)&gt;=v_lift^2/a_lift,(V$33)/v_lift+v_lift/a_lift,2*SQRT((V$33)/a_lift)))+t_pos+t_ch)</f>
        <v>0</v>
      </c>
      <c r="W47" s="20" t="n">
        <f aca="false">$C47*W$34*(t_ch+IF(($B47)&lt;=0,0,IF(($B47)&gt;=v_lift^2/a_lift,($B47)/v_lift+v_lift/a_lift,2*SQRT(($B47)/a_lift)))+t_pos+t_I+IF((ABS($B47-W$33))&lt;=0,0,IF((ABS($B47-W$33))&gt;=v_lift^2/a_lift,(ABS($B47-W$33))/v_lift+v_lift/a_lift,2*SQRT((ABS($B47-W$33))/a_lift)))+t_pos+t_I+IF((W$33)&lt;=0,0,IF((W$33)&gt;=v_lift^2/a_lift,(W$33)/v_lift+v_lift/a_lift,2*SQRT((W$33)/a_lift)))+t_pos+t_ch)</f>
        <v>0</v>
      </c>
    </row>
    <row r="48" customFormat="false" ht="15" hidden="false" customHeight="false" outlineLevel="0" collapsed="false">
      <c r="A48" s="7" t="n">
        <v>13</v>
      </c>
      <c r="B48" s="18" t="n">
        <f aca="false">Tiers!C16</f>
        <v>0</v>
      </c>
      <c r="C48" s="19" t="n">
        <f aca="false">Tiers!J16</f>
        <v>0</v>
      </c>
      <c r="D48" s="20" t="n">
        <f aca="false">$C48*D$34*(t_ch+IF(($B48)&lt;=0,0,IF(($B48)&gt;=v_lift^2/a_lift,($B48)/v_lift+v_lift/a_lift,2*SQRT(($B48)/a_lift)))+t_pos+t_I+IF((ABS($B48-D$33))&lt;=0,0,IF((ABS($B48-D$33))&gt;=v_lift^2/a_lift,(ABS($B48-D$33))/v_lift+v_lift/a_lift,2*SQRT((ABS($B48-D$33))/a_lift)))+t_pos+t_I+IF((D$33)&lt;=0,0,IF((D$33)&gt;=v_lift^2/a_lift,(D$33)/v_lift+v_lift/a_lift,2*SQRT((D$33)/a_lift)))+t_pos+t_ch)</f>
        <v>0</v>
      </c>
      <c r="E48" s="20" t="n">
        <f aca="false">$C48*E$34*(t_ch+IF(($B48)&lt;=0,0,IF(($B48)&gt;=v_lift^2/a_lift,($B48)/v_lift+v_lift/a_lift,2*SQRT(($B48)/a_lift)))+t_pos+t_I+IF((ABS($B48-E$33))&lt;=0,0,IF((ABS($B48-E$33))&gt;=v_lift^2/a_lift,(ABS($B48-E$33))/v_lift+v_lift/a_lift,2*SQRT((ABS($B48-E$33))/a_lift)))+t_pos+t_I+IF((E$33)&lt;=0,0,IF((E$33)&gt;=v_lift^2/a_lift,(E$33)/v_lift+v_lift/a_lift,2*SQRT((E$33)/a_lift)))+t_pos+t_ch)</f>
        <v>0</v>
      </c>
      <c r="F48" s="20" t="n">
        <f aca="false">$C48*F$34*(t_ch+IF(($B48)&lt;=0,0,IF(($B48)&gt;=v_lift^2/a_lift,($B48)/v_lift+v_lift/a_lift,2*SQRT(($B48)/a_lift)))+t_pos+t_I+IF((ABS($B48-F$33))&lt;=0,0,IF((ABS($B48-F$33))&gt;=v_lift^2/a_lift,(ABS($B48-F$33))/v_lift+v_lift/a_lift,2*SQRT((ABS($B48-F$33))/a_lift)))+t_pos+t_I+IF((F$33)&lt;=0,0,IF((F$33)&gt;=v_lift^2/a_lift,(F$33)/v_lift+v_lift/a_lift,2*SQRT((F$33)/a_lift)))+t_pos+t_ch)</f>
        <v>0</v>
      </c>
      <c r="G48" s="20" t="n">
        <f aca="false">$C48*G$34*(t_ch+IF(($B48)&lt;=0,0,IF(($B48)&gt;=v_lift^2/a_lift,($B48)/v_lift+v_lift/a_lift,2*SQRT(($B48)/a_lift)))+t_pos+t_I+IF((ABS($B48-G$33))&lt;=0,0,IF((ABS($B48-G$33))&gt;=v_lift^2/a_lift,(ABS($B48-G$33))/v_lift+v_lift/a_lift,2*SQRT((ABS($B48-G$33))/a_lift)))+t_pos+t_I+IF((G$33)&lt;=0,0,IF((G$33)&gt;=v_lift^2/a_lift,(G$33)/v_lift+v_lift/a_lift,2*SQRT((G$33)/a_lift)))+t_pos+t_ch)</f>
        <v>0</v>
      </c>
      <c r="H48" s="20" t="n">
        <f aca="false">$C48*H$34*(t_ch+IF(($B48)&lt;=0,0,IF(($B48)&gt;=v_lift^2/a_lift,($B48)/v_lift+v_lift/a_lift,2*SQRT(($B48)/a_lift)))+t_pos+t_I+IF((ABS($B48-H$33))&lt;=0,0,IF((ABS($B48-H$33))&gt;=v_lift^2/a_lift,(ABS($B48-H$33))/v_lift+v_lift/a_lift,2*SQRT((ABS($B48-H$33))/a_lift)))+t_pos+t_I+IF((H$33)&lt;=0,0,IF((H$33)&gt;=v_lift^2/a_lift,(H$33)/v_lift+v_lift/a_lift,2*SQRT((H$33)/a_lift)))+t_pos+t_ch)</f>
        <v>0</v>
      </c>
      <c r="I48" s="20" t="n">
        <f aca="false">$C48*I$34*(t_ch+IF(($B48)&lt;=0,0,IF(($B48)&gt;=v_lift^2/a_lift,($B48)/v_lift+v_lift/a_lift,2*SQRT(($B48)/a_lift)))+t_pos+t_I+IF((ABS($B48-I$33))&lt;=0,0,IF((ABS($B48-I$33))&gt;=v_lift^2/a_lift,(ABS($B48-I$33))/v_lift+v_lift/a_lift,2*SQRT((ABS($B48-I$33))/a_lift)))+t_pos+t_I+IF((I$33)&lt;=0,0,IF((I$33)&gt;=v_lift^2/a_lift,(I$33)/v_lift+v_lift/a_lift,2*SQRT((I$33)/a_lift)))+t_pos+t_ch)</f>
        <v>0</v>
      </c>
      <c r="J48" s="20" t="n">
        <f aca="false">$C48*J$34*(t_ch+IF(($B48)&lt;=0,0,IF(($B48)&gt;=v_lift^2/a_lift,($B48)/v_lift+v_lift/a_lift,2*SQRT(($B48)/a_lift)))+t_pos+t_I+IF((ABS($B48-J$33))&lt;=0,0,IF((ABS($B48-J$33))&gt;=v_lift^2/a_lift,(ABS($B48-J$33))/v_lift+v_lift/a_lift,2*SQRT((ABS($B48-J$33))/a_lift)))+t_pos+t_I+IF((J$33)&lt;=0,0,IF((J$33)&gt;=v_lift^2/a_lift,(J$33)/v_lift+v_lift/a_lift,2*SQRT((J$33)/a_lift)))+t_pos+t_ch)</f>
        <v>0</v>
      </c>
      <c r="K48" s="20" t="n">
        <f aca="false">$C48*K$34*(t_ch+IF(($B48)&lt;=0,0,IF(($B48)&gt;=v_lift^2/a_lift,($B48)/v_lift+v_lift/a_lift,2*SQRT(($B48)/a_lift)))+t_pos+t_I+IF((ABS($B48-K$33))&lt;=0,0,IF((ABS($B48-K$33))&gt;=v_lift^2/a_lift,(ABS($B48-K$33))/v_lift+v_lift/a_lift,2*SQRT((ABS($B48-K$33))/a_lift)))+t_pos+t_I+IF((K$33)&lt;=0,0,IF((K$33)&gt;=v_lift^2/a_lift,(K$33)/v_lift+v_lift/a_lift,2*SQRT((K$33)/a_lift)))+t_pos+t_ch)</f>
        <v>0</v>
      </c>
      <c r="L48" s="20" t="n">
        <f aca="false">$C48*L$34*(t_ch+IF(($B48)&lt;=0,0,IF(($B48)&gt;=v_lift^2/a_lift,($B48)/v_lift+v_lift/a_lift,2*SQRT(($B48)/a_lift)))+t_pos+t_I+IF((ABS($B48-L$33))&lt;=0,0,IF((ABS($B48-L$33))&gt;=v_lift^2/a_lift,(ABS($B48-L$33))/v_lift+v_lift/a_lift,2*SQRT((ABS($B48-L$33))/a_lift)))+t_pos+t_I+IF((L$33)&lt;=0,0,IF((L$33)&gt;=v_lift^2/a_lift,(L$33)/v_lift+v_lift/a_lift,2*SQRT((L$33)/a_lift)))+t_pos+t_ch)</f>
        <v>0</v>
      </c>
      <c r="M48" s="20" t="n">
        <f aca="false">$C48*M$34*(t_ch+IF(($B48)&lt;=0,0,IF(($B48)&gt;=v_lift^2/a_lift,($B48)/v_lift+v_lift/a_lift,2*SQRT(($B48)/a_lift)))+t_pos+t_I+IF((ABS($B48-M$33))&lt;=0,0,IF((ABS($B48-M$33))&gt;=v_lift^2/a_lift,(ABS($B48-M$33))/v_lift+v_lift/a_lift,2*SQRT((ABS($B48-M$33))/a_lift)))+t_pos+t_I+IF((M$33)&lt;=0,0,IF((M$33)&gt;=v_lift^2/a_lift,(M$33)/v_lift+v_lift/a_lift,2*SQRT((M$33)/a_lift)))+t_pos+t_ch)</f>
        <v>0</v>
      </c>
      <c r="N48" s="20" t="n">
        <f aca="false">$C48*N$34*(t_ch+IF(($B48)&lt;=0,0,IF(($B48)&gt;=v_lift^2/a_lift,($B48)/v_lift+v_lift/a_lift,2*SQRT(($B48)/a_lift)))+t_pos+t_I+IF((ABS($B48-N$33))&lt;=0,0,IF((ABS($B48-N$33))&gt;=v_lift^2/a_lift,(ABS($B48-N$33))/v_lift+v_lift/a_lift,2*SQRT((ABS($B48-N$33))/a_lift)))+t_pos+t_I+IF((N$33)&lt;=0,0,IF((N$33)&gt;=v_lift^2/a_lift,(N$33)/v_lift+v_lift/a_lift,2*SQRT((N$33)/a_lift)))+t_pos+t_ch)</f>
        <v>0</v>
      </c>
      <c r="O48" s="20" t="n">
        <f aca="false">$C48*O$34*(t_ch+IF(($B48)&lt;=0,0,IF(($B48)&gt;=v_lift^2/a_lift,($B48)/v_lift+v_lift/a_lift,2*SQRT(($B48)/a_lift)))+t_pos+t_I+IF((ABS($B48-O$33))&lt;=0,0,IF((ABS($B48-O$33))&gt;=v_lift^2/a_lift,(ABS($B48-O$33))/v_lift+v_lift/a_lift,2*SQRT((ABS($B48-O$33))/a_lift)))+t_pos+t_I+IF((O$33)&lt;=0,0,IF((O$33)&gt;=v_lift^2/a_lift,(O$33)/v_lift+v_lift/a_lift,2*SQRT((O$33)/a_lift)))+t_pos+t_ch)</f>
        <v>0</v>
      </c>
      <c r="P48" s="20" t="n">
        <f aca="false">$C48*P$34*(t_ch+IF(($B48)&lt;=0,0,IF(($B48)&gt;=v_lift^2/a_lift,($B48)/v_lift+v_lift/a_lift,2*SQRT(($B48)/a_lift)))+t_pos+t_I+IF((ABS($B48-P$33))&lt;=0,0,IF((ABS($B48-P$33))&gt;=v_lift^2/a_lift,(ABS($B48-P$33))/v_lift+v_lift/a_lift,2*SQRT((ABS($B48-P$33))/a_lift)))+t_pos+t_I+IF((P$33)&lt;=0,0,IF((P$33)&gt;=v_lift^2/a_lift,(P$33)/v_lift+v_lift/a_lift,2*SQRT((P$33)/a_lift)))+t_pos+t_ch)</f>
        <v>0</v>
      </c>
      <c r="Q48" s="20" t="n">
        <f aca="false">$C48*Q$34*(t_ch+IF(($B48)&lt;=0,0,IF(($B48)&gt;=v_lift^2/a_lift,($B48)/v_lift+v_lift/a_lift,2*SQRT(($B48)/a_lift)))+t_pos+t_I+IF((ABS($B48-Q$33))&lt;=0,0,IF((ABS($B48-Q$33))&gt;=v_lift^2/a_lift,(ABS($B48-Q$33))/v_lift+v_lift/a_lift,2*SQRT((ABS($B48-Q$33))/a_lift)))+t_pos+t_I+IF((Q$33)&lt;=0,0,IF((Q$33)&gt;=v_lift^2/a_lift,(Q$33)/v_lift+v_lift/a_lift,2*SQRT((Q$33)/a_lift)))+t_pos+t_ch)</f>
        <v>0</v>
      </c>
      <c r="R48" s="20" t="n">
        <f aca="false">$C48*R$34*(t_ch+IF(($B48)&lt;=0,0,IF(($B48)&gt;=v_lift^2/a_lift,($B48)/v_lift+v_lift/a_lift,2*SQRT(($B48)/a_lift)))+t_pos+t_I+IF((ABS($B48-R$33))&lt;=0,0,IF((ABS($B48-R$33))&gt;=v_lift^2/a_lift,(ABS($B48-R$33))/v_lift+v_lift/a_lift,2*SQRT((ABS($B48-R$33))/a_lift)))+t_pos+t_I+IF((R$33)&lt;=0,0,IF((R$33)&gt;=v_lift^2/a_lift,(R$33)/v_lift+v_lift/a_lift,2*SQRT((R$33)/a_lift)))+t_pos+t_ch)</f>
        <v>0</v>
      </c>
      <c r="S48" s="20" t="n">
        <f aca="false">$C48*S$34*(t_ch+IF(($B48)&lt;=0,0,IF(($B48)&gt;=v_lift^2/a_lift,($B48)/v_lift+v_lift/a_lift,2*SQRT(($B48)/a_lift)))+t_pos+t_I+IF((ABS($B48-S$33))&lt;=0,0,IF((ABS($B48-S$33))&gt;=v_lift^2/a_lift,(ABS($B48-S$33))/v_lift+v_lift/a_lift,2*SQRT((ABS($B48-S$33))/a_lift)))+t_pos+t_I+IF((S$33)&lt;=0,0,IF((S$33)&gt;=v_lift^2/a_lift,(S$33)/v_lift+v_lift/a_lift,2*SQRT((S$33)/a_lift)))+t_pos+t_ch)</f>
        <v>0</v>
      </c>
      <c r="T48" s="20" t="n">
        <f aca="false">$C48*T$34*(t_ch+IF(($B48)&lt;=0,0,IF(($B48)&gt;=v_lift^2/a_lift,($B48)/v_lift+v_lift/a_lift,2*SQRT(($B48)/a_lift)))+t_pos+t_I+IF((ABS($B48-T$33))&lt;=0,0,IF((ABS($B48-T$33))&gt;=v_lift^2/a_lift,(ABS($B48-T$33))/v_lift+v_lift/a_lift,2*SQRT((ABS($B48-T$33))/a_lift)))+t_pos+t_I+IF((T$33)&lt;=0,0,IF((T$33)&gt;=v_lift^2/a_lift,(T$33)/v_lift+v_lift/a_lift,2*SQRT((T$33)/a_lift)))+t_pos+t_ch)</f>
        <v>0</v>
      </c>
      <c r="U48" s="20" t="n">
        <f aca="false">$C48*U$34*(t_ch+IF(($B48)&lt;=0,0,IF(($B48)&gt;=v_lift^2/a_lift,($B48)/v_lift+v_lift/a_lift,2*SQRT(($B48)/a_lift)))+t_pos+t_I+IF((ABS($B48-U$33))&lt;=0,0,IF((ABS($B48-U$33))&gt;=v_lift^2/a_lift,(ABS($B48-U$33))/v_lift+v_lift/a_lift,2*SQRT((ABS($B48-U$33))/a_lift)))+t_pos+t_I+IF((U$33)&lt;=0,0,IF((U$33)&gt;=v_lift^2/a_lift,(U$33)/v_lift+v_lift/a_lift,2*SQRT((U$33)/a_lift)))+t_pos+t_ch)</f>
        <v>0</v>
      </c>
      <c r="V48" s="20" t="n">
        <f aca="false">$C48*V$34*(t_ch+IF(($B48)&lt;=0,0,IF(($B48)&gt;=v_lift^2/a_lift,($B48)/v_lift+v_lift/a_lift,2*SQRT(($B48)/a_lift)))+t_pos+t_I+IF((ABS($B48-V$33))&lt;=0,0,IF((ABS($B48-V$33))&gt;=v_lift^2/a_lift,(ABS($B48-V$33))/v_lift+v_lift/a_lift,2*SQRT((ABS($B48-V$33))/a_lift)))+t_pos+t_I+IF((V$33)&lt;=0,0,IF((V$33)&gt;=v_lift^2/a_lift,(V$33)/v_lift+v_lift/a_lift,2*SQRT((V$33)/a_lift)))+t_pos+t_ch)</f>
        <v>0</v>
      </c>
      <c r="W48" s="20" t="n">
        <f aca="false">$C48*W$34*(t_ch+IF(($B48)&lt;=0,0,IF(($B48)&gt;=v_lift^2/a_lift,($B48)/v_lift+v_lift/a_lift,2*SQRT(($B48)/a_lift)))+t_pos+t_I+IF((ABS($B48-W$33))&lt;=0,0,IF((ABS($B48-W$33))&gt;=v_lift^2/a_lift,(ABS($B48-W$33))/v_lift+v_lift/a_lift,2*SQRT((ABS($B48-W$33))/a_lift)))+t_pos+t_I+IF((W$33)&lt;=0,0,IF((W$33)&gt;=v_lift^2/a_lift,(W$33)/v_lift+v_lift/a_lift,2*SQRT((W$33)/a_lift)))+t_pos+t_ch)</f>
        <v>0</v>
      </c>
    </row>
    <row r="49" customFormat="false" ht="15" hidden="false" customHeight="false" outlineLevel="0" collapsed="false">
      <c r="A49" s="7" t="n">
        <v>14</v>
      </c>
      <c r="B49" s="18" t="n">
        <f aca="false">Tiers!C17</f>
        <v>0</v>
      </c>
      <c r="C49" s="19" t="n">
        <f aca="false">Tiers!J17</f>
        <v>0</v>
      </c>
      <c r="D49" s="20" t="n">
        <f aca="false">$C49*D$34*(t_ch+IF(($B49)&lt;=0,0,IF(($B49)&gt;=v_lift^2/a_lift,($B49)/v_lift+v_lift/a_lift,2*SQRT(($B49)/a_lift)))+t_pos+t_I+IF((ABS($B49-D$33))&lt;=0,0,IF((ABS($B49-D$33))&gt;=v_lift^2/a_lift,(ABS($B49-D$33))/v_lift+v_lift/a_lift,2*SQRT((ABS($B49-D$33))/a_lift)))+t_pos+t_I+IF((D$33)&lt;=0,0,IF((D$33)&gt;=v_lift^2/a_lift,(D$33)/v_lift+v_lift/a_lift,2*SQRT((D$33)/a_lift)))+t_pos+t_ch)</f>
        <v>0</v>
      </c>
      <c r="E49" s="20" t="n">
        <f aca="false">$C49*E$34*(t_ch+IF(($B49)&lt;=0,0,IF(($B49)&gt;=v_lift^2/a_lift,($B49)/v_lift+v_lift/a_lift,2*SQRT(($B49)/a_lift)))+t_pos+t_I+IF((ABS($B49-E$33))&lt;=0,0,IF((ABS($B49-E$33))&gt;=v_lift^2/a_lift,(ABS($B49-E$33))/v_lift+v_lift/a_lift,2*SQRT((ABS($B49-E$33))/a_lift)))+t_pos+t_I+IF((E$33)&lt;=0,0,IF((E$33)&gt;=v_lift^2/a_lift,(E$33)/v_lift+v_lift/a_lift,2*SQRT((E$33)/a_lift)))+t_pos+t_ch)</f>
        <v>0</v>
      </c>
      <c r="F49" s="20" t="n">
        <f aca="false">$C49*F$34*(t_ch+IF(($B49)&lt;=0,0,IF(($B49)&gt;=v_lift^2/a_lift,($B49)/v_lift+v_lift/a_lift,2*SQRT(($B49)/a_lift)))+t_pos+t_I+IF((ABS($B49-F$33))&lt;=0,0,IF((ABS($B49-F$33))&gt;=v_lift^2/a_lift,(ABS($B49-F$33))/v_lift+v_lift/a_lift,2*SQRT((ABS($B49-F$33))/a_lift)))+t_pos+t_I+IF((F$33)&lt;=0,0,IF((F$33)&gt;=v_lift^2/a_lift,(F$33)/v_lift+v_lift/a_lift,2*SQRT((F$33)/a_lift)))+t_pos+t_ch)</f>
        <v>0</v>
      </c>
      <c r="G49" s="20" t="n">
        <f aca="false">$C49*G$34*(t_ch+IF(($B49)&lt;=0,0,IF(($B49)&gt;=v_lift^2/a_lift,($B49)/v_lift+v_lift/a_lift,2*SQRT(($B49)/a_lift)))+t_pos+t_I+IF((ABS($B49-G$33))&lt;=0,0,IF((ABS($B49-G$33))&gt;=v_lift^2/a_lift,(ABS($B49-G$33))/v_lift+v_lift/a_lift,2*SQRT((ABS($B49-G$33))/a_lift)))+t_pos+t_I+IF((G$33)&lt;=0,0,IF((G$33)&gt;=v_lift^2/a_lift,(G$33)/v_lift+v_lift/a_lift,2*SQRT((G$33)/a_lift)))+t_pos+t_ch)</f>
        <v>0</v>
      </c>
      <c r="H49" s="20" t="n">
        <f aca="false">$C49*H$34*(t_ch+IF(($B49)&lt;=0,0,IF(($B49)&gt;=v_lift^2/a_lift,($B49)/v_lift+v_lift/a_lift,2*SQRT(($B49)/a_lift)))+t_pos+t_I+IF((ABS($B49-H$33))&lt;=0,0,IF((ABS($B49-H$33))&gt;=v_lift^2/a_lift,(ABS($B49-H$33))/v_lift+v_lift/a_lift,2*SQRT((ABS($B49-H$33))/a_lift)))+t_pos+t_I+IF((H$33)&lt;=0,0,IF((H$33)&gt;=v_lift^2/a_lift,(H$33)/v_lift+v_lift/a_lift,2*SQRT((H$33)/a_lift)))+t_pos+t_ch)</f>
        <v>0</v>
      </c>
      <c r="I49" s="20" t="n">
        <f aca="false">$C49*I$34*(t_ch+IF(($B49)&lt;=0,0,IF(($B49)&gt;=v_lift^2/a_lift,($B49)/v_lift+v_lift/a_lift,2*SQRT(($B49)/a_lift)))+t_pos+t_I+IF((ABS($B49-I$33))&lt;=0,0,IF((ABS($B49-I$33))&gt;=v_lift^2/a_lift,(ABS($B49-I$33))/v_lift+v_lift/a_lift,2*SQRT((ABS($B49-I$33))/a_lift)))+t_pos+t_I+IF((I$33)&lt;=0,0,IF((I$33)&gt;=v_lift^2/a_lift,(I$33)/v_lift+v_lift/a_lift,2*SQRT((I$33)/a_lift)))+t_pos+t_ch)</f>
        <v>0</v>
      </c>
      <c r="J49" s="20" t="n">
        <f aca="false">$C49*J$34*(t_ch+IF(($B49)&lt;=0,0,IF(($B49)&gt;=v_lift^2/a_lift,($B49)/v_lift+v_lift/a_lift,2*SQRT(($B49)/a_lift)))+t_pos+t_I+IF((ABS($B49-J$33))&lt;=0,0,IF((ABS($B49-J$33))&gt;=v_lift^2/a_lift,(ABS($B49-J$33))/v_lift+v_lift/a_lift,2*SQRT((ABS($B49-J$33))/a_lift)))+t_pos+t_I+IF((J$33)&lt;=0,0,IF((J$33)&gt;=v_lift^2/a_lift,(J$33)/v_lift+v_lift/a_lift,2*SQRT((J$33)/a_lift)))+t_pos+t_ch)</f>
        <v>0</v>
      </c>
      <c r="K49" s="20" t="n">
        <f aca="false">$C49*K$34*(t_ch+IF(($B49)&lt;=0,0,IF(($B49)&gt;=v_lift^2/a_lift,($B49)/v_lift+v_lift/a_lift,2*SQRT(($B49)/a_lift)))+t_pos+t_I+IF((ABS($B49-K$33))&lt;=0,0,IF((ABS($B49-K$33))&gt;=v_lift^2/a_lift,(ABS($B49-K$33))/v_lift+v_lift/a_lift,2*SQRT((ABS($B49-K$33))/a_lift)))+t_pos+t_I+IF((K$33)&lt;=0,0,IF((K$33)&gt;=v_lift^2/a_lift,(K$33)/v_lift+v_lift/a_lift,2*SQRT((K$33)/a_lift)))+t_pos+t_ch)</f>
        <v>0</v>
      </c>
      <c r="L49" s="20" t="n">
        <f aca="false">$C49*L$34*(t_ch+IF(($B49)&lt;=0,0,IF(($B49)&gt;=v_lift^2/a_lift,($B49)/v_lift+v_lift/a_lift,2*SQRT(($B49)/a_lift)))+t_pos+t_I+IF((ABS($B49-L$33))&lt;=0,0,IF((ABS($B49-L$33))&gt;=v_lift^2/a_lift,(ABS($B49-L$33))/v_lift+v_lift/a_lift,2*SQRT((ABS($B49-L$33))/a_lift)))+t_pos+t_I+IF((L$33)&lt;=0,0,IF((L$33)&gt;=v_lift^2/a_lift,(L$33)/v_lift+v_lift/a_lift,2*SQRT((L$33)/a_lift)))+t_pos+t_ch)</f>
        <v>0</v>
      </c>
      <c r="M49" s="20" t="n">
        <f aca="false">$C49*M$34*(t_ch+IF(($B49)&lt;=0,0,IF(($B49)&gt;=v_lift^2/a_lift,($B49)/v_lift+v_lift/a_lift,2*SQRT(($B49)/a_lift)))+t_pos+t_I+IF((ABS($B49-M$33))&lt;=0,0,IF((ABS($B49-M$33))&gt;=v_lift^2/a_lift,(ABS($B49-M$33))/v_lift+v_lift/a_lift,2*SQRT((ABS($B49-M$33))/a_lift)))+t_pos+t_I+IF((M$33)&lt;=0,0,IF((M$33)&gt;=v_lift^2/a_lift,(M$33)/v_lift+v_lift/a_lift,2*SQRT((M$33)/a_lift)))+t_pos+t_ch)</f>
        <v>0</v>
      </c>
      <c r="N49" s="20" t="n">
        <f aca="false">$C49*N$34*(t_ch+IF(($B49)&lt;=0,0,IF(($B49)&gt;=v_lift^2/a_lift,($B49)/v_lift+v_lift/a_lift,2*SQRT(($B49)/a_lift)))+t_pos+t_I+IF((ABS($B49-N$33))&lt;=0,0,IF((ABS($B49-N$33))&gt;=v_lift^2/a_lift,(ABS($B49-N$33))/v_lift+v_lift/a_lift,2*SQRT((ABS($B49-N$33))/a_lift)))+t_pos+t_I+IF((N$33)&lt;=0,0,IF((N$33)&gt;=v_lift^2/a_lift,(N$33)/v_lift+v_lift/a_lift,2*SQRT((N$33)/a_lift)))+t_pos+t_ch)</f>
        <v>0</v>
      </c>
      <c r="O49" s="20" t="n">
        <f aca="false">$C49*O$34*(t_ch+IF(($B49)&lt;=0,0,IF(($B49)&gt;=v_lift^2/a_lift,($B49)/v_lift+v_lift/a_lift,2*SQRT(($B49)/a_lift)))+t_pos+t_I+IF((ABS($B49-O$33))&lt;=0,0,IF((ABS($B49-O$33))&gt;=v_lift^2/a_lift,(ABS($B49-O$33))/v_lift+v_lift/a_lift,2*SQRT((ABS($B49-O$33))/a_lift)))+t_pos+t_I+IF((O$33)&lt;=0,0,IF((O$33)&gt;=v_lift^2/a_lift,(O$33)/v_lift+v_lift/a_lift,2*SQRT((O$33)/a_lift)))+t_pos+t_ch)</f>
        <v>0</v>
      </c>
      <c r="P49" s="20" t="n">
        <f aca="false">$C49*P$34*(t_ch+IF(($B49)&lt;=0,0,IF(($B49)&gt;=v_lift^2/a_lift,($B49)/v_lift+v_lift/a_lift,2*SQRT(($B49)/a_lift)))+t_pos+t_I+IF((ABS($B49-P$33))&lt;=0,0,IF((ABS($B49-P$33))&gt;=v_lift^2/a_lift,(ABS($B49-P$33))/v_lift+v_lift/a_lift,2*SQRT((ABS($B49-P$33))/a_lift)))+t_pos+t_I+IF((P$33)&lt;=0,0,IF((P$33)&gt;=v_lift^2/a_lift,(P$33)/v_lift+v_lift/a_lift,2*SQRT((P$33)/a_lift)))+t_pos+t_ch)</f>
        <v>0</v>
      </c>
      <c r="Q49" s="20" t="n">
        <f aca="false">$C49*Q$34*(t_ch+IF(($B49)&lt;=0,0,IF(($B49)&gt;=v_lift^2/a_lift,($B49)/v_lift+v_lift/a_lift,2*SQRT(($B49)/a_lift)))+t_pos+t_I+IF((ABS($B49-Q$33))&lt;=0,0,IF((ABS($B49-Q$33))&gt;=v_lift^2/a_lift,(ABS($B49-Q$33))/v_lift+v_lift/a_lift,2*SQRT((ABS($B49-Q$33))/a_lift)))+t_pos+t_I+IF((Q$33)&lt;=0,0,IF((Q$33)&gt;=v_lift^2/a_lift,(Q$33)/v_lift+v_lift/a_lift,2*SQRT((Q$33)/a_lift)))+t_pos+t_ch)</f>
        <v>0</v>
      </c>
      <c r="R49" s="20" t="n">
        <f aca="false">$C49*R$34*(t_ch+IF(($B49)&lt;=0,0,IF(($B49)&gt;=v_lift^2/a_lift,($B49)/v_lift+v_lift/a_lift,2*SQRT(($B49)/a_lift)))+t_pos+t_I+IF((ABS($B49-R$33))&lt;=0,0,IF((ABS($B49-R$33))&gt;=v_lift^2/a_lift,(ABS($B49-R$33))/v_lift+v_lift/a_lift,2*SQRT((ABS($B49-R$33))/a_lift)))+t_pos+t_I+IF((R$33)&lt;=0,0,IF((R$33)&gt;=v_lift^2/a_lift,(R$33)/v_lift+v_lift/a_lift,2*SQRT((R$33)/a_lift)))+t_pos+t_ch)</f>
        <v>0</v>
      </c>
      <c r="S49" s="20" t="n">
        <f aca="false">$C49*S$34*(t_ch+IF(($B49)&lt;=0,0,IF(($B49)&gt;=v_lift^2/a_lift,($B49)/v_lift+v_lift/a_lift,2*SQRT(($B49)/a_lift)))+t_pos+t_I+IF((ABS($B49-S$33))&lt;=0,0,IF((ABS($B49-S$33))&gt;=v_lift^2/a_lift,(ABS($B49-S$33))/v_lift+v_lift/a_lift,2*SQRT((ABS($B49-S$33))/a_lift)))+t_pos+t_I+IF((S$33)&lt;=0,0,IF((S$33)&gt;=v_lift^2/a_lift,(S$33)/v_lift+v_lift/a_lift,2*SQRT((S$33)/a_lift)))+t_pos+t_ch)</f>
        <v>0</v>
      </c>
      <c r="T49" s="20" t="n">
        <f aca="false">$C49*T$34*(t_ch+IF(($B49)&lt;=0,0,IF(($B49)&gt;=v_lift^2/a_lift,($B49)/v_lift+v_lift/a_lift,2*SQRT(($B49)/a_lift)))+t_pos+t_I+IF((ABS($B49-T$33))&lt;=0,0,IF((ABS($B49-T$33))&gt;=v_lift^2/a_lift,(ABS($B49-T$33))/v_lift+v_lift/a_lift,2*SQRT((ABS($B49-T$33))/a_lift)))+t_pos+t_I+IF((T$33)&lt;=0,0,IF((T$33)&gt;=v_lift^2/a_lift,(T$33)/v_lift+v_lift/a_lift,2*SQRT((T$33)/a_lift)))+t_pos+t_ch)</f>
        <v>0</v>
      </c>
      <c r="U49" s="20" t="n">
        <f aca="false">$C49*U$34*(t_ch+IF(($B49)&lt;=0,0,IF(($B49)&gt;=v_lift^2/a_lift,($B49)/v_lift+v_lift/a_lift,2*SQRT(($B49)/a_lift)))+t_pos+t_I+IF((ABS($B49-U$33))&lt;=0,0,IF((ABS($B49-U$33))&gt;=v_lift^2/a_lift,(ABS($B49-U$33))/v_lift+v_lift/a_lift,2*SQRT((ABS($B49-U$33))/a_lift)))+t_pos+t_I+IF((U$33)&lt;=0,0,IF((U$33)&gt;=v_lift^2/a_lift,(U$33)/v_lift+v_lift/a_lift,2*SQRT((U$33)/a_lift)))+t_pos+t_ch)</f>
        <v>0</v>
      </c>
      <c r="V49" s="20" t="n">
        <f aca="false">$C49*V$34*(t_ch+IF(($B49)&lt;=0,0,IF(($B49)&gt;=v_lift^2/a_lift,($B49)/v_lift+v_lift/a_lift,2*SQRT(($B49)/a_lift)))+t_pos+t_I+IF((ABS($B49-V$33))&lt;=0,0,IF((ABS($B49-V$33))&gt;=v_lift^2/a_lift,(ABS($B49-V$33))/v_lift+v_lift/a_lift,2*SQRT((ABS($B49-V$33))/a_lift)))+t_pos+t_I+IF((V$33)&lt;=0,0,IF((V$33)&gt;=v_lift^2/a_lift,(V$33)/v_lift+v_lift/a_lift,2*SQRT((V$33)/a_lift)))+t_pos+t_ch)</f>
        <v>0</v>
      </c>
      <c r="W49" s="20" t="n">
        <f aca="false">$C49*W$34*(t_ch+IF(($B49)&lt;=0,0,IF(($B49)&gt;=v_lift^2/a_lift,($B49)/v_lift+v_lift/a_lift,2*SQRT(($B49)/a_lift)))+t_pos+t_I+IF((ABS($B49-W$33))&lt;=0,0,IF((ABS($B49-W$33))&gt;=v_lift^2/a_lift,(ABS($B49-W$33))/v_lift+v_lift/a_lift,2*SQRT((ABS($B49-W$33))/a_lift)))+t_pos+t_I+IF((W$33)&lt;=0,0,IF((W$33)&gt;=v_lift^2/a_lift,(W$33)/v_lift+v_lift/a_lift,2*SQRT((W$33)/a_lift)))+t_pos+t_ch)</f>
        <v>0</v>
      </c>
    </row>
    <row r="50" customFormat="false" ht="15" hidden="false" customHeight="false" outlineLevel="0" collapsed="false">
      <c r="A50" s="7" t="n">
        <v>15</v>
      </c>
      <c r="B50" s="18" t="n">
        <f aca="false">Tiers!C18</f>
        <v>0</v>
      </c>
      <c r="C50" s="19" t="n">
        <f aca="false">Tiers!J18</f>
        <v>0</v>
      </c>
      <c r="D50" s="20" t="n">
        <f aca="false">$C50*D$34*(t_ch+IF(($B50)&lt;=0,0,IF(($B50)&gt;=v_lift^2/a_lift,($B50)/v_lift+v_lift/a_lift,2*SQRT(($B50)/a_lift)))+t_pos+t_I+IF((ABS($B50-D$33))&lt;=0,0,IF((ABS($B50-D$33))&gt;=v_lift^2/a_lift,(ABS($B50-D$33))/v_lift+v_lift/a_lift,2*SQRT((ABS($B50-D$33))/a_lift)))+t_pos+t_I+IF((D$33)&lt;=0,0,IF((D$33)&gt;=v_lift^2/a_lift,(D$33)/v_lift+v_lift/a_lift,2*SQRT((D$33)/a_lift)))+t_pos+t_ch)</f>
        <v>0</v>
      </c>
      <c r="E50" s="20" t="n">
        <f aca="false">$C50*E$34*(t_ch+IF(($B50)&lt;=0,0,IF(($B50)&gt;=v_lift^2/a_lift,($B50)/v_lift+v_lift/a_lift,2*SQRT(($B50)/a_lift)))+t_pos+t_I+IF((ABS($B50-E$33))&lt;=0,0,IF((ABS($B50-E$33))&gt;=v_lift^2/a_lift,(ABS($B50-E$33))/v_lift+v_lift/a_lift,2*SQRT((ABS($B50-E$33))/a_lift)))+t_pos+t_I+IF((E$33)&lt;=0,0,IF((E$33)&gt;=v_lift^2/a_lift,(E$33)/v_lift+v_lift/a_lift,2*SQRT((E$33)/a_lift)))+t_pos+t_ch)</f>
        <v>0</v>
      </c>
      <c r="F50" s="20" t="n">
        <f aca="false">$C50*F$34*(t_ch+IF(($B50)&lt;=0,0,IF(($B50)&gt;=v_lift^2/a_lift,($B50)/v_lift+v_lift/a_lift,2*SQRT(($B50)/a_lift)))+t_pos+t_I+IF((ABS($B50-F$33))&lt;=0,0,IF((ABS($B50-F$33))&gt;=v_lift^2/a_lift,(ABS($B50-F$33))/v_lift+v_lift/a_lift,2*SQRT((ABS($B50-F$33))/a_lift)))+t_pos+t_I+IF((F$33)&lt;=0,0,IF((F$33)&gt;=v_lift^2/a_lift,(F$33)/v_lift+v_lift/a_lift,2*SQRT((F$33)/a_lift)))+t_pos+t_ch)</f>
        <v>0</v>
      </c>
      <c r="G50" s="20" t="n">
        <f aca="false">$C50*G$34*(t_ch+IF(($B50)&lt;=0,0,IF(($B50)&gt;=v_lift^2/a_lift,($B50)/v_lift+v_lift/a_lift,2*SQRT(($B50)/a_lift)))+t_pos+t_I+IF((ABS($B50-G$33))&lt;=0,0,IF((ABS($B50-G$33))&gt;=v_lift^2/a_lift,(ABS($B50-G$33))/v_lift+v_lift/a_lift,2*SQRT((ABS($B50-G$33))/a_lift)))+t_pos+t_I+IF((G$33)&lt;=0,0,IF((G$33)&gt;=v_lift^2/a_lift,(G$33)/v_lift+v_lift/a_lift,2*SQRT((G$33)/a_lift)))+t_pos+t_ch)</f>
        <v>0</v>
      </c>
      <c r="H50" s="20" t="n">
        <f aca="false">$C50*H$34*(t_ch+IF(($B50)&lt;=0,0,IF(($B50)&gt;=v_lift^2/a_lift,($B50)/v_lift+v_lift/a_lift,2*SQRT(($B50)/a_lift)))+t_pos+t_I+IF((ABS($B50-H$33))&lt;=0,0,IF((ABS($B50-H$33))&gt;=v_lift^2/a_lift,(ABS($B50-H$33))/v_lift+v_lift/a_lift,2*SQRT((ABS($B50-H$33))/a_lift)))+t_pos+t_I+IF((H$33)&lt;=0,0,IF((H$33)&gt;=v_lift^2/a_lift,(H$33)/v_lift+v_lift/a_lift,2*SQRT((H$33)/a_lift)))+t_pos+t_ch)</f>
        <v>0</v>
      </c>
      <c r="I50" s="20" t="n">
        <f aca="false">$C50*I$34*(t_ch+IF(($B50)&lt;=0,0,IF(($B50)&gt;=v_lift^2/a_lift,($B50)/v_lift+v_lift/a_lift,2*SQRT(($B50)/a_lift)))+t_pos+t_I+IF((ABS($B50-I$33))&lt;=0,0,IF((ABS($B50-I$33))&gt;=v_lift^2/a_lift,(ABS($B50-I$33))/v_lift+v_lift/a_lift,2*SQRT((ABS($B50-I$33))/a_lift)))+t_pos+t_I+IF((I$33)&lt;=0,0,IF((I$33)&gt;=v_lift^2/a_lift,(I$33)/v_lift+v_lift/a_lift,2*SQRT((I$33)/a_lift)))+t_pos+t_ch)</f>
        <v>0</v>
      </c>
      <c r="J50" s="20" t="n">
        <f aca="false">$C50*J$34*(t_ch+IF(($B50)&lt;=0,0,IF(($B50)&gt;=v_lift^2/a_lift,($B50)/v_lift+v_lift/a_lift,2*SQRT(($B50)/a_lift)))+t_pos+t_I+IF((ABS($B50-J$33))&lt;=0,0,IF((ABS($B50-J$33))&gt;=v_lift^2/a_lift,(ABS($B50-J$33))/v_lift+v_lift/a_lift,2*SQRT((ABS($B50-J$33))/a_lift)))+t_pos+t_I+IF((J$33)&lt;=0,0,IF((J$33)&gt;=v_lift^2/a_lift,(J$33)/v_lift+v_lift/a_lift,2*SQRT((J$33)/a_lift)))+t_pos+t_ch)</f>
        <v>0</v>
      </c>
      <c r="K50" s="20" t="n">
        <f aca="false">$C50*K$34*(t_ch+IF(($B50)&lt;=0,0,IF(($B50)&gt;=v_lift^2/a_lift,($B50)/v_lift+v_lift/a_lift,2*SQRT(($B50)/a_lift)))+t_pos+t_I+IF((ABS($B50-K$33))&lt;=0,0,IF((ABS($B50-K$33))&gt;=v_lift^2/a_lift,(ABS($B50-K$33))/v_lift+v_lift/a_lift,2*SQRT((ABS($B50-K$33))/a_lift)))+t_pos+t_I+IF((K$33)&lt;=0,0,IF((K$33)&gt;=v_lift^2/a_lift,(K$33)/v_lift+v_lift/a_lift,2*SQRT((K$33)/a_lift)))+t_pos+t_ch)</f>
        <v>0</v>
      </c>
      <c r="L50" s="20" t="n">
        <f aca="false">$C50*L$34*(t_ch+IF(($B50)&lt;=0,0,IF(($B50)&gt;=v_lift^2/a_lift,($B50)/v_lift+v_lift/a_lift,2*SQRT(($B50)/a_lift)))+t_pos+t_I+IF((ABS($B50-L$33))&lt;=0,0,IF((ABS($B50-L$33))&gt;=v_lift^2/a_lift,(ABS($B50-L$33))/v_lift+v_lift/a_lift,2*SQRT((ABS($B50-L$33))/a_lift)))+t_pos+t_I+IF((L$33)&lt;=0,0,IF((L$33)&gt;=v_lift^2/a_lift,(L$33)/v_lift+v_lift/a_lift,2*SQRT((L$33)/a_lift)))+t_pos+t_ch)</f>
        <v>0</v>
      </c>
      <c r="M50" s="20" t="n">
        <f aca="false">$C50*M$34*(t_ch+IF(($B50)&lt;=0,0,IF(($B50)&gt;=v_lift^2/a_lift,($B50)/v_lift+v_lift/a_lift,2*SQRT(($B50)/a_lift)))+t_pos+t_I+IF((ABS($B50-M$33))&lt;=0,0,IF((ABS($B50-M$33))&gt;=v_lift^2/a_lift,(ABS($B50-M$33))/v_lift+v_lift/a_lift,2*SQRT((ABS($B50-M$33))/a_lift)))+t_pos+t_I+IF((M$33)&lt;=0,0,IF((M$33)&gt;=v_lift^2/a_lift,(M$33)/v_lift+v_lift/a_lift,2*SQRT((M$33)/a_lift)))+t_pos+t_ch)</f>
        <v>0</v>
      </c>
      <c r="N50" s="20" t="n">
        <f aca="false">$C50*N$34*(t_ch+IF(($B50)&lt;=0,0,IF(($B50)&gt;=v_lift^2/a_lift,($B50)/v_lift+v_lift/a_lift,2*SQRT(($B50)/a_lift)))+t_pos+t_I+IF((ABS($B50-N$33))&lt;=0,0,IF((ABS($B50-N$33))&gt;=v_lift^2/a_lift,(ABS($B50-N$33))/v_lift+v_lift/a_lift,2*SQRT((ABS($B50-N$33))/a_lift)))+t_pos+t_I+IF((N$33)&lt;=0,0,IF((N$33)&gt;=v_lift^2/a_lift,(N$33)/v_lift+v_lift/a_lift,2*SQRT((N$33)/a_lift)))+t_pos+t_ch)</f>
        <v>0</v>
      </c>
      <c r="O50" s="20" t="n">
        <f aca="false">$C50*O$34*(t_ch+IF(($B50)&lt;=0,0,IF(($B50)&gt;=v_lift^2/a_lift,($B50)/v_lift+v_lift/a_lift,2*SQRT(($B50)/a_lift)))+t_pos+t_I+IF((ABS($B50-O$33))&lt;=0,0,IF((ABS($B50-O$33))&gt;=v_lift^2/a_lift,(ABS($B50-O$33))/v_lift+v_lift/a_lift,2*SQRT((ABS($B50-O$33))/a_lift)))+t_pos+t_I+IF((O$33)&lt;=0,0,IF((O$33)&gt;=v_lift^2/a_lift,(O$33)/v_lift+v_lift/a_lift,2*SQRT((O$33)/a_lift)))+t_pos+t_ch)</f>
        <v>0</v>
      </c>
      <c r="P50" s="20" t="n">
        <f aca="false">$C50*P$34*(t_ch+IF(($B50)&lt;=0,0,IF(($B50)&gt;=v_lift^2/a_lift,($B50)/v_lift+v_lift/a_lift,2*SQRT(($B50)/a_lift)))+t_pos+t_I+IF((ABS($B50-P$33))&lt;=0,0,IF((ABS($B50-P$33))&gt;=v_lift^2/a_lift,(ABS($B50-P$33))/v_lift+v_lift/a_lift,2*SQRT((ABS($B50-P$33))/a_lift)))+t_pos+t_I+IF((P$33)&lt;=0,0,IF((P$33)&gt;=v_lift^2/a_lift,(P$33)/v_lift+v_lift/a_lift,2*SQRT((P$33)/a_lift)))+t_pos+t_ch)</f>
        <v>0</v>
      </c>
      <c r="Q50" s="20" t="n">
        <f aca="false">$C50*Q$34*(t_ch+IF(($B50)&lt;=0,0,IF(($B50)&gt;=v_lift^2/a_lift,($B50)/v_lift+v_lift/a_lift,2*SQRT(($B50)/a_lift)))+t_pos+t_I+IF((ABS($B50-Q$33))&lt;=0,0,IF((ABS($B50-Q$33))&gt;=v_lift^2/a_lift,(ABS($B50-Q$33))/v_lift+v_lift/a_lift,2*SQRT((ABS($B50-Q$33))/a_lift)))+t_pos+t_I+IF((Q$33)&lt;=0,0,IF((Q$33)&gt;=v_lift^2/a_lift,(Q$33)/v_lift+v_lift/a_lift,2*SQRT((Q$33)/a_lift)))+t_pos+t_ch)</f>
        <v>0</v>
      </c>
      <c r="R50" s="20" t="n">
        <f aca="false">$C50*R$34*(t_ch+IF(($B50)&lt;=0,0,IF(($B50)&gt;=v_lift^2/a_lift,($B50)/v_lift+v_lift/a_lift,2*SQRT(($B50)/a_lift)))+t_pos+t_I+IF((ABS($B50-R$33))&lt;=0,0,IF((ABS($B50-R$33))&gt;=v_lift^2/a_lift,(ABS($B50-R$33))/v_lift+v_lift/a_lift,2*SQRT((ABS($B50-R$33))/a_lift)))+t_pos+t_I+IF((R$33)&lt;=0,0,IF((R$33)&gt;=v_lift^2/a_lift,(R$33)/v_lift+v_lift/a_lift,2*SQRT((R$33)/a_lift)))+t_pos+t_ch)</f>
        <v>0</v>
      </c>
      <c r="S50" s="20" t="n">
        <f aca="false">$C50*S$34*(t_ch+IF(($B50)&lt;=0,0,IF(($B50)&gt;=v_lift^2/a_lift,($B50)/v_lift+v_lift/a_lift,2*SQRT(($B50)/a_lift)))+t_pos+t_I+IF((ABS($B50-S$33))&lt;=0,0,IF((ABS($B50-S$33))&gt;=v_lift^2/a_lift,(ABS($B50-S$33))/v_lift+v_lift/a_lift,2*SQRT((ABS($B50-S$33))/a_lift)))+t_pos+t_I+IF((S$33)&lt;=0,0,IF((S$33)&gt;=v_lift^2/a_lift,(S$33)/v_lift+v_lift/a_lift,2*SQRT((S$33)/a_lift)))+t_pos+t_ch)</f>
        <v>0</v>
      </c>
      <c r="T50" s="20" t="n">
        <f aca="false">$C50*T$34*(t_ch+IF(($B50)&lt;=0,0,IF(($B50)&gt;=v_lift^2/a_lift,($B50)/v_lift+v_lift/a_lift,2*SQRT(($B50)/a_lift)))+t_pos+t_I+IF((ABS($B50-T$33))&lt;=0,0,IF((ABS($B50-T$33))&gt;=v_lift^2/a_lift,(ABS($B50-T$33))/v_lift+v_lift/a_lift,2*SQRT((ABS($B50-T$33))/a_lift)))+t_pos+t_I+IF((T$33)&lt;=0,0,IF((T$33)&gt;=v_lift^2/a_lift,(T$33)/v_lift+v_lift/a_lift,2*SQRT((T$33)/a_lift)))+t_pos+t_ch)</f>
        <v>0</v>
      </c>
      <c r="U50" s="20" t="n">
        <f aca="false">$C50*U$34*(t_ch+IF(($B50)&lt;=0,0,IF(($B50)&gt;=v_lift^2/a_lift,($B50)/v_lift+v_lift/a_lift,2*SQRT(($B50)/a_lift)))+t_pos+t_I+IF((ABS($B50-U$33))&lt;=0,0,IF((ABS($B50-U$33))&gt;=v_lift^2/a_lift,(ABS($B50-U$33))/v_lift+v_lift/a_lift,2*SQRT((ABS($B50-U$33))/a_lift)))+t_pos+t_I+IF((U$33)&lt;=0,0,IF((U$33)&gt;=v_lift^2/a_lift,(U$33)/v_lift+v_lift/a_lift,2*SQRT((U$33)/a_lift)))+t_pos+t_ch)</f>
        <v>0</v>
      </c>
      <c r="V50" s="20" t="n">
        <f aca="false">$C50*V$34*(t_ch+IF(($B50)&lt;=0,0,IF(($B50)&gt;=v_lift^2/a_lift,($B50)/v_lift+v_lift/a_lift,2*SQRT(($B50)/a_lift)))+t_pos+t_I+IF((ABS($B50-V$33))&lt;=0,0,IF((ABS($B50-V$33))&gt;=v_lift^2/a_lift,(ABS($B50-V$33))/v_lift+v_lift/a_lift,2*SQRT((ABS($B50-V$33))/a_lift)))+t_pos+t_I+IF((V$33)&lt;=0,0,IF((V$33)&gt;=v_lift^2/a_lift,(V$33)/v_lift+v_lift/a_lift,2*SQRT((V$33)/a_lift)))+t_pos+t_ch)</f>
        <v>0</v>
      </c>
      <c r="W50" s="20" t="n">
        <f aca="false">$C50*W$34*(t_ch+IF(($B50)&lt;=0,0,IF(($B50)&gt;=v_lift^2/a_lift,($B50)/v_lift+v_lift/a_lift,2*SQRT(($B50)/a_lift)))+t_pos+t_I+IF((ABS($B50-W$33))&lt;=0,0,IF((ABS($B50-W$33))&gt;=v_lift^2/a_lift,(ABS($B50-W$33))/v_lift+v_lift/a_lift,2*SQRT((ABS($B50-W$33))/a_lift)))+t_pos+t_I+IF((W$33)&lt;=0,0,IF((W$33)&gt;=v_lift^2/a_lift,(W$33)/v_lift+v_lift/a_lift,2*SQRT((W$33)/a_lift)))+t_pos+t_ch)</f>
        <v>0</v>
      </c>
    </row>
    <row r="51" customFormat="false" ht="15" hidden="false" customHeight="false" outlineLevel="0" collapsed="false">
      <c r="A51" s="7" t="n">
        <v>16</v>
      </c>
      <c r="B51" s="18" t="n">
        <f aca="false">Tiers!C19</f>
        <v>0</v>
      </c>
      <c r="C51" s="19" t="n">
        <f aca="false">Tiers!J19</f>
        <v>0</v>
      </c>
      <c r="D51" s="20" t="n">
        <f aca="false">$C51*D$34*(t_ch+IF(($B51)&lt;=0,0,IF(($B51)&gt;=v_lift^2/a_lift,($B51)/v_lift+v_lift/a_lift,2*SQRT(($B51)/a_lift)))+t_pos+t_I+IF((ABS($B51-D$33))&lt;=0,0,IF((ABS($B51-D$33))&gt;=v_lift^2/a_lift,(ABS($B51-D$33))/v_lift+v_lift/a_lift,2*SQRT((ABS($B51-D$33))/a_lift)))+t_pos+t_I+IF((D$33)&lt;=0,0,IF((D$33)&gt;=v_lift^2/a_lift,(D$33)/v_lift+v_lift/a_lift,2*SQRT((D$33)/a_lift)))+t_pos+t_ch)</f>
        <v>0</v>
      </c>
      <c r="E51" s="20" t="n">
        <f aca="false">$C51*E$34*(t_ch+IF(($B51)&lt;=0,0,IF(($B51)&gt;=v_lift^2/a_lift,($B51)/v_lift+v_lift/a_lift,2*SQRT(($B51)/a_lift)))+t_pos+t_I+IF((ABS($B51-E$33))&lt;=0,0,IF((ABS($B51-E$33))&gt;=v_lift^2/a_lift,(ABS($B51-E$33))/v_lift+v_lift/a_lift,2*SQRT((ABS($B51-E$33))/a_lift)))+t_pos+t_I+IF((E$33)&lt;=0,0,IF((E$33)&gt;=v_lift^2/a_lift,(E$33)/v_lift+v_lift/a_lift,2*SQRT((E$33)/a_lift)))+t_pos+t_ch)</f>
        <v>0</v>
      </c>
      <c r="F51" s="20" t="n">
        <f aca="false">$C51*F$34*(t_ch+IF(($B51)&lt;=0,0,IF(($B51)&gt;=v_lift^2/a_lift,($B51)/v_lift+v_lift/a_lift,2*SQRT(($B51)/a_lift)))+t_pos+t_I+IF((ABS($B51-F$33))&lt;=0,0,IF((ABS($B51-F$33))&gt;=v_lift^2/a_lift,(ABS($B51-F$33))/v_lift+v_lift/a_lift,2*SQRT((ABS($B51-F$33))/a_lift)))+t_pos+t_I+IF((F$33)&lt;=0,0,IF((F$33)&gt;=v_lift^2/a_lift,(F$33)/v_lift+v_lift/a_lift,2*SQRT((F$33)/a_lift)))+t_pos+t_ch)</f>
        <v>0</v>
      </c>
      <c r="G51" s="20" t="n">
        <f aca="false">$C51*G$34*(t_ch+IF(($B51)&lt;=0,0,IF(($B51)&gt;=v_lift^2/a_lift,($B51)/v_lift+v_lift/a_lift,2*SQRT(($B51)/a_lift)))+t_pos+t_I+IF((ABS($B51-G$33))&lt;=0,0,IF((ABS($B51-G$33))&gt;=v_lift^2/a_lift,(ABS($B51-G$33))/v_lift+v_lift/a_lift,2*SQRT((ABS($B51-G$33))/a_lift)))+t_pos+t_I+IF((G$33)&lt;=0,0,IF((G$33)&gt;=v_lift^2/a_lift,(G$33)/v_lift+v_lift/a_lift,2*SQRT((G$33)/a_lift)))+t_pos+t_ch)</f>
        <v>0</v>
      </c>
      <c r="H51" s="20" t="n">
        <f aca="false">$C51*H$34*(t_ch+IF(($B51)&lt;=0,0,IF(($B51)&gt;=v_lift^2/a_lift,($B51)/v_lift+v_lift/a_lift,2*SQRT(($B51)/a_lift)))+t_pos+t_I+IF((ABS($B51-H$33))&lt;=0,0,IF((ABS($B51-H$33))&gt;=v_lift^2/a_lift,(ABS($B51-H$33))/v_lift+v_lift/a_lift,2*SQRT((ABS($B51-H$33))/a_lift)))+t_pos+t_I+IF((H$33)&lt;=0,0,IF((H$33)&gt;=v_lift^2/a_lift,(H$33)/v_lift+v_lift/a_lift,2*SQRT((H$33)/a_lift)))+t_pos+t_ch)</f>
        <v>0</v>
      </c>
      <c r="I51" s="20" t="n">
        <f aca="false">$C51*I$34*(t_ch+IF(($B51)&lt;=0,0,IF(($B51)&gt;=v_lift^2/a_lift,($B51)/v_lift+v_lift/a_lift,2*SQRT(($B51)/a_lift)))+t_pos+t_I+IF((ABS($B51-I$33))&lt;=0,0,IF((ABS($B51-I$33))&gt;=v_lift^2/a_lift,(ABS($B51-I$33))/v_lift+v_lift/a_lift,2*SQRT((ABS($B51-I$33))/a_lift)))+t_pos+t_I+IF((I$33)&lt;=0,0,IF((I$33)&gt;=v_lift^2/a_lift,(I$33)/v_lift+v_lift/a_lift,2*SQRT((I$33)/a_lift)))+t_pos+t_ch)</f>
        <v>0</v>
      </c>
      <c r="J51" s="20" t="n">
        <f aca="false">$C51*J$34*(t_ch+IF(($B51)&lt;=0,0,IF(($B51)&gt;=v_lift^2/a_lift,($B51)/v_lift+v_lift/a_lift,2*SQRT(($B51)/a_lift)))+t_pos+t_I+IF((ABS($B51-J$33))&lt;=0,0,IF((ABS($B51-J$33))&gt;=v_lift^2/a_lift,(ABS($B51-J$33))/v_lift+v_lift/a_lift,2*SQRT((ABS($B51-J$33))/a_lift)))+t_pos+t_I+IF((J$33)&lt;=0,0,IF((J$33)&gt;=v_lift^2/a_lift,(J$33)/v_lift+v_lift/a_lift,2*SQRT((J$33)/a_lift)))+t_pos+t_ch)</f>
        <v>0</v>
      </c>
      <c r="K51" s="20" t="n">
        <f aca="false">$C51*K$34*(t_ch+IF(($B51)&lt;=0,0,IF(($B51)&gt;=v_lift^2/a_lift,($B51)/v_lift+v_lift/a_lift,2*SQRT(($B51)/a_lift)))+t_pos+t_I+IF((ABS($B51-K$33))&lt;=0,0,IF((ABS($B51-K$33))&gt;=v_lift^2/a_lift,(ABS($B51-K$33))/v_lift+v_lift/a_lift,2*SQRT((ABS($B51-K$33))/a_lift)))+t_pos+t_I+IF((K$33)&lt;=0,0,IF((K$33)&gt;=v_lift^2/a_lift,(K$33)/v_lift+v_lift/a_lift,2*SQRT((K$33)/a_lift)))+t_pos+t_ch)</f>
        <v>0</v>
      </c>
      <c r="L51" s="20" t="n">
        <f aca="false">$C51*L$34*(t_ch+IF(($B51)&lt;=0,0,IF(($B51)&gt;=v_lift^2/a_lift,($B51)/v_lift+v_lift/a_lift,2*SQRT(($B51)/a_lift)))+t_pos+t_I+IF((ABS($B51-L$33))&lt;=0,0,IF((ABS($B51-L$33))&gt;=v_lift^2/a_lift,(ABS($B51-L$33))/v_lift+v_lift/a_lift,2*SQRT((ABS($B51-L$33))/a_lift)))+t_pos+t_I+IF((L$33)&lt;=0,0,IF((L$33)&gt;=v_lift^2/a_lift,(L$33)/v_lift+v_lift/a_lift,2*SQRT((L$33)/a_lift)))+t_pos+t_ch)</f>
        <v>0</v>
      </c>
      <c r="M51" s="20" t="n">
        <f aca="false">$C51*M$34*(t_ch+IF(($B51)&lt;=0,0,IF(($B51)&gt;=v_lift^2/a_lift,($B51)/v_lift+v_lift/a_lift,2*SQRT(($B51)/a_lift)))+t_pos+t_I+IF((ABS($B51-M$33))&lt;=0,0,IF((ABS($B51-M$33))&gt;=v_lift^2/a_lift,(ABS($B51-M$33))/v_lift+v_lift/a_lift,2*SQRT((ABS($B51-M$33))/a_lift)))+t_pos+t_I+IF((M$33)&lt;=0,0,IF((M$33)&gt;=v_lift^2/a_lift,(M$33)/v_lift+v_lift/a_lift,2*SQRT((M$33)/a_lift)))+t_pos+t_ch)</f>
        <v>0</v>
      </c>
      <c r="N51" s="20" t="n">
        <f aca="false">$C51*N$34*(t_ch+IF(($B51)&lt;=0,0,IF(($B51)&gt;=v_lift^2/a_lift,($B51)/v_lift+v_lift/a_lift,2*SQRT(($B51)/a_lift)))+t_pos+t_I+IF((ABS($B51-N$33))&lt;=0,0,IF((ABS($B51-N$33))&gt;=v_lift^2/a_lift,(ABS($B51-N$33))/v_lift+v_lift/a_lift,2*SQRT((ABS($B51-N$33))/a_lift)))+t_pos+t_I+IF((N$33)&lt;=0,0,IF((N$33)&gt;=v_lift^2/a_lift,(N$33)/v_lift+v_lift/a_lift,2*SQRT((N$33)/a_lift)))+t_pos+t_ch)</f>
        <v>0</v>
      </c>
      <c r="O51" s="20" t="n">
        <f aca="false">$C51*O$34*(t_ch+IF(($B51)&lt;=0,0,IF(($B51)&gt;=v_lift^2/a_lift,($B51)/v_lift+v_lift/a_lift,2*SQRT(($B51)/a_lift)))+t_pos+t_I+IF((ABS($B51-O$33))&lt;=0,0,IF((ABS($B51-O$33))&gt;=v_lift^2/a_lift,(ABS($B51-O$33))/v_lift+v_lift/a_lift,2*SQRT((ABS($B51-O$33))/a_lift)))+t_pos+t_I+IF((O$33)&lt;=0,0,IF((O$33)&gt;=v_lift^2/a_lift,(O$33)/v_lift+v_lift/a_lift,2*SQRT((O$33)/a_lift)))+t_pos+t_ch)</f>
        <v>0</v>
      </c>
      <c r="P51" s="20" t="n">
        <f aca="false">$C51*P$34*(t_ch+IF(($B51)&lt;=0,0,IF(($B51)&gt;=v_lift^2/a_lift,($B51)/v_lift+v_lift/a_lift,2*SQRT(($B51)/a_lift)))+t_pos+t_I+IF((ABS($B51-P$33))&lt;=0,0,IF((ABS($B51-P$33))&gt;=v_lift^2/a_lift,(ABS($B51-P$33))/v_lift+v_lift/a_lift,2*SQRT((ABS($B51-P$33))/a_lift)))+t_pos+t_I+IF((P$33)&lt;=0,0,IF((P$33)&gt;=v_lift^2/a_lift,(P$33)/v_lift+v_lift/a_lift,2*SQRT((P$33)/a_lift)))+t_pos+t_ch)</f>
        <v>0</v>
      </c>
      <c r="Q51" s="20" t="n">
        <f aca="false">$C51*Q$34*(t_ch+IF(($B51)&lt;=0,0,IF(($B51)&gt;=v_lift^2/a_lift,($B51)/v_lift+v_lift/a_lift,2*SQRT(($B51)/a_lift)))+t_pos+t_I+IF((ABS($B51-Q$33))&lt;=0,0,IF((ABS($B51-Q$33))&gt;=v_lift^2/a_lift,(ABS($B51-Q$33))/v_lift+v_lift/a_lift,2*SQRT((ABS($B51-Q$33))/a_lift)))+t_pos+t_I+IF((Q$33)&lt;=0,0,IF((Q$33)&gt;=v_lift^2/a_lift,(Q$33)/v_lift+v_lift/a_lift,2*SQRT((Q$33)/a_lift)))+t_pos+t_ch)</f>
        <v>0</v>
      </c>
      <c r="R51" s="20" t="n">
        <f aca="false">$C51*R$34*(t_ch+IF(($B51)&lt;=0,0,IF(($B51)&gt;=v_lift^2/a_lift,($B51)/v_lift+v_lift/a_lift,2*SQRT(($B51)/a_lift)))+t_pos+t_I+IF((ABS($B51-R$33))&lt;=0,0,IF((ABS($B51-R$33))&gt;=v_lift^2/a_lift,(ABS($B51-R$33))/v_lift+v_lift/a_lift,2*SQRT((ABS($B51-R$33))/a_lift)))+t_pos+t_I+IF((R$33)&lt;=0,0,IF((R$33)&gt;=v_lift^2/a_lift,(R$33)/v_lift+v_lift/a_lift,2*SQRT((R$33)/a_lift)))+t_pos+t_ch)</f>
        <v>0</v>
      </c>
      <c r="S51" s="20" t="n">
        <f aca="false">$C51*S$34*(t_ch+IF(($B51)&lt;=0,0,IF(($B51)&gt;=v_lift^2/a_lift,($B51)/v_lift+v_lift/a_lift,2*SQRT(($B51)/a_lift)))+t_pos+t_I+IF((ABS($B51-S$33))&lt;=0,0,IF((ABS($B51-S$33))&gt;=v_lift^2/a_lift,(ABS($B51-S$33))/v_lift+v_lift/a_lift,2*SQRT((ABS($B51-S$33))/a_lift)))+t_pos+t_I+IF((S$33)&lt;=0,0,IF((S$33)&gt;=v_lift^2/a_lift,(S$33)/v_lift+v_lift/a_lift,2*SQRT((S$33)/a_lift)))+t_pos+t_ch)</f>
        <v>0</v>
      </c>
      <c r="T51" s="20" t="n">
        <f aca="false">$C51*T$34*(t_ch+IF(($B51)&lt;=0,0,IF(($B51)&gt;=v_lift^2/a_lift,($B51)/v_lift+v_lift/a_lift,2*SQRT(($B51)/a_lift)))+t_pos+t_I+IF((ABS($B51-T$33))&lt;=0,0,IF((ABS($B51-T$33))&gt;=v_lift^2/a_lift,(ABS($B51-T$33))/v_lift+v_lift/a_lift,2*SQRT((ABS($B51-T$33))/a_lift)))+t_pos+t_I+IF((T$33)&lt;=0,0,IF((T$33)&gt;=v_lift^2/a_lift,(T$33)/v_lift+v_lift/a_lift,2*SQRT((T$33)/a_lift)))+t_pos+t_ch)</f>
        <v>0</v>
      </c>
      <c r="U51" s="20" t="n">
        <f aca="false">$C51*U$34*(t_ch+IF(($B51)&lt;=0,0,IF(($B51)&gt;=v_lift^2/a_lift,($B51)/v_lift+v_lift/a_lift,2*SQRT(($B51)/a_lift)))+t_pos+t_I+IF((ABS($B51-U$33))&lt;=0,0,IF((ABS($B51-U$33))&gt;=v_lift^2/a_lift,(ABS($B51-U$33))/v_lift+v_lift/a_lift,2*SQRT((ABS($B51-U$33))/a_lift)))+t_pos+t_I+IF((U$33)&lt;=0,0,IF((U$33)&gt;=v_lift^2/a_lift,(U$33)/v_lift+v_lift/a_lift,2*SQRT((U$33)/a_lift)))+t_pos+t_ch)</f>
        <v>0</v>
      </c>
      <c r="V51" s="20" t="n">
        <f aca="false">$C51*V$34*(t_ch+IF(($B51)&lt;=0,0,IF(($B51)&gt;=v_lift^2/a_lift,($B51)/v_lift+v_lift/a_lift,2*SQRT(($B51)/a_lift)))+t_pos+t_I+IF((ABS($B51-V$33))&lt;=0,0,IF((ABS($B51-V$33))&gt;=v_lift^2/a_lift,(ABS($B51-V$33))/v_lift+v_lift/a_lift,2*SQRT((ABS($B51-V$33))/a_lift)))+t_pos+t_I+IF((V$33)&lt;=0,0,IF((V$33)&gt;=v_lift^2/a_lift,(V$33)/v_lift+v_lift/a_lift,2*SQRT((V$33)/a_lift)))+t_pos+t_ch)</f>
        <v>0</v>
      </c>
      <c r="W51" s="20" t="n">
        <f aca="false">$C51*W$34*(t_ch+IF(($B51)&lt;=0,0,IF(($B51)&gt;=v_lift^2/a_lift,($B51)/v_lift+v_lift/a_lift,2*SQRT(($B51)/a_lift)))+t_pos+t_I+IF((ABS($B51-W$33))&lt;=0,0,IF((ABS($B51-W$33))&gt;=v_lift^2/a_lift,(ABS($B51-W$33))/v_lift+v_lift/a_lift,2*SQRT((ABS($B51-W$33))/a_lift)))+t_pos+t_I+IF((W$33)&lt;=0,0,IF((W$33)&gt;=v_lift^2/a_lift,(W$33)/v_lift+v_lift/a_lift,2*SQRT((W$33)/a_lift)))+t_pos+t_ch)</f>
        <v>0</v>
      </c>
    </row>
    <row r="52" customFormat="false" ht="15" hidden="false" customHeight="false" outlineLevel="0" collapsed="false">
      <c r="A52" s="7" t="n">
        <v>17</v>
      </c>
      <c r="B52" s="18" t="n">
        <f aca="false">Tiers!C20</f>
        <v>0</v>
      </c>
      <c r="C52" s="19" t="n">
        <f aca="false">Tiers!J20</f>
        <v>0</v>
      </c>
      <c r="D52" s="20" t="n">
        <f aca="false">$C52*D$34*(t_ch+IF(($B52)&lt;=0,0,IF(($B52)&gt;=v_lift^2/a_lift,($B52)/v_lift+v_lift/a_lift,2*SQRT(($B52)/a_lift)))+t_pos+t_I+IF((ABS($B52-D$33))&lt;=0,0,IF((ABS($B52-D$33))&gt;=v_lift^2/a_lift,(ABS($B52-D$33))/v_lift+v_lift/a_lift,2*SQRT((ABS($B52-D$33))/a_lift)))+t_pos+t_I+IF((D$33)&lt;=0,0,IF((D$33)&gt;=v_lift^2/a_lift,(D$33)/v_lift+v_lift/a_lift,2*SQRT((D$33)/a_lift)))+t_pos+t_ch)</f>
        <v>0</v>
      </c>
      <c r="E52" s="20" t="n">
        <f aca="false">$C52*E$34*(t_ch+IF(($B52)&lt;=0,0,IF(($B52)&gt;=v_lift^2/a_lift,($B52)/v_lift+v_lift/a_lift,2*SQRT(($B52)/a_lift)))+t_pos+t_I+IF((ABS($B52-E$33))&lt;=0,0,IF((ABS($B52-E$33))&gt;=v_lift^2/a_lift,(ABS($B52-E$33))/v_lift+v_lift/a_lift,2*SQRT((ABS($B52-E$33))/a_lift)))+t_pos+t_I+IF((E$33)&lt;=0,0,IF((E$33)&gt;=v_lift^2/a_lift,(E$33)/v_lift+v_lift/a_lift,2*SQRT((E$33)/a_lift)))+t_pos+t_ch)</f>
        <v>0</v>
      </c>
      <c r="F52" s="20" t="n">
        <f aca="false">$C52*F$34*(t_ch+IF(($B52)&lt;=0,0,IF(($B52)&gt;=v_lift^2/a_lift,($B52)/v_lift+v_lift/a_lift,2*SQRT(($B52)/a_lift)))+t_pos+t_I+IF((ABS($B52-F$33))&lt;=0,0,IF((ABS($B52-F$33))&gt;=v_lift^2/a_lift,(ABS($B52-F$33))/v_lift+v_lift/a_lift,2*SQRT((ABS($B52-F$33))/a_lift)))+t_pos+t_I+IF((F$33)&lt;=0,0,IF((F$33)&gt;=v_lift^2/a_lift,(F$33)/v_lift+v_lift/a_lift,2*SQRT((F$33)/a_lift)))+t_pos+t_ch)</f>
        <v>0</v>
      </c>
      <c r="G52" s="20" t="n">
        <f aca="false">$C52*G$34*(t_ch+IF(($B52)&lt;=0,0,IF(($B52)&gt;=v_lift^2/a_lift,($B52)/v_lift+v_lift/a_lift,2*SQRT(($B52)/a_lift)))+t_pos+t_I+IF((ABS($B52-G$33))&lt;=0,0,IF((ABS($B52-G$33))&gt;=v_lift^2/a_lift,(ABS($B52-G$33))/v_lift+v_lift/a_lift,2*SQRT((ABS($B52-G$33))/a_lift)))+t_pos+t_I+IF((G$33)&lt;=0,0,IF((G$33)&gt;=v_lift^2/a_lift,(G$33)/v_lift+v_lift/a_lift,2*SQRT((G$33)/a_lift)))+t_pos+t_ch)</f>
        <v>0</v>
      </c>
      <c r="H52" s="20" t="n">
        <f aca="false">$C52*H$34*(t_ch+IF(($B52)&lt;=0,0,IF(($B52)&gt;=v_lift^2/a_lift,($B52)/v_lift+v_lift/a_lift,2*SQRT(($B52)/a_lift)))+t_pos+t_I+IF((ABS($B52-H$33))&lt;=0,0,IF((ABS($B52-H$33))&gt;=v_lift^2/a_lift,(ABS($B52-H$33))/v_lift+v_lift/a_lift,2*SQRT((ABS($B52-H$33))/a_lift)))+t_pos+t_I+IF((H$33)&lt;=0,0,IF((H$33)&gt;=v_lift^2/a_lift,(H$33)/v_lift+v_lift/a_lift,2*SQRT((H$33)/a_lift)))+t_pos+t_ch)</f>
        <v>0</v>
      </c>
      <c r="I52" s="20" t="n">
        <f aca="false">$C52*I$34*(t_ch+IF(($B52)&lt;=0,0,IF(($B52)&gt;=v_lift^2/a_lift,($B52)/v_lift+v_lift/a_lift,2*SQRT(($B52)/a_lift)))+t_pos+t_I+IF((ABS($B52-I$33))&lt;=0,0,IF((ABS($B52-I$33))&gt;=v_lift^2/a_lift,(ABS($B52-I$33))/v_lift+v_lift/a_lift,2*SQRT((ABS($B52-I$33))/a_lift)))+t_pos+t_I+IF((I$33)&lt;=0,0,IF((I$33)&gt;=v_lift^2/a_lift,(I$33)/v_lift+v_lift/a_lift,2*SQRT((I$33)/a_lift)))+t_pos+t_ch)</f>
        <v>0</v>
      </c>
      <c r="J52" s="20" t="n">
        <f aca="false">$C52*J$34*(t_ch+IF(($B52)&lt;=0,0,IF(($B52)&gt;=v_lift^2/a_lift,($B52)/v_lift+v_lift/a_lift,2*SQRT(($B52)/a_lift)))+t_pos+t_I+IF((ABS($B52-J$33))&lt;=0,0,IF((ABS($B52-J$33))&gt;=v_lift^2/a_lift,(ABS($B52-J$33))/v_lift+v_lift/a_lift,2*SQRT((ABS($B52-J$33))/a_lift)))+t_pos+t_I+IF((J$33)&lt;=0,0,IF((J$33)&gt;=v_lift^2/a_lift,(J$33)/v_lift+v_lift/a_lift,2*SQRT((J$33)/a_lift)))+t_pos+t_ch)</f>
        <v>0</v>
      </c>
      <c r="K52" s="20" t="n">
        <f aca="false">$C52*K$34*(t_ch+IF(($B52)&lt;=0,0,IF(($B52)&gt;=v_lift^2/a_lift,($B52)/v_lift+v_lift/a_lift,2*SQRT(($B52)/a_lift)))+t_pos+t_I+IF((ABS($B52-K$33))&lt;=0,0,IF((ABS($B52-K$33))&gt;=v_lift^2/a_lift,(ABS($B52-K$33))/v_lift+v_lift/a_lift,2*SQRT((ABS($B52-K$33))/a_lift)))+t_pos+t_I+IF((K$33)&lt;=0,0,IF((K$33)&gt;=v_lift^2/a_lift,(K$33)/v_lift+v_lift/a_lift,2*SQRT((K$33)/a_lift)))+t_pos+t_ch)</f>
        <v>0</v>
      </c>
      <c r="L52" s="20" t="n">
        <f aca="false">$C52*L$34*(t_ch+IF(($B52)&lt;=0,0,IF(($B52)&gt;=v_lift^2/a_lift,($B52)/v_lift+v_lift/a_lift,2*SQRT(($B52)/a_lift)))+t_pos+t_I+IF((ABS($B52-L$33))&lt;=0,0,IF((ABS($B52-L$33))&gt;=v_lift^2/a_lift,(ABS($B52-L$33))/v_lift+v_lift/a_lift,2*SQRT((ABS($B52-L$33))/a_lift)))+t_pos+t_I+IF((L$33)&lt;=0,0,IF((L$33)&gt;=v_lift^2/a_lift,(L$33)/v_lift+v_lift/a_lift,2*SQRT((L$33)/a_lift)))+t_pos+t_ch)</f>
        <v>0</v>
      </c>
      <c r="M52" s="20" t="n">
        <f aca="false">$C52*M$34*(t_ch+IF(($B52)&lt;=0,0,IF(($B52)&gt;=v_lift^2/a_lift,($B52)/v_lift+v_lift/a_lift,2*SQRT(($B52)/a_lift)))+t_pos+t_I+IF((ABS($B52-M$33))&lt;=0,0,IF((ABS($B52-M$33))&gt;=v_lift^2/a_lift,(ABS($B52-M$33))/v_lift+v_lift/a_lift,2*SQRT((ABS($B52-M$33))/a_lift)))+t_pos+t_I+IF((M$33)&lt;=0,0,IF((M$33)&gt;=v_lift^2/a_lift,(M$33)/v_lift+v_lift/a_lift,2*SQRT((M$33)/a_lift)))+t_pos+t_ch)</f>
        <v>0</v>
      </c>
      <c r="N52" s="20" t="n">
        <f aca="false">$C52*N$34*(t_ch+IF(($B52)&lt;=0,0,IF(($B52)&gt;=v_lift^2/a_lift,($B52)/v_lift+v_lift/a_lift,2*SQRT(($B52)/a_lift)))+t_pos+t_I+IF((ABS($B52-N$33))&lt;=0,0,IF((ABS($B52-N$33))&gt;=v_lift^2/a_lift,(ABS($B52-N$33))/v_lift+v_lift/a_lift,2*SQRT((ABS($B52-N$33))/a_lift)))+t_pos+t_I+IF((N$33)&lt;=0,0,IF((N$33)&gt;=v_lift^2/a_lift,(N$33)/v_lift+v_lift/a_lift,2*SQRT((N$33)/a_lift)))+t_pos+t_ch)</f>
        <v>0</v>
      </c>
      <c r="O52" s="20" t="n">
        <f aca="false">$C52*O$34*(t_ch+IF(($B52)&lt;=0,0,IF(($B52)&gt;=v_lift^2/a_lift,($B52)/v_lift+v_lift/a_lift,2*SQRT(($B52)/a_lift)))+t_pos+t_I+IF((ABS($B52-O$33))&lt;=0,0,IF((ABS($B52-O$33))&gt;=v_lift^2/a_lift,(ABS($B52-O$33))/v_lift+v_lift/a_lift,2*SQRT((ABS($B52-O$33))/a_lift)))+t_pos+t_I+IF((O$33)&lt;=0,0,IF((O$33)&gt;=v_lift^2/a_lift,(O$33)/v_lift+v_lift/a_lift,2*SQRT((O$33)/a_lift)))+t_pos+t_ch)</f>
        <v>0</v>
      </c>
      <c r="P52" s="20" t="n">
        <f aca="false">$C52*P$34*(t_ch+IF(($B52)&lt;=0,0,IF(($B52)&gt;=v_lift^2/a_lift,($B52)/v_lift+v_lift/a_lift,2*SQRT(($B52)/a_lift)))+t_pos+t_I+IF((ABS($B52-P$33))&lt;=0,0,IF((ABS($B52-P$33))&gt;=v_lift^2/a_lift,(ABS($B52-P$33))/v_lift+v_lift/a_lift,2*SQRT((ABS($B52-P$33))/a_lift)))+t_pos+t_I+IF((P$33)&lt;=0,0,IF((P$33)&gt;=v_lift^2/a_lift,(P$33)/v_lift+v_lift/a_lift,2*SQRT((P$33)/a_lift)))+t_pos+t_ch)</f>
        <v>0</v>
      </c>
      <c r="Q52" s="20" t="n">
        <f aca="false">$C52*Q$34*(t_ch+IF(($B52)&lt;=0,0,IF(($B52)&gt;=v_lift^2/a_lift,($B52)/v_lift+v_lift/a_lift,2*SQRT(($B52)/a_lift)))+t_pos+t_I+IF((ABS($B52-Q$33))&lt;=0,0,IF((ABS($B52-Q$33))&gt;=v_lift^2/a_lift,(ABS($B52-Q$33))/v_lift+v_lift/a_lift,2*SQRT((ABS($B52-Q$33))/a_lift)))+t_pos+t_I+IF((Q$33)&lt;=0,0,IF((Q$33)&gt;=v_lift^2/a_lift,(Q$33)/v_lift+v_lift/a_lift,2*SQRT((Q$33)/a_lift)))+t_pos+t_ch)</f>
        <v>0</v>
      </c>
      <c r="R52" s="20" t="n">
        <f aca="false">$C52*R$34*(t_ch+IF(($B52)&lt;=0,0,IF(($B52)&gt;=v_lift^2/a_lift,($B52)/v_lift+v_lift/a_lift,2*SQRT(($B52)/a_lift)))+t_pos+t_I+IF((ABS($B52-R$33))&lt;=0,0,IF((ABS($B52-R$33))&gt;=v_lift^2/a_lift,(ABS($B52-R$33))/v_lift+v_lift/a_lift,2*SQRT((ABS($B52-R$33))/a_lift)))+t_pos+t_I+IF((R$33)&lt;=0,0,IF((R$33)&gt;=v_lift^2/a_lift,(R$33)/v_lift+v_lift/a_lift,2*SQRT((R$33)/a_lift)))+t_pos+t_ch)</f>
        <v>0</v>
      </c>
      <c r="S52" s="20" t="n">
        <f aca="false">$C52*S$34*(t_ch+IF(($B52)&lt;=0,0,IF(($B52)&gt;=v_lift^2/a_lift,($B52)/v_lift+v_lift/a_lift,2*SQRT(($B52)/a_lift)))+t_pos+t_I+IF((ABS($B52-S$33))&lt;=0,0,IF((ABS($B52-S$33))&gt;=v_lift^2/a_lift,(ABS($B52-S$33))/v_lift+v_lift/a_lift,2*SQRT((ABS($B52-S$33))/a_lift)))+t_pos+t_I+IF((S$33)&lt;=0,0,IF((S$33)&gt;=v_lift^2/a_lift,(S$33)/v_lift+v_lift/a_lift,2*SQRT((S$33)/a_lift)))+t_pos+t_ch)</f>
        <v>0</v>
      </c>
      <c r="T52" s="20" t="n">
        <f aca="false">$C52*T$34*(t_ch+IF(($B52)&lt;=0,0,IF(($B52)&gt;=v_lift^2/a_lift,($B52)/v_lift+v_lift/a_lift,2*SQRT(($B52)/a_lift)))+t_pos+t_I+IF((ABS($B52-T$33))&lt;=0,0,IF((ABS($B52-T$33))&gt;=v_lift^2/a_lift,(ABS($B52-T$33))/v_lift+v_lift/a_lift,2*SQRT((ABS($B52-T$33))/a_lift)))+t_pos+t_I+IF((T$33)&lt;=0,0,IF((T$33)&gt;=v_lift^2/a_lift,(T$33)/v_lift+v_lift/a_lift,2*SQRT((T$33)/a_lift)))+t_pos+t_ch)</f>
        <v>0</v>
      </c>
      <c r="U52" s="20" t="n">
        <f aca="false">$C52*U$34*(t_ch+IF(($B52)&lt;=0,0,IF(($B52)&gt;=v_lift^2/a_lift,($B52)/v_lift+v_lift/a_lift,2*SQRT(($B52)/a_lift)))+t_pos+t_I+IF((ABS($B52-U$33))&lt;=0,0,IF((ABS($B52-U$33))&gt;=v_lift^2/a_lift,(ABS($B52-U$33))/v_lift+v_lift/a_lift,2*SQRT((ABS($B52-U$33))/a_lift)))+t_pos+t_I+IF((U$33)&lt;=0,0,IF((U$33)&gt;=v_lift^2/a_lift,(U$33)/v_lift+v_lift/a_lift,2*SQRT((U$33)/a_lift)))+t_pos+t_ch)</f>
        <v>0</v>
      </c>
      <c r="V52" s="20" t="n">
        <f aca="false">$C52*V$34*(t_ch+IF(($B52)&lt;=0,0,IF(($B52)&gt;=v_lift^2/a_lift,($B52)/v_lift+v_lift/a_lift,2*SQRT(($B52)/a_lift)))+t_pos+t_I+IF((ABS($B52-V$33))&lt;=0,0,IF((ABS($B52-V$33))&gt;=v_lift^2/a_lift,(ABS($B52-V$33))/v_lift+v_lift/a_lift,2*SQRT((ABS($B52-V$33))/a_lift)))+t_pos+t_I+IF((V$33)&lt;=0,0,IF((V$33)&gt;=v_lift^2/a_lift,(V$33)/v_lift+v_lift/a_lift,2*SQRT((V$33)/a_lift)))+t_pos+t_ch)</f>
        <v>0</v>
      </c>
      <c r="W52" s="20" t="n">
        <f aca="false">$C52*W$34*(t_ch+IF(($B52)&lt;=0,0,IF(($B52)&gt;=v_lift^2/a_lift,($B52)/v_lift+v_lift/a_lift,2*SQRT(($B52)/a_lift)))+t_pos+t_I+IF((ABS($B52-W$33))&lt;=0,0,IF((ABS($B52-W$33))&gt;=v_lift^2/a_lift,(ABS($B52-W$33))/v_lift+v_lift/a_lift,2*SQRT((ABS($B52-W$33))/a_lift)))+t_pos+t_I+IF((W$33)&lt;=0,0,IF((W$33)&gt;=v_lift^2/a_lift,(W$33)/v_lift+v_lift/a_lift,2*SQRT((W$33)/a_lift)))+t_pos+t_ch)</f>
        <v>0</v>
      </c>
    </row>
    <row r="53" customFormat="false" ht="15" hidden="false" customHeight="false" outlineLevel="0" collapsed="false">
      <c r="A53" s="7" t="n">
        <v>18</v>
      </c>
      <c r="B53" s="18" t="n">
        <f aca="false">Tiers!C21</f>
        <v>0</v>
      </c>
      <c r="C53" s="19" t="n">
        <f aca="false">Tiers!J21</f>
        <v>0</v>
      </c>
      <c r="D53" s="20" t="n">
        <f aca="false">$C53*D$34*(t_ch+IF(($B53)&lt;=0,0,IF(($B53)&gt;=v_lift^2/a_lift,($B53)/v_lift+v_lift/a_lift,2*SQRT(($B53)/a_lift)))+t_pos+t_I+IF((ABS($B53-D$33))&lt;=0,0,IF((ABS($B53-D$33))&gt;=v_lift^2/a_lift,(ABS($B53-D$33))/v_lift+v_lift/a_lift,2*SQRT((ABS($B53-D$33))/a_lift)))+t_pos+t_I+IF((D$33)&lt;=0,0,IF((D$33)&gt;=v_lift^2/a_lift,(D$33)/v_lift+v_lift/a_lift,2*SQRT((D$33)/a_lift)))+t_pos+t_ch)</f>
        <v>0</v>
      </c>
      <c r="E53" s="20" t="n">
        <f aca="false">$C53*E$34*(t_ch+IF(($B53)&lt;=0,0,IF(($B53)&gt;=v_lift^2/a_lift,($B53)/v_lift+v_lift/a_lift,2*SQRT(($B53)/a_lift)))+t_pos+t_I+IF((ABS($B53-E$33))&lt;=0,0,IF((ABS($B53-E$33))&gt;=v_lift^2/a_lift,(ABS($B53-E$33))/v_lift+v_lift/a_lift,2*SQRT((ABS($B53-E$33))/a_lift)))+t_pos+t_I+IF((E$33)&lt;=0,0,IF((E$33)&gt;=v_lift^2/a_lift,(E$33)/v_lift+v_lift/a_lift,2*SQRT((E$33)/a_lift)))+t_pos+t_ch)</f>
        <v>0</v>
      </c>
      <c r="F53" s="20" t="n">
        <f aca="false">$C53*F$34*(t_ch+IF(($B53)&lt;=0,0,IF(($B53)&gt;=v_lift^2/a_lift,($B53)/v_lift+v_lift/a_lift,2*SQRT(($B53)/a_lift)))+t_pos+t_I+IF((ABS($B53-F$33))&lt;=0,0,IF((ABS($B53-F$33))&gt;=v_lift^2/a_lift,(ABS($B53-F$33))/v_lift+v_lift/a_lift,2*SQRT((ABS($B53-F$33))/a_lift)))+t_pos+t_I+IF((F$33)&lt;=0,0,IF((F$33)&gt;=v_lift^2/a_lift,(F$33)/v_lift+v_lift/a_lift,2*SQRT((F$33)/a_lift)))+t_pos+t_ch)</f>
        <v>0</v>
      </c>
      <c r="G53" s="20" t="n">
        <f aca="false">$C53*G$34*(t_ch+IF(($B53)&lt;=0,0,IF(($B53)&gt;=v_lift^2/a_lift,($B53)/v_lift+v_lift/a_lift,2*SQRT(($B53)/a_lift)))+t_pos+t_I+IF((ABS($B53-G$33))&lt;=0,0,IF((ABS($B53-G$33))&gt;=v_lift^2/a_lift,(ABS($B53-G$33))/v_lift+v_lift/a_lift,2*SQRT((ABS($B53-G$33))/a_lift)))+t_pos+t_I+IF((G$33)&lt;=0,0,IF((G$33)&gt;=v_lift^2/a_lift,(G$33)/v_lift+v_lift/a_lift,2*SQRT((G$33)/a_lift)))+t_pos+t_ch)</f>
        <v>0</v>
      </c>
      <c r="H53" s="20" t="n">
        <f aca="false">$C53*H$34*(t_ch+IF(($B53)&lt;=0,0,IF(($B53)&gt;=v_lift^2/a_lift,($B53)/v_lift+v_lift/a_lift,2*SQRT(($B53)/a_lift)))+t_pos+t_I+IF((ABS($B53-H$33))&lt;=0,0,IF((ABS($B53-H$33))&gt;=v_lift^2/a_lift,(ABS($B53-H$33))/v_lift+v_lift/a_lift,2*SQRT((ABS($B53-H$33))/a_lift)))+t_pos+t_I+IF((H$33)&lt;=0,0,IF((H$33)&gt;=v_lift^2/a_lift,(H$33)/v_lift+v_lift/a_lift,2*SQRT((H$33)/a_lift)))+t_pos+t_ch)</f>
        <v>0</v>
      </c>
      <c r="I53" s="20" t="n">
        <f aca="false">$C53*I$34*(t_ch+IF(($B53)&lt;=0,0,IF(($B53)&gt;=v_lift^2/a_lift,($B53)/v_lift+v_lift/a_lift,2*SQRT(($B53)/a_lift)))+t_pos+t_I+IF((ABS($B53-I$33))&lt;=0,0,IF((ABS($B53-I$33))&gt;=v_lift^2/a_lift,(ABS($B53-I$33))/v_lift+v_lift/a_lift,2*SQRT((ABS($B53-I$33))/a_lift)))+t_pos+t_I+IF((I$33)&lt;=0,0,IF((I$33)&gt;=v_lift^2/a_lift,(I$33)/v_lift+v_lift/a_lift,2*SQRT((I$33)/a_lift)))+t_pos+t_ch)</f>
        <v>0</v>
      </c>
      <c r="J53" s="20" t="n">
        <f aca="false">$C53*J$34*(t_ch+IF(($B53)&lt;=0,0,IF(($B53)&gt;=v_lift^2/a_lift,($B53)/v_lift+v_lift/a_lift,2*SQRT(($B53)/a_lift)))+t_pos+t_I+IF((ABS($B53-J$33))&lt;=0,0,IF((ABS($B53-J$33))&gt;=v_lift^2/a_lift,(ABS($B53-J$33))/v_lift+v_lift/a_lift,2*SQRT((ABS($B53-J$33))/a_lift)))+t_pos+t_I+IF((J$33)&lt;=0,0,IF((J$33)&gt;=v_lift^2/a_lift,(J$33)/v_lift+v_lift/a_lift,2*SQRT((J$33)/a_lift)))+t_pos+t_ch)</f>
        <v>0</v>
      </c>
      <c r="K53" s="20" t="n">
        <f aca="false">$C53*K$34*(t_ch+IF(($B53)&lt;=0,0,IF(($B53)&gt;=v_lift^2/a_lift,($B53)/v_lift+v_lift/a_lift,2*SQRT(($B53)/a_lift)))+t_pos+t_I+IF((ABS($B53-K$33))&lt;=0,0,IF((ABS($B53-K$33))&gt;=v_lift^2/a_lift,(ABS($B53-K$33))/v_lift+v_lift/a_lift,2*SQRT((ABS($B53-K$33))/a_lift)))+t_pos+t_I+IF((K$33)&lt;=0,0,IF((K$33)&gt;=v_lift^2/a_lift,(K$33)/v_lift+v_lift/a_lift,2*SQRT((K$33)/a_lift)))+t_pos+t_ch)</f>
        <v>0</v>
      </c>
      <c r="L53" s="20" t="n">
        <f aca="false">$C53*L$34*(t_ch+IF(($B53)&lt;=0,0,IF(($B53)&gt;=v_lift^2/a_lift,($B53)/v_lift+v_lift/a_lift,2*SQRT(($B53)/a_lift)))+t_pos+t_I+IF((ABS($B53-L$33))&lt;=0,0,IF((ABS($B53-L$33))&gt;=v_lift^2/a_lift,(ABS($B53-L$33))/v_lift+v_lift/a_lift,2*SQRT((ABS($B53-L$33))/a_lift)))+t_pos+t_I+IF((L$33)&lt;=0,0,IF((L$33)&gt;=v_lift^2/a_lift,(L$33)/v_lift+v_lift/a_lift,2*SQRT((L$33)/a_lift)))+t_pos+t_ch)</f>
        <v>0</v>
      </c>
      <c r="M53" s="20" t="n">
        <f aca="false">$C53*M$34*(t_ch+IF(($B53)&lt;=0,0,IF(($B53)&gt;=v_lift^2/a_lift,($B53)/v_lift+v_lift/a_lift,2*SQRT(($B53)/a_lift)))+t_pos+t_I+IF((ABS($B53-M$33))&lt;=0,0,IF((ABS($B53-M$33))&gt;=v_lift^2/a_lift,(ABS($B53-M$33))/v_lift+v_lift/a_lift,2*SQRT((ABS($B53-M$33))/a_lift)))+t_pos+t_I+IF((M$33)&lt;=0,0,IF((M$33)&gt;=v_lift^2/a_lift,(M$33)/v_lift+v_lift/a_lift,2*SQRT((M$33)/a_lift)))+t_pos+t_ch)</f>
        <v>0</v>
      </c>
      <c r="N53" s="20" t="n">
        <f aca="false">$C53*N$34*(t_ch+IF(($B53)&lt;=0,0,IF(($B53)&gt;=v_lift^2/a_lift,($B53)/v_lift+v_lift/a_lift,2*SQRT(($B53)/a_lift)))+t_pos+t_I+IF((ABS($B53-N$33))&lt;=0,0,IF((ABS($B53-N$33))&gt;=v_lift^2/a_lift,(ABS($B53-N$33))/v_lift+v_lift/a_lift,2*SQRT((ABS($B53-N$33))/a_lift)))+t_pos+t_I+IF((N$33)&lt;=0,0,IF((N$33)&gt;=v_lift^2/a_lift,(N$33)/v_lift+v_lift/a_lift,2*SQRT((N$33)/a_lift)))+t_pos+t_ch)</f>
        <v>0</v>
      </c>
      <c r="O53" s="20" t="n">
        <f aca="false">$C53*O$34*(t_ch+IF(($B53)&lt;=0,0,IF(($B53)&gt;=v_lift^2/a_lift,($B53)/v_lift+v_lift/a_lift,2*SQRT(($B53)/a_lift)))+t_pos+t_I+IF((ABS($B53-O$33))&lt;=0,0,IF((ABS($B53-O$33))&gt;=v_lift^2/a_lift,(ABS($B53-O$33))/v_lift+v_lift/a_lift,2*SQRT((ABS($B53-O$33))/a_lift)))+t_pos+t_I+IF((O$33)&lt;=0,0,IF((O$33)&gt;=v_lift^2/a_lift,(O$33)/v_lift+v_lift/a_lift,2*SQRT((O$33)/a_lift)))+t_pos+t_ch)</f>
        <v>0</v>
      </c>
      <c r="P53" s="20" t="n">
        <f aca="false">$C53*P$34*(t_ch+IF(($B53)&lt;=0,0,IF(($B53)&gt;=v_lift^2/a_lift,($B53)/v_lift+v_lift/a_lift,2*SQRT(($B53)/a_lift)))+t_pos+t_I+IF((ABS($B53-P$33))&lt;=0,0,IF((ABS($B53-P$33))&gt;=v_lift^2/a_lift,(ABS($B53-P$33))/v_lift+v_lift/a_lift,2*SQRT((ABS($B53-P$33))/a_lift)))+t_pos+t_I+IF((P$33)&lt;=0,0,IF((P$33)&gt;=v_lift^2/a_lift,(P$33)/v_lift+v_lift/a_lift,2*SQRT((P$33)/a_lift)))+t_pos+t_ch)</f>
        <v>0</v>
      </c>
      <c r="Q53" s="20" t="n">
        <f aca="false">$C53*Q$34*(t_ch+IF(($B53)&lt;=0,0,IF(($B53)&gt;=v_lift^2/a_lift,($B53)/v_lift+v_lift/a_lift,2*SQRT(($B53)/a_lift)))+t_pos+t_I+IF((ABS($B53-Q$33))&lt;=0,0,IF((ABS($B53-Q$33))&gt;=v_lift^2/a_lift,(ABS($B53-Q$33))/v_lift+v_lift/a_lift,2*SQRT((ABS($B53-Q$33))/a_lift)))+t_pos+t_I+IF((Q$33)&lt;=0,0,IF((Q$33)&gt;=v_lift^2/a_lift,(Q$33)/v_lift+v_lift/a_lift,2*SQRT((Q$33)/a_lift)))+t_pos+t_ch)</f>
        <v>0</v>
      </c>
      <c r="R53" s="20" t="n">
        <f aca="false">$C53*R$34*(t_ch+IF(($B53)&lt;=0,0,IF(($B53)&gt;=v_lift^2/a_lift,($B53)/v_lift+v_lift/a_lift,2*SQRT(($B53)/a_lift)))+t_pos+t_I+IF((ABS($B53-R$33))&lt;=0,0,IF((ABS($B53-R$33))&gt;=v_lift^2/a_lift,(ABS($B53-R$33))/v_lift+v_lift/a_lift,2*SQRT((ABS($B53-R$33))/a_lift)))+t_pos+t_I+IF((R$33)&lt;=0,0,IF((R$33)&gt;=v_lift^2/a_lift,(R$33)/v_lift+v_lift/a_lift,2*SQRT((R$33)/a_lift)))+t_pos+t_ch)</f>
        <v>0</v>
      </c>
      <c r="S53" s="20" t="n">
        <f aca="false">$C53*S$34*(t_ch+IF(($B53)&lt;=0,0,IF(($B53)&gt;=v_lift^2/a_lift,($B53)/v_lift+v_lift/a_lift,2*SQRT(($B53)/a_lift)))+t_pos+t_I+IF((ABS($B53-S$33))&lt;=0,0,IF((ABS($B53-S$33))&gt;=v_lift^2/a_lift,(ABS($B53-S$33))/v_lift+v_lift/a_lift,2*SQRT((ABS($B53-S$33))/a_lift)))+t_pos+t_I+IF((S$33)&lt;=0,0,IF((S$33)&gt;=v_lift^2/a_lift,(S$33)/v_lift+v_lift/a_lift,2*SQRT((S$33)/a_lift)))+t_pos+t_ch)</f>
        <v>0</v>
      </c>
      <c r="T53" s="20" t="n">
        <f aca="false">$C53*T$34*(t_ch+IF(($B53)&lt;=0,0,IF(($B53)&gt;=v_lift^2/a_lift,($B53)/v_lift+v_lift/a_lift,2*SQRT(($B53)/a_lift)))+t_pos+t_I+IF((ABS($B53-T$33))&lt;=0,0,IF((ABS($B53-T$33))&gt;=v_lift^2/a_lift,(ABS($B53-T$33))/v_lift+v_lift/a_lift,2*SQRT((ABS($B53-T$33))/a_lift)))+t_pos+t_I+IF((T$33)&lt;=0,0,IF((T$33)&gt;=v_lift^2/a_lift,(T$33)/v_lift+v_lift/a_lift,2*SQRT((T$33)/a_lift)))+t_pos+t_ch)</f>
        <v>0</v>
      </c>
      <c r="U53" s="20" t="n">
        <f aca="false">$C53*U$34*(t_ch+IF(($B53)&lt;=0,0,IF(($B53)&gt;=v_lift^2/a_lift,($B53)/v_lift+v_lift/a_lift,2*SQRT(($B53)/a_lift)))+t_pos+t_I+IF((ABS($B53-U$33))&lt;=0,0,IF((ABS($B53-U$33))&gt;=v_lift^2/a_lift,(ABS($B53-U$33))/v_lift+v_lift/a_lift,2*SQRT((ABS($B53-U$33))/a_lift)))+t_pos+t_I+IF((U$33)&lt;=0,0,IF((U$33)&gt;=v_lift^2/a_lift,(U$33)/v_lift+v_lift/a_lift,2*SQRT((U$33)/a_lift)))+t_pos+t_ch)</f>
        <v>0</v>
      </c>
      <c r="V53" s="20" t="n">
        <f aca="false">$C53*V$34*(t_ch+IF(($B53)&lt;=0,0,IF(($B53)&gt;=v_lift^2/a_lift,($B53)/v_lift+v_lift/a_lift,2*SQRT(($B53)/a_lift)))+t_pos+t_I+IF((ABS($B53-V$33))&lt;=0,0,IF((ABS($B53-V$33))&gt;=v_lift^2/a_lift,(ABS($B53-V$33))/v_lift+v_lift/a_lift,2*SQRT((ABS($B53-V$33))/a_lift)))+t_pos+t_I+IF((V$33)&lt;=0,0,IF((V$33)&gt;=v_lift^2/a_lift,(V$33)/v_lift+v_lift/a_lift,2*SQRT((V$33)/a_lift)))+t_pos+t_ch)</f>
        <v>0</v>
      </c>
      <c r="W53" s="20" t="n">
        <f aca="false">$C53*W$34*(t_ch+IF(($B53)&lt;=0,0,IF(($B53)&gt;=v_lift^2/a_lift,($B53)/v_lift+v_lift/a_lift,2*SQRT(($B53)/a_lift)))+t_pos+t_I+IF((ABS($B53-W$33))&lt;=0,0,IF((ABS($B53-W$33))&gt;=v_lift^2/a_lift,(ABS($B53-W$33))/v_lift+v_lift/a_lift,2*SQRT((ABS($B53-W$33))/a_lift)))+t_pos+t_I+IF((W$33)&lt;=0,0,IF((W$33)&gt;=v_lift^2/a_lift,(W$33)/v_lift+v_lift/a_lift,2*SQRT((W$33)/a_lift)))+t_pos+t_ch)</f>
        <v>0</v>
      </c>
    </row>
    <row r="54" customFormat="false" ht="15" hidden="false" customHeight="false" outlineLevel="0" collapsed="false">
      <c r="A54" s="7" t="n">
        <v>19</v>
      </c>
      <c r="B54" s="18" t="n">
        <f aca="false">Tiers!C22</f>
        <v>0</v>
      </c>
      <c r="C54" s="19" t="n">
        <f aca="false">Tiers!J22</f>
        <v>0</v>
      </c>
      <c r="D54" s="20" t="n">
        <f aca="false">$C54*D$34*(t_ch+IF(($B54)&lt;=0,0,IF(($B54)&gt;=v_lift^2/a_lift,($B54)/v_lift+v_lift/a_lift,2*SQRT(($B54)/a_lift)))+t_pos+t_I+IF((ABS($B54-D$33))&lt;=0,0,IF((ABS($B54-D$33))&gt;=v_lift^2/a_lift,(ABS($B54-D$33))/v_lift+v_lift/a_lift,2*SQRT((ABS($B54-D$33))/a_lift)))+t_pos+t_I+IF((D$33)&lt;=0,0,IF((D$33)&gt;=v_lift^2/a_lift,(D$33)/v_lift+v_lift/a_lift,2*SQRT((D$33)/a_lift)))+t_pos+t_ch)</f>
        <v>0</v>
      </c>
      <c r="E54" s="20" t="n">
        <f aca="false">$C54*E$34*(t_ch+IF(($B54)&lt;=0,0,IF(($B54)&gt;=v_lift^2/a_lift,($B54)/v_lift+v_lift/a_lift,2*SQRT(($B54)/a_lift)))+t_pos+t_I+IF((ABS($B54-E$33))&lt;=0,0,IF((ABS($B54-E$33))&gt;=v_lift^2/a_lift,(ABS($B54-E$33))/v_lift+v_lift/a_lift,2*SQRT((ABS($B54-E$33))/a_lift)))+t_pos+t_I+IF((E$33)&lt;=0,0,IF((E$33)&gt;=v_lift^2/a_lift,(E$33)/v_lift+v_lift/a_lift,2*SQRT((E$33)/a_lift)))+t_pos+t_ch)</f>
        <v>0</v>
      </c>
      <c r="F54" s="20" t="n">
        <f aca="false">$C54*F$34*(t_ch+IF(($B54)&lt;=0,0,IF(($B54)&gt;=v_lift^2/a_lift,($B54)/v_lift+v_lift/a_lift,2*SQRT(($B54)/a_lift)))+t_pos+t_I+IF((ABS($B54-F$33))&lt;=0,0,IF((ABS($B54-F$33))&gt;=v_lift^2/a_lift,(ABS($B54-F$33))/v_lift+v_lift/a_lift,2*SQRT((ABS($B54-F$33))/a_lift)))+t_pos+t_I+IF((F$33)&lt;=0,0,IF((F$33)&gt;=v_lift^2/a_lift,(F$33)/v_lift+v_lift/a_lift,2*SQRT((F$33)/a_lift)))+t_pos+t_ch)</f>
        <v>0</v>
      </c>
      <c r="G54" s="20" t="n">
        <f aca="false">$C54*G$34*(t_ch+IF(($B54)&lt;=0,0,IF(($B54)&gt;=v_lift^2/a_lift,($B54)/v_lift+v_lift/a_lift,2*SQRT(($B54)/a_lift)))+t_pos+t_I+IF((ABS($B54-G$33))&lt;=0,0,IF((ABS($B54-G$33))&gt;=v_lift^2/a_lift,(ABS($B54-G$33))/v_lift+v_lift/a_lift,2*SQRT((ABS($B54-G$33))/a_lift)))+t_pos+t_I+IF((G$33)&lt;=0,0,IF((G$33)&gt;=v_lift^2/a_lift,(G$33)/v_lift+v_lift/a_lift,2*SQRT((G$33)/a_lift)))+t_pos+t_ch)</f>
        <v>0</v>
      </c>
      <c r="H54" s="20" t="n">
        <f aca="false">$C54*H$34*(t_ch+IF(($B54)&lt;=0,0,IF(($B54)&gt;=v_lift^2/a_lift,($B54)/v_lift+v_lift/a_lift,2*SQRT(($B54)/a_lift)))+t_pos+t_I+IF((ABS($B54-H$33))&lt;=0,0,IF((ABS($B54-H$33))&gt;=v_lift^2/a_lift,(ABS($B54-H$33))/v_lift+v_lift/a_lift,2*SQRT((ABS($B54-H$33))/a_lift)))+t_pos+t_I+IF((H$33)&lt;=0,0,IF((H$33)&gt;=v_lift^2/a_lift,(H$33)/v_lift+v_lift/a_lift,2*SQRT((H$33)/a_lift)))+t_pos+t_ch)</f>
        <v>0</v>
      </c>
      <c r="I54" s="20" t="n">
        <f aca="false">$C54*I$34*(t_ch+IF(($B54)&lt;=0,0,IF(($B54)&gt;=v_lift^2/a_lift,($B54)/v_lift+v_lift/a_lift,2*SQRT(($B54)/a_lift)))+t_pos+t_I+IF((ABS($B54-I$33))&lt;=0,0,IF((ABS($B54-I$33))&gt;=v_lift^2/a_lift,(ABS($B54-I$33))/v_lift+v_lift/a_lift,2*SQRT((ABS($B54-I$33))/a_lift)))+t_pos+t_I+IF((I$33)&lt;=0,0,IF((I$33)&gt;=v_lift^2/a_lift,(I$33)/v_lift+v_lift/a_lift,2*SQRT((I$33)/a_lift)))+t_pos+t_ch)</f>
        <v>0</v>
      </c>
      <c r="J54" s="20" t="n">
        <f aca="false">$C54*J$34*(t_ch+IF(($B54)&lt;=0,0,IF(($B54)&gt;=v_lift^2/a_lift,($B54)/v_lift+v_lift/a_lift,2*SQRT(($B54)/a_lift)))+t_pos+t_I+IF((ABS($B54-J$33))&lt;=0,0,IF((ABS($B54-J$33))&gt;=v_lift^2/a_lift,(ABS($B54-J$33))/v_lift+v_lift/a_lift,2*SQRT((ABS($B54-J$33))/a_lift)))+t_pos+t_I+IF((J$33)&lt;=0,0,IF((J$33)&gt;=v_lift^2/a_lift,(J$33)/v_lift+v_lift/a_lift,2*SQRT((J$33)/a_lift)))+t_pos+t_ch)</f>
        <v>0</v>
      </c>
      <c r="K54" s="20" t="n">
        <f aca="false">$C54*K$34*(t_ch+IF(($B54)&lt;=0,0,IF(($B54)&gt;=v_lift^2/a_lift,($B54)/v_lift+v_lift/a_lift,2*SQRT(($B54)/a_lift)))+t_pos+t_I+IF((ABS($B54-K$33))&lt;=0,0,IF((ABS($B54-K$33))&gt;=v_lift^2/a_lift,(ABS($B54-K$33))/v_lift+v_lift/a_lift,2*SQRT((ABS($B54-K$33))/a_lift)))+t_pos+t_I+IF((K$33)&lt;=0,0,IF((K$33)&gt;=v_lift^2/a_lift,(K$33)/v_lift+v_lift/a_lift,2*SQRT((K$33)/a_lift)))+t_pos+t_ch)</f>
        <v>0</v>
      </c>
      <c r="L54" s="20" t="n">
        <f aca="false">$C54*L$34*(t_ch+IF(($B54)&lt;=0,0,IF(($B54)&gt;=v_lift^2/a_lift,($B54)/v_lift+v_lift/a_lift,2*SQRT(($B54)/a_lift)))+t_pos+t_I+IF((ABS($B54-L$33))&lt;=0,0,IF((ABS($B54-L$33))&gt;=v_lift^2/a_lift,(ABS($B54-L$33))/v_lift+v_lift/a_lift,2*SQRT((ABS($B54-L$33))/a_lift)))+t_pos+t_I+IF((L$33)&lt;=0,0,IF((L$33)&gt;=v_lift^2/a_lift,(L$33)/v_lift+v_lift/a_lift,2*SQRT((L$33)/a_lift)))+t_pos+t_ch)</f>
        <v>0</v>
      </c>
      <c r="M54" s="20" t="n">
        <f aca="false">$C54*M$34*(t_ch+IF(($B54)&lt;=0,0,IF(($B54)&gt;=v_lift^2/a_lift,($B54)/v_lift+v_lift/a_lift,2*SQRT(($B54)/a_lift)))+t_pos+t_I+IF((ABS($B54-M$33))&lt;=0,0,IF((ABS($B54-M$33))&gt;=v_lift^2/a_lift,(ABS($B54-M$33))/v_lift+v_lift/a_lift,2*SQRT((ABS($B54-M$33))/a_lift)))+t_pos+t_I+IF((M$33)&lt;=0,0,IF((M$33)&gt;=v_lift^2/a_lift,(M$33)/v_lift+v_lift/a_lift,2*SQRT((M$33)/a_lift)))+t_pos+t_ch)</f>
        <v>0</v>
      </c>
      <c r="N54" s="20" t="n">
        <f aca="false">$C54*N$34*(t_ch+IF(($B54)&lt;=0,0,IF(($B54)&gt;=v_lift^2/a_lift,($B54)/v_lift+v_lift/a_lift,2*SQRT(($B54)/a_lift)))+t_pos+t_I+IF((ABS($B54-N$33))&lt;=0,0,IF((ABS($B54-N$33))&gt;=v_lift^2/a_lift,(ABS($B54-N$33))/v_lift+v_lift/a_lift,2*SQRT((ABS($B54-N$33))/a_lift)))+t_pos+t_I+IF((N$33)&lt;=0,0,IF((N$33)&gt;=v_lift^2/a_lift,(N$33)/v_lift+v_lift/a_lift,2*SQRT((N$33)/a_lift)))+t_pos+t_ch)</f>
        <v>0</v>
      </c>
      <c r="O54" s="20" t="n">
        <f aca="false">$C54*O$34*(t_ch+IF(($B54)&lt;=0,0,IF(($B54)&gt;=v_lift^2/a_lift,($B54)/v_lift+v_lift/a_lift,2*SQRT(($B54)/a_lift)))+t_pos+t_I+IF((ABS($B54-O$33))&lt;=0,0,IF((ABS($B54-O$33))&gt;=v_lift^2/a_lift,(ABS($B54-O$33))/v_lift+v_lift/a_lift,2*SQRT((ABS($B54-O$33))/a_lift)))+t_pos+t_I+IF((O$33)&lt;=0,0,IF((O$33)&gt;=v_lift^2/a_lift,(O$33)/v_lift+v_lift/a_lift,2*SQRT((O$33)/a_lift)))+t_pos+t_ch)</f>
        <v>0</v>
      </c>
      <c r="P54" s="20" t="n">
        <f aca="false">$C54*P$34*(t_ch+IF(($B54)&lt;=0,0,IF(($B54)&gt;=v_lift^2/a_lift,($B54)/v_lift+v_lift/a_lift,2*SQRT(($B54)/a_lift)))+t_pos+t_I+IF((ABS($B54-P$33))&lt;=0,0,IF((ABS($B54-P$33))&gt;=v_lift^2/a_lift,(ABS($B54-P$33))/v_lift+v_lift/a_lift,2*SQRT((ABS($B54-P$33))/a_lift)))+t_pos+t_I+IF((P$33)&lt;=0,0,IF((P$33)&gt;=v_lift^2/a_lift,(P$33)/v_lift+v_lift/a_lift,2*SQRT((P$33)/a_lift)))+t_pos+t_ch)</f>
        <v>0</v>
      </c>
      <c r="Q54" s="20" t="n">
        <f aca="false">$C54*Q$34*(t_ch+IF(($B54)&lt;=0,0,IF(($B54)&gt;=v_lift^2/a_lift,($B54)/v_lift+v_lift/a_lift,2*SQRT(($B54)/a_lift)))+t_pos+t_I+IF((ABS($B54-Q$33))&lt;=0,0,IF((ABS($B54-Q$33))&gt;=v_lift^2/a_lift,(ABS($B54-Q$33))/v_lift+v_lift/a_lift,2*SQRT((ABS($B54-Q$33))/a_lift)))+t_pos+t_I+IF((Q$33)&lt;=0,0,IF((Q$33)&gt;=v_lift^2/a_lift,(Q$33)/v_lift+v_lift/a_lift,2*SQRT((Q$33)/a_lift)))+t_pos+t_ch)</f>
        <v>0</v>
      </c>
      <c r="R54" s="20" t="n">
        <f aca="false">$C54*R$34*(t_ch+IF(($B54)&lt;=0,0,IF(($B54)&gt;=v_lift^2/a_lift,($B54)/v_lift+v_lift/a_lift,2*SQRT(($B54)/a_lift)))+t_pos+t_I+IF((ABS($B54-R$33))&lt;=0,0,IF((ABS($B54-R$33))&gt;=v_lift^2/a_lift,(ABS($B54-R$33))/v_lift+v_lift/a_lift,2*SQRT((ABS($B54-R$33))/a_lift)))+t_pos+t_I+IF((R$33)&lt;=0,0,IF((R$33)&gt;=v_lift^2/a_lift,(R$33)/v_lift+v_lift/a_lift,2*SQRT((R$33)/a_lift)))+t_pos+t_ch)</f>
        <v>0</v>
      </c>
      <c r="S54" s="20" t="n">
        <f aca="false">$C54*S$34*(t_ch+IF(($B54)&lt;=0,0,IF(($B54)&gt;=v_lift^2/a_lift,($B54)/v_lift+v_lift/a_lift,2*SQRT(($B54)/a_lift)))+t_pos+t_I+IF((ABS($B54-S$33))&lt;=0,0,IF((ABS($B54-S$33))&gt;=v_lift^2/a_lift,(ABS($B54-S$33))/v_lift+v_lift/a_lift,2*SQRT((ABS($B54-S$33))/a_lift)))+t_pos+t_I+IF((S$33)&lt;=0,0,IF((S$33)&gt;=v_lift^2/a_lift,(S$33)/v_lift+v_lift/a_lift,2*SQRT((S$33)/a_lift)))+t_pos+t_ch)</f>
        <v>0</v>
      </c>
      <c r="T54" s="20" t="n">
        <f aca="false">$C54*T$34*(t_ch+IF(($B54)&lt;=0,0,IF(($B54)&gt;=v_lift^2/a_lift,($B54)/v_lift+v_lift/a_lift,2*SQRT(($B54)/a_lift)))+t_pos+t_I+IF((ABS($B54-T$33))&lt;=0,0,IF((ABS($B54-T$33))&gt;=v_lift^2/a_lift,(ABS($B54-T$33))/v_lift+v_lift/a_lift,2*SQRT((ABS($B54-T$33))/a_lift)))+t_pos+t_I+IF((T$33)&lt;=0,0,IF((T$33)&gt;=v_lift^2/a_lift,(T$33)/v_lift+v_lift/a_lift,2*SQRT((T$33)/a_lift)))+t_pos+t_ch)</f>
        <v>0</v>
      </c>
      <c r="U54" s="20" t="n">
        <f aca="false">$C54*U$34*(t_ch+IF(($B54)&lt;=0,0,IF(($B54)&gt;=v_lift^2/a_lift,($B54)/v_lift+v_lift/a_lift,2*SQRT(($B54)/a_lift)))+t_pos+t_I+IF((ABS($B54-U$33))&lt;=0,0,IF((ABS($B54-U$33))&gt;=v_lift^2/a_lift,(ABS($B54-U$33))/v_lift+v_lift/a_lift,2*SQRT((ABS($B54-U$33))/a_lift)))+t_pos+t_I+IF((U$33)&lt;=0,0,IF((U$33)&gt;=v_lift^2/a_lift,(U$33)/v_lift+v_lift/a_lift,2*SQRT((U$33)/a_lift)))+t_pos+t_ch)</f>
        <v>0</v>
      </c>
      <c r="V54" s="20" t="n">
        <f aca="false">$C54*V$34*(t_ch+IF(($B54)&lt;=0,0,IF(($B54)&gt;=v_lift^2/a_lift,($B54)/v_lift+v_lift/a_lift,2*SQRT(($B54)/a_lift)))+t_pos+t_I+IF((ABS($B54-V$33))&lt;=0,0,IF((ABS($B54-V$33))&gt;=v_lift^2/a_lift,(ABS($B54-V$33))/v_lift+v_lift/a_lift,2*SQRT((ABS($B54-V$33))/a_lift)))+t_pos+t_I+IF((V$33)&lt;=0,0,IF((V$33)&gt;=v_lift^2/a_lift,(V$33)/v_lift+v_lift/a_lift,2*SQRT((V$33)/a_lift)))+t_pos+t_ch)</f>
        <v>0</v>
      </c>
      <c r="W54" s="20" t="n">
        <f aca="false">$C54*W$34*(t_ch+IF(($B54)&lt;=0,0,IF(($B54)&gt;=v_lift^2/a_lift,($B54)/v_lift+v_lift/a_lift,2*SQRT(($B54)/a_lift)))+t_pos+t_I+IF((ABS($B54-W$33))&lt;=0,0,IF((ABS($B54-W$33))&gt;=v_lift^2/a_lift,(ABS($B54-W$33))/v_lift+v_lift/a_lift,2*SQRT((ABS($B54-W$33))/a_lift)))+t_pos+t_I+IF((W$33)&lt;=0,0,IF((W$33)&gt;=v_lift^2/a_lift,(W$33)/v_lift+v_lift/a_lift,2*SQRT((W$33)/a_lift)))+t_pos+t_ch)</f>
        <v>0</v>
      </c>
    </row>
    <row r="55" customFormat="false" ht="15" hidden="false" customHeight="false" outlineLevel="0" collapsed="false">
      <c r="A55" s="7" t="n">
        <v>20</v>
      </c>
      <c r="B55" s="18" t="n">
        <f aca="false">Tiers!C23</f>
        <v>0</v>
      </c>
      <c r="C55" s="19" t="n">
        <f aca="false">Tiers!J23</f>
        <v>0</v>
      </c>
      <c r="D55" s="20" t="n">
        <f aca="false">$C55*D$34*(t_ch+IF(($B55)&lt;=0,0,IF(($B55)&gt;=v_lift^2/a_lift,($B55)/v_lift+v_lift/a_lift,2*SQRT(($B55)/a_lift)))+t_pos+t_I+IF((ABS($B55-D$33))&lt;=0,0,IF((ABS($B55-D$33))&gt;=v_lift^2/a_lift,(ABS($B55-D$33))/v_lift+v_lift/a_lift,2*SQRT((ABS($B55-D$33))/a_lift)))+t_pos+t_I+IF((D$33)&lt;=0,0,IF((D$33)&gt;=v_lift^2/a_lift,(D$33)/v_lift+v_lift/a_lift,2*SQRT((D$33)/a_lift)))+t_pos+t_ch)</f>
        <v>0</v>
      </c>
      <c r="E55" s="20" t="n">
        <f aca="false">$C55*E$34*(t_ch+IF(($B55)&lt;=0,0,IF(($B55)&gt;=v_lift^2/a_lift,($B55)/v_lift+v_lift/a_lift,2*SQRT(($B55)/a_lift)))+t_pos+t_I+IF((ABS($B55-E$33))&lt;=0,0,IF((ABS($B55-E$33))&gt;=v_lift^2/a_lift,(ABS($B55-E$33))/v_lift+v_lift/a_lift,2*SQRT((ABS($B55-E$33))/a_lift)))+t_pos+t_I+IF((E$33)&lt;=0,0,IF((E$33)&gt;=v_lift^2/a_lift,(E$33)/v_lift+v_lift/a_lift,2*SQRT((E$33)/a_lift)))+t_pos+t_ch)</f>
        <v>0</v>
      </c>
      <c r="F55" s="20" t="n">
        <f aca="false">$C55*F$34*(t_ch+IF(($B55)&lt;=0,0,IF(($B55)&gt;=v_lift^2/a_lift,($B55)/v_lift+v_lift/a_lift,2*SQRT(($B55)/a_lift)))+t_pos+t_I+IF((ABS($B55-F$33))&lt;=0,0,IF((ABS($B55-F$33))&gt;=v_lift^2/a_lift,(ABS($B55-F$33))/v_lift+v_lift/a_lift,2*SQRT((ABS($B55-F$33))/a_lift)))+t_pos+t_I+IF((F$33)&lt;=0,0,IF((F$33)&gt;=v_lift^2/a_lift,(F$33)/v_lift+v_lift/a_lift,2*SQRT((F$33)/a_lift)))+t_pos+t_ch)</f>
        <v>0</v>
      </c>
      <c r="G55" s="20" t="n">
        <f aca="false">$C55*G$34*(t_ch+IF(($B55)&lt;=0,0,IF(($B55)&gt;=v_lift^2/a_lift,($B55)/v_lift+v_lift/a_lift,2*SQRT(($B55)/a_lift)))+t_pos+t_I+IF((ABS($B55-G$33))&lt;=0,0,IF((ABS($B55-G$33))&gt;=v_lift^2/a_lift,(ABS($B55-G$33))/v_lift+v_lift/a_lift,2*SQRT((ABS($B55-G$33))/a_lift)))+t_pos+t_I+IF((G$33)&lt;=0,0,IF((G$33)&gt;=v_lift^2/a_lift,(G$33)/v_lift+v_lift/a_lift,2*SQRT((G$33)/a_lift)))+t_pos+t_ch)</f>
        <v>0</v>
      </c>
      <c r="H55" s="20" t="n">
        <f aca="false">$C55*H$34*(t_ch+IF(($B55)&lt;=0,0,IF(($B55)&gt;=v_lift^2/a_lift,($B55)/v_lift+v_lift/a_lift,2*SQRT(($B55)/a_lift)))+t_pos+t_I+IF((ABS($B55-H$33))&lt;=0,0,IF((ABS($B55-H$33))&gt;=v_lift^2/a_lift,(ABS($B55-H$33))/v_lift+v_lift/a_lift,2*SQRT((ABS($B55-H$33))/a_lift)))+t_pos+t_I+IF((H$33)&lt;=0,0,IF((H$33)&gt;=v_lift^2/a_lift,(H$33)/v_lift+v_lift/a_lift,2*SQRT((H$33)/a_lift)))+t_pos+t_ch)</f>
        <v>0</v>
      </c>
      <c r="I55" s="20" t="n">
        <f aca="false">$C55*I$34*(t_ch+IF(($B55)&lt;=0,0,IF(($B55)&gt;=v_lift^2/a_lift,($B55)/v_lift+v_lift/a_lift,2*SQRT(($B55)/a_lift)))+t_pos+t_I+IF((ABS($B55-I$33))&lt;=0,0,IF((ABS($B55-I$33))&gt;=v_lift^2/a_lift,(ABS($B55-I$33))/v_lift+v_lift/a_lift,2*SQRT((ABS($B55-I$33))/a_lift)))+t_pos+t_I+IF((I$33)&lt;=0,0,IF((I$33)&gt;=v_lift^2/a_lift,(I$33)/v_lift+v_lift/a_lift,2*SQRT((I$33)/a_lift)))+t_pos+t_ch)</f>
        <v>0</v>
      </c>
      <c r="J55" s="20" t="n">
        <f aca="false">$C55*J$34*(t_ch+IF(($B55)&lt;=0,0,IF(($B55)&gt;=v_lift^2/a_lift,($B55)/v_lift+v_lift/a_lift,2*SQRT(($B55)/a_lift)))+t_pos+t_I+IF((ABS($B55-J$33))&lt;=0,0,IF((ABS($B55-J$33))&gt;=v_lift^2/a_lift,(ABS($B55-J$33))/v_lift+v_lift/a_lift,2*SQRT((ABS($B55-J$33))/a_lift)))+t_pos+t_I+IF((J$33)&lt;=0,0,IF((J$33)&gt;=v_lift^2/a_lift,(J$33)/v_lift+v_lift/a_lift,2*SQRT((J$33)/a_lift)))+t_pos+t_ch)</f>
        <v>0</v>
      </c>
      <c r="K55" s="20" t="n">
        <f aca="false">$C55*K$34*(t_ch+IF(($B55)&lt;=0,0,IF(($B55)&gt;=v_lift^2/a_lift,($B55)/v_lift+v_lift/a_lift,2*SQRT(($B55)/a_lift)))+t_pos+t_I+IF((ABS($B55-K$33))&lt;=0,0,IF((ABS($B55-K$33))&gt;=v_lift^2/a_lift,(ABS($B55-K$33))/v_lift+v_lift/a_lift,2*SQRT((ABS($B55-K$33))/a_lift)))+t_pos+t_I+IF((K$33)&lt;=0,0,IF((K$33)&gt;=v_lift^2/a_lift,(K$33)/v_lift+v_lift/a_lift,2*SQRT((K$33)/a_lift)))+t_pos+t_ch)</f>
        <v>0</v>
      </c>
      <c r="L55" s="20" t="n">
        <f aca="false">$C55*L$34*(t_ch+IF(($B55)&lt;=0,0,IF(($B55)&gt;=v_lift^2/a_lift,($B55)/v_lift+v_lift/a_lift,2*SQRT(($B55)/a_lift)))+t_pos+t_I+IF((ABS($B55-L$33))&lt;=0,0,IF((ABS($B55-L$33))&gt;=v_lift^2/a_lift,(ABS($B55-L$33))/v_lift+v_lift/a_lift,2*SQRT((ABS($B55-L$33))/a_lift)))+t_pos+t_I+IF((L$33)&lt;=0,0,IF((L$33)&gt;=v_lift^2/a_lift,(L$33)/v_lift+v_lift/a_lift,2*SQRT((L$33)/a_lift)))+t_pos+t_ch)</f>
        <v>0</v>
      </c>
      <c r="M55" s="20" t="n">
        <f aca="false">$C55*M$34*(t_ch+IF(($B55)&lt;=0,0,IF(($B55)&gt;=v_lift^2/a_lift,($B55)/v_lift+v_lift/a_lift,2*SQRT(($B55)/a_lift)))+t_pos+t_I+IF((ABS($B55-M$33))&lt;=0,0,IF((ABS($B55-M$33))&gt;=v_lift^2/a_lift,(ABS($B55-M$33))/v_lift+v_lift/a_lift,2*SQRT((ABS($B55-M$33))/a_lift)))+t_pos+t_I+IF((M$33)&lt;=0,0,IF((M$33)&gt;=v_lift^2/a_lift,(M$33)/v_lift+v_lift/a_lift,2*SQRT((M$33)/a_lift)))+t_pos+t_ch)</f>
        <v>0</v>
      </c>
      <c r="N55" s="20" t="n">
        <f aca="false">$C55*N$34*(t_ch+IF(($B55)&lt;=0,0,IF(($B55)&gt;=v_lift^2/a_lift,($B55)/v_lift+v_lift/a_lift,2*SQRT(($B55)/a_lift)))+t_pos+t_I+IF((ABS($B55-N$33))&lt;=0,0,IF((ABS($B55-N$33))&gt;=v_lift^2/a_lift,(ABS($B55-N$33))/v_lift+v_lift/a_lift,2*SQRT((ABS($B55-N$33))/a_lift)))+t_pos+t_I+IF((N$33)&lt;=0,0,IF((N$33)&gt;=v_lift^2/a_lift,(N$33)/v_lift+v_lift/a_lift,2*SQRT((N$33)/a_lift)))+t_pos+t_ch)</f>
        <v>0</v>
      </c>
      <c r="O55" s="20" t="n">
        <f aca="false">$C55*O$34*(t_ch+IF(($B55)&lt;=0,0,IF(($B55)&gt;=v_lift^2/a_lift,($B55)/v_lift+v_lift/a_lift,2*SQRT(($B55)/a_lift)))+t_pos+t_I+IF((ABS($B55-O$33))&lt;=0,0,IF((ABS($B55-O$33))&gt;=v_lift^2/a_lift,(ABS($B55-O$33))/v_lift+v_lift/a_lift,2*SQRT((ABS($B55-O$33))/a_lift)))+t_pos+t_I+IF((O$33)&lt;=0,0,IF((O$33)&gt;=v_lift^2/a_lift,(O$33)/v_lift+v_lift/a_lift,2*SQRT((O$33)/a_lift)))+t_pos+t_ch)</f>
        <v>0</v>
      </c>
      <c r="P55" s="20" t="n">
        <f aca="false">$C55*P$34*(t_ch+IF(($B55)&lt;=0,0,IF(($B55)&gt;=v_lift^2/a_lift,($B55)/v_lift+v_lift/a_lift,2*SQRT(($B55)/a_lift)))+t_pos+t_I+IF((ABS($B55-P$33))&lt;=0,0,IF((ABS($B55-P$33))&gt;=v_lift^2/a_lift,(ABS($B55-P$33))/v_lift+v_lift/a_lift,2*SQRT((ABS($B55-P$33))/a_lift)))+t_pos+t_I+IF((P$33)&lt;=0,0,IF((P$33)&gt;=v_lift^2/a_lift,(P$33)/v_lift+v_lift/a_lift,2*SQRT((P$33)/a_lift)))+t_pos+t_ch)</f>
        <v>0</v>
      </c>
      <c r="Q55" s="20" t="n">
        <f aca="false">$C55*Q$34*(t_ch+IF(($B55)&lt;=0,0,IF(($B55)&gt;=v_lift^2/a_lift,($B55)/v_lift+v_lift/a_lift,2*SQRT(($B55)/a_lift)))+t_pos+t_I+IF((ABS($B55-Q$33))&lt;=0,0,IF((ABS($B55-Q$33))&gt;=v_lift^2/a_lift,(ABS($B55-Q$33))/v_lift+v_lift/a_lift,2*SQRT((ABS($B55-Q$33))/a_lift)))+t_pos+t_I+IF((Q$33)&lt;=0,0,IF((Q$33)&gt;=v_lift^2/a_lift,(Q$33)/v_lift+v_lift/a_lift,2*SQRT((Q$33)/a_lift)))+t_pos+t_ch)</f>
        <v>0</v>
      </c>
      <c r="R55" s="20" t="n">
        <f aca="false">$C55*R$34*(t_ch+IF(($B55)&lt;=0,0,IF(($B55)&gt;=v_lift^2/a_lift,($B55)/v_lift+v_lift/a_lift,2*SQRT(($B55)/a_lift)))+t_pos+t_I+IF((ABS($B55-R$33))&lt;=0,0,IF((ABS($B55-R$33))&gt;=v_lift^2/a_lift,(ABS($B55-R$33))/v_lift+v_lift/a_lift,2*SQRT((ABS($B55-R$33))/a_lift)))+t_pos+t_I+IF((R$33)&lt;=0,0,IF((R$33)&gt;=v_lift^2/a_lift,(R$33)/v_lift+v_lift/a_lift,2*SQRT((R$33)/a_lift)))+t_pos+t_ch)</f>
        <v>0</v>
      </c>
      <c r="S55" s="20" t="n">
        <f aca="false">$C55*S$34*(t_ch+IF(($B55)&lt;=0,0,IF(($B55)&gt;=v_lift^2/a_lift,($B55)/v_lift+v_lift/a_lift,2*SQRT(($B55)/a_lift)))+t_pos+t_I+IF((ABS($B55-S$33))&lt;=0,0,IF((ABS($B55-S$33))&gt;=v_lift^2/a_lift,(ABS($B55-S$33))/v_lift+v_lift/a_lift,2*SQRT((ABS($B55-S$33))/a_lift)))+t_pos+t_I+IF((S$33)&lt;=0,0,IF((S$33)&gt;=v_lift^2/a_lift,(S$33)/v_lift+v_lift/a_lift,2*SQRT((S$33)/a_lift)))+t_pos+t_ch)</f>
        <v>0</v>
      </c>
      <c r="T55" s="20" t="n">
        <f aca="false">$C55*T$34*(t_ch+IF(($B55)&lt;=0,0,IF(($B55)&gt;=v_lift^2/a_lift,($B55)/v_lift+v_lift/a_lift,2*SQRT(($B55)/a_lift)))+t_pos+t_I+IF((ABS($B55-T$33))&lt;=0,0,IF((ABS($B55-T$33))&gt;=v_lift^2/a_lift,(ABS($B55-T$33))/v_lift+v_lift/a_lift,2*SQRT((ABS($B55-T$33))/a_lift)))+t_pos+t_I+IF((T$33)&lt;=0,0,IF((T$33)&gt;=v_lift^2/a_lift,(T$33)/v_lift+v_lift/a_lift,2*SQRT((T$33)/a_lift)))+t_pos+t_ch)</f>
        <v>0</v>
      </c>
      <c r="U55" s="20" t="n">
        <f aca="false">$C55*U$34*(t_ch+IF(($B55)&lt;=0,0,IF(($B55)&gt;=v_lift^2/a_lift,($B55)/v_lift+v_lift/a_lift,2*SQRT(($B55)/a_lift)))+t_pos+t_I+IF((ABS($B55-U$33))&lt;=0,0,IF((ABS($B55-U$33))&gt;=v_lift^2/a_lift,(ABS($B55-U$33))/v_lift+v_lift/a_lift,2*SQRT((ABS($B55-U$33))/a_lift)))+t_pos+t_I+IF((U$33)&lt;=0,0,IF((U$33)&gt;=v_lift^2/a_lift,(U$33)/v_lift+v_lift/a_lift,2*SQRT((U$33)/a_lift)))+t_pos+t_ch)</f>
        <v>0</v>
      </c>
      <c r="V55" s="20" t="n">
        <f aca="false">$C55*V$34*(t_ch+IF(($B55)&lt;=0,0,IF(($B55)&gt;=v_lift^2/a_lift,($B55)/v_lift+v_lift/a_lift,2*SQRT(($B55)/a_lift)))+t_pos+t_I+IF((ABS($B55-V$33))&lt;=0,0,IF((ABS($B55-V$33))&gt;=v_lift^2/a_lift,(ABS($B55-V$33))/v_lift+v_lift/a_lift,2*SQRT((ABS($B55-V$33))/a_lift)))+t_pos+t_I+IF((V$33)&lt;=0,0,IF((V$33)&gt;=v_lift^2/a_lift,(V$33)/v_lift+v_lift/a_lift,2*SQRT((V$33)/a_lift)))+t_pos+t_ch)</f>
        <v>0</v>
      </c>
      <c r="W55" s="20" t="n">
        <f aca="false">$C55*W$34*(t_ch+IF(($B55)&lt;=0,0,IF(($B55)&gt;=v_lift^2/a_lift,($B55)/v_lift+v_lift/a_lift,2*SQRT(($B55)/a_lift)))+t_pos+t_I+IF((ABS($B55-W$33))&lt;=0,0,IF((ABS($B55-W$33))&gt;=v_lift^2/a_lift,(ABS($B55-W$33))/v_lift+v_lift/a_lift,2*SQRT((ABS($B55-W$33))/a_lift)))+t_pos+t_I+IF((W$33)&lt;=0,0,IF((W$33)&gt;=v_lift^2/a_lift,(W$33)/v_lift+v_lift/a_lift,2*SQRT((W$33)/a_lift)))+t_pos+t_ch)</f>
        <v>0</v>
      </c>
    </row>
    <row r="56" customFormat="false" ht="15" hidden="false" customHeight="false" outlineLevel="0" collapsed="false">
      <c r="A56" s="11" t="s">
        <v>149</v>
      </c>
      <c r="D56" s="21" t="n">
        <f aca="false">SUM(D36:W55)</f>
        <v>80.917380952381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4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5" t="s">
        <v>152</v>
      </c>
      <c r="B3" s="6"/>
      <c r="C3" s="6"/>
      <c r="D3" s="6"/>
    </row>
    <row r="4" customFormat="false" ht="15" hidden="false" customHeight="false" outlineLevel="0" collapsed="false">
      <c r="A4" s="7" t="s">
        <v>153</v>
      </c>
      <c r="B4" s="15" t="n">
        <f aca="false">(lam_in+lam_out)*peak_factor</f>
        <v>100</v>
      </c>
      <c r="C4" s="7" t="s">
        <v>154</v>
      </c>
      <c r="D4" s="7" t="s">
        <v>155</v>
      </c>
    </row>
    <row r="5" customFormat="false" ht="15" hidden="false" customHeight="false" outlineLevel="0" collapsed="false">
      <c r="A5" s="7" t="s">
        <v>156</v>
      </c>
      <c r="B5" s="22" t="n">
        <f aca="false">lam_in*hours_in+lam_out*hours_out</f>
        <v>1920</v>
      </c>
      <c r="C5" s="7" t="s">
        <v>157</v>
      </c>
      <c r="D5" s="7"/>
    </row>
    <row r="6" customFormat="false" ht="15" hidden="false" customHeight="false" outlineLevel="0" collapsed="false">
      <c r="A6" s="7" t="s">
        <v>158</v>
      </c>
      <c r="B6" s="15" t="n">
        <f aca="false">IF(lift_iface="Chain",t_ch,t_lift_sh)</f>
        <v>25</v>
      </c>
      <c r="C6" s="7" t="s">
        <v>35</v>
      </c>
      <c r="D6" s="7"/>
    </row>
    <row r="7" customFormat="false" ht="15" hidden="false" customHeight="false" outlineLevel="0" collapsed="false">
      <c r="A7" s="5" t="s">
        <v>159</v>
      </c>
      <c r="B7" s="6"/>
      <c r="C7" s="6"/>
      <c r="D7" s="6"/>
    </row>
    <row r="8" customFormat="false" ht="15" hidden="false" customHeight="false" outlineLevel="0" collapsed="false">
      <c r="A8" s="7" t="s">
        <v>160</v>
      </c>
      <c r="B8" s="15" t="n">
        <f aca="false">N_L*u_w</f>
        <v>37.4</v>
      </c>
      <c r="C8" s="7" t="s">
        <v>49</v>
      </c>
      <c r="D8" s="7"/>
    </row>
    <row r="9" customFormat="false" ht="15" hidden="false" customHeight="false" outlineLevel="0" collapsed="false">
      <c r="A9" s="7" t="s">
        <v>161</v>
      </c>
      <c r="B9" s="15" t="n">
        <f aca="false">2*N_C*u_d+aisle_w</f>
        <v>16.5</v>
      </c>
      <c r="C9" s="7" t="s">
        <v>49</v>
      </c>
      <c r="D9" s="7"/>
    </row>
    <row r="10" customFormat="false" ht="15" hidden="false" customHeight="false" outlineLevel="0" collapsed="false">
      <c r="A10" s="7" t="s">
        <v>162</v>
      </c>
      <c r="B10" s="13" t="n">
        <f aca="false">N_T*u_h</f>
        <v>18.5</v>
      </c>
      <c r="C10" s="7" t="s">
        <v>49</v>
      </c>
      <c r="D10" s="7"/>
    </row>
    <row r="11" customFormat="false" ht="15" hidden="false" customHeight="false" outlineLevel="0" collapsed="false">
      <c r="A11" s="7" t="s">
        <v>163</v>
      </c>
      <c r="B11" s="22" t="n">
        <f aca="false">2*N_C*N_L*N_T</f>
        <v>5280</v>
      </c>
      <c r="C11" s="7" t="s">
        <v>86</v>
      </c>
      <c r="D11" s="7"/>
    </row>
    <row r="12" customFormat="false" ht="15" hidden="false" customHeight="false" outlineLevel="0" collapsed="false">
      <c r="A12" s="7" t="s">
        <v>164</v>
      </c>
      <c r="B12" s="22" t="n">
        <f aca="false">n_lifts*lanes_per_lift*N_C*N_T</f>
        <v>540</v>
      </c>
      <c r="C12" s="7" t="s">
        <v>86</v>
      </c>
      <c r="D12" s="7"/>
    </row>
    <row r="13" customFormat="false" ht="15" hidden="false" customHeight="false" outlineLevel="0" collapsed="false">
      <c r="A13" s="11" t="s">
        <v>165</v>
      </c>
      <c r="B13" s="23" t="n">
        <f aca="false">2*N_C*N_L*N_T-n_lifts*lanes_per_lift*N_C*N_T</f>
        <v>4740</v>
      </c>
      <c r="C13" s="7" t="s">
        <v>86</v>
      </c>
      <c r="D13" s="7"/>
    </row>
    <row r="14" customFormat="false" ht="15" hidden="false" customHeight="false" outlineLevel="0" collapsed="false">
      <c r="A14" s="7" t="s">
        <v>166</v>
      </c>
      <c r="B14" s="22" t="n">
        <f aca="false">net_pos/N_C</f>
        <v>790</v>
      </c>
      <c r="C14" s="7" t="s">
        <v>67</v>
      </c>
      <c r="D14" s="7"/>
    </row>
    <row r="15" customFormat="false" ht="15" hidden="false" customHeight="false" outlineLevel="0" collapsed="false">
      <c r="A15" s="11" t="s">
        <v>167</v>
      </c>
      <c r="B15" s="23" t="n">
        <f aca="false">net_pos*fill</f>
        <v>4029</v>
      </c>
      <c r="C15" s="7" t="s">
        <v>86</v>
      </c>
      <c r="D15" s="7"/>
    </row>
    <row r="16" customFormat="false" ht="15" hidden="false" customHeight="false" outlineLevel="0" collapsed="false">
      <c r="A16" s="7" t="s">
        <v>168</v>
      </c>
      <c r="B16" s="22" t="n">
        <f aca="false">L_aisle*(2*N_C*u_d+aisle_w)</f>
        <v>617.1</v>
      </c>
      <c r="C16" s="7" t="s">
        <v>169</v>
      </c>
      <c r="D16" s="7"/>
    </row>
    <row r="17" customFormat="false" ht="15" hidden="false" customHeight="false" outlineLevel="0" collapsed="false">
      <c r="A17" s="7" t="s">
        <v>170</v>
      </c>
      <c r="B17" s="24" t="n">
        <f aca="false">L_aisle*(2*N_C*u_d+aisle_w)/(L_bldg*W_bldg)</f>
        <v>0.457111111111111</v>
      </c>
      <c r="C17" s="7"/>
      <c r="D17" s="7"/>
    </row>
    <row r="18" customFormat="false" ht="15" hidden="false" customHeight="false" outlineLevel="0" collapsed="false">
      <c r="A18" s="7" t="s">
        <v>171</v>
      </c>
      <c r="B18" s="13" t="n">
        <f aca="false">N_C*u_d/(N_L*u_w)</f>
        <v>0.200534759358289</v>
      </c>
      <c r="C18" s="7"/>
      <c r="D18" s="7" t="s">
        <v>172</v>
      </c>
    </row>
    <row r="19" customFormat="false" ht="15" hidden="false" customHeight="false" outlineLevel="0" collapsed="false">
      <c r="A19" s="7" t="s">
        <v>173</v>
      </c>
      <c r="B19" s="25" t="n">
        <f aca="false">IF(lift_layout="End",1/2,1/(4*n_lifts))</f>
        <v>0.0833333333333333</v>
      </c>
      <c r="C19" s="7"/>
      <c r="D19" s="7" t="s">
        <v>174</v>
      </c>
    </row>
    <row r="20" customFormat="false" ht="15" hidden="false" customHeight="false" outlineLevel="0" collapsed="false">
      <c r="A20" s="7" t="s">
        <v>175</v>
      </c>
      <c r="B20" s="13" t="n">
        <f aca="false">2*kappa/(1+f_hc)</f>
        <v>0.138888888888889</v>
      </c>
      <c r="C20" s="7"/>
      <c r="D20" s="7" t="s">
        <v>176</v>
      </c>
    </row>
    <row r="21" customFormat="false" ht="15" hidden="false" customHeight="false" outlineLevel="0" collapsed="false">
      <c r="A21" s="5" t="s">
        <v>177</v>
      </c>
      <c r="B21" s="6"/>
      <c r="C21" s="6"/>
      <c r="D21" s="6"/>
    </row>
    <row r="22" customFormat="false" ht="15" hidden="false" customHeight="false" outlineLevel="0" collapsed="false">
      <c r="A22" s="7" t="s">
        <v>178</v>
      </c>
      <c r="B22" s="15" t="n">
        <f aca="false">IF(1&gt;n_lifts,"",IF(lift_layout="End",0,(2*1-1)*L_aisle/(2*n_lifts)))</f>
        <v>6.23333333333333</v>
      </c>
      <c r="C22" s="7" t="s">
        <v>49</v>
      </c>
      <c r="D22" s="7"/>
    </row>
    <row r="23" customFormat="false" ht="15" hidden="false" customHeight="false" outlineLevel="0" collapsed="false">
      <c r="A23" s="7" t="s">
        <v>179</v>
      </c>
      <c r="B23" s="15" t="n">
        <f aca="false">IF(2&gt;n_lifts,"",IF(lift_layout="End",0,(2*2-1)*L_aisle/(2*n_lifts)))</f>
        <v>18.7</v>
      </c>
      <c r="C23" s="7" t="s">
        <v>49</v>
      </c>
      <c r="D23" s="7"/>
    </row>
    <row r="24" customFormat="false" ht="15" hidden="false" customHeight="false" outlineLevel="0" collapsed="false">
      <c r="A24" s="7" t="s">
        <v>180</v>
      </c>
      <c r="B24" s="15" t="n">
        <f aca="false">IF(3&gt;n_lifts,"",IF(lift_layout="End",0,(2*3-1)*L_aisle/(2*n_lifts)))</f>
        <v>31.1666666666667</v>
      </c>
      <c r="C24" s="7" t="s">
        <v>49</v>
      </c>
      <c r="D24" s="7"/>
    </row>
    <row r="25" customFormat="false" ht="15" hidden="false" customHeight="false" outlineLevel="0" collapsed="false">
      <c r="A25" s="7" t="s">
        <v>181</v>
      </c>
      <c r="B25" s="15" t="str">
        <f aca="false">IF(4&gt;n_lifts,"",IF(lift_layout="End",0,(2*4-1)*L_aisle/(2*n_lifts)))</f>
        <v/>
      </c>
      <c r="C25" s="7" t="s">
        <v>49</v>
      </c>
      <c r="D25" s="7"/>
    </row>
    <row r="26" customFormat="false" ht="15" hidden="false" customHeight="false" outlineLevel="0" collapsed="false">
      <c r="A26" s="7" t="s">
        <v>182</v>
      </c>
      <c r="B26" s="15" t="str">
        <f aca="false">IF(5&gt;n_lifts,"",IF(lift_layout="End",0,(2*5-1)*L_aisle/(2*n_lifts)))</f>
        <v/>
      </c>
      <c r="C26" s="7" t="s">
        <v>49</v>
      </c>
      <c r="D26" s="7"/>
    </row>
    <row r="27" customFormat="false" ht="15" hidden="false" customHeight="false" outlineLevel="0" collapsed="false">
      <c r="A27" s="7" t="s">
        <v>183</v>
      </c>
      <c r="B27" s="15" t="str">
        <f aca="false">IF(6&gt;n_lifts,"",IF(lift_layout="End",0,(2*6-1)*L_aisle/(2*n_lifts)))</f>
        <v/>
      </c>
      <c r="C27" s="7" t="s">
        <v>49</v>
      </c>
      <c r="D27" s="7"/>
    </row>
    <row r="28" customFormat="false" ht="15" hidden="false" customHeight="false" outlineLevel="0" collapsed="false">
      <c r="A28" s="5" t="s">
        <v>184</v>
      </c>
      <c r="B28" s="6"/>
      <c r="C28" s="6"/>
      <c r="D28" s="6"/>
    </row>
    <row r="29" customFormat="false" ht="15" hidden="false" customHeight="false" outlineLevel="0" collapsed="false">
      <c r="A29" s="7" t="s">
        <v>185</v>
      </c>
      <c r="B29" s="13" t="n">
        <f aca="false">v_sh^2/a_sh</f>
        <v>3.92</v>
      </c>
      <c r="C29" s="7" t="s">
        <v>49</v>
      </c>
      <c r="D29" s="7" t="s">
        <v>186</v>
      </c>
    </row>
    <row r="30" customFormat="false" ht="15" hidden="false" customHeight="false" outlineLevel="0" collapsed="false">
      <c r="A30" s="7" t="s">
        <v>187</v>
      </c>
      <c r="B30" s="15" t="n">
        <f aca="false">IF(lift_layout="End",L_aisle,L_aisle/(2*n_lifts))</f>
        <v>6.23333333333333</v>
      </c>
      <c r="C30" s="7" t="s">
        <v>49</v>
      </c>
      <c r="D30" s="7" t="s">
        <v>188</v>
      </c>
    </row>
    <row r="31" customFormat="false" ht="15" hidden="false" customHeight="false" outlineLevel="0" collapsed="false">
      <c r="A31" s="7" t="s">
        <v>189</v>
      </c>
      <c r="B31" s="15" t="n">
        <f aca="false">lane_off+dmax/2</f>
        <v>4.11666666666667</v>
      </c>
      <c r="C31" s="7" t="s">
        <v>49</v>
      </c>
      <c r="D31" s="7"/>
    </row>
    <row r="32" customFormat="false" ht="15" hidden="false" customHeight="false" outlineLevel="0" collapsed="false">
      <c r="A32" s="7" t="s">
        <v>190</v>
      </c>
      <c r="B32" s="13" t="n">
        <f aca="false">((IF((lane_off+(dmax))&lt;=(v_sh^2/a_sh),(4/3)*(lane_off+(dmax))^1.5/SQRT(a_sh),(4/3)*(v_sh^2/a_sh)^1.5/SQRT(a_sh)+((lane_off+(dmax))^2-(v_sh^2/a_sh)^2)/(2*v_sh)+(v_sh/a_sh)*((lane_off+(dmax))-(v_sh^2/a_sh))))-(IF((lane_off)&lt;=(v_sh^2/a_sh),(4/3)*(lane_off)^1.5/SQRT(a_sh),(4/3)*(v_sh^2/a_sh)^1.5/SQRT(a_sh)+((lane_off)^2-(v_sh^2/a_sh)^2)/(2*v_sh)+(v_sh/a_sh)*((lane_off)-(v_sh^2/a_sh)))))/(dmax)</f>
        <v>5.65098818630166</v>
      </c>
      <c r="C32" s="7" t="s">
        <v>35</v>
      </c>
      <c r="D32" s="7" t="s">
        <v>191</v>
      </c>
    </row>
    <row r="33" customFormat="false" ht="15" hidden="false" customHeight="false" outlineLevel="0" collapsed="false">
      <c r="A33" s="7" t="s">
        <v>192</v>
      </c>
      <c r="B33" s="13" t="n">
        <f aca="false">(N_C-1)*u_d/2*(1+f_hc)+lane_off</f>
        <v>4.75</v>
      </c>
      <c r="C33" s="7" t="s">
        <v>49</v>
      </c>
      <c r="D33" s="7" t="s">
        <v>193</v>
      </c>
    </row>
    <row r="34" customFormat="false" ht="15" hidden="false" customHeight="false" outlineLevel="0" collapsed="false">
      <c r="A34" s="7" t="s">
        <v>194</v>
      </c>
      <c r="B34" s="13" t="n">
        <f aca="false">IF((d_lane)&lt;=0,0,IF((d_lane)&gt;=v_sh^2/a_sh,(d_lane)/v_sh+v_sh/a_sh,2*SQRT((d_lane)/a_sh)))</f>
        <v>6.19285714285714</v>
      </c>
      <c r="C34" s="7" t="s">
        <v>35</v>
      </c>
      <c r="D34" s="7"/>
    </row>
    <row r="35" customFormat="false" ht="15" hidden="false" customHeight="false" outlineLevel="0" collapsed="false">
      <c r="A35" s="11" t="s">
        <v>195</v>
      </c>
      <c r="B35" s="26" t="n">
        <f aca="false">2*t_sh+2*t_turn+2*t_aisle+2*t_lane</f>
        <v>81.6876906583176</v>
      </c>
      <c r="C35" s="7" t="s">
        <v>35</v>
      </c>
      <c r="D35" s="7"/>
    </row>
    <row r="36" customFormat="false" ht="15" hidden="false" customHeight="false" outlineLevel="0" collapsed="false">
      <c r="A36" s="11" t="s">
        <v>196</v>
      </c>
      <c r="B36" s="26" t="n">
        <f aca="false">3600/Tcyc_sh</f>
        <v>44.0702873466951</v>
      </c>
      <c r="C36" s="7" t="s">
        <v>154</v>
      </c>
      <c r="D36" s="7"/>
    </row>
    <row r="37" customFormat="false" ht="15" hidden="false" customHeight="false" outlineLevel="0" collapsed="false">
      <c r="A37" s="5" t="s">
        <v>197</v>
      </c>
      <c r="B37" s="6"/>
      <c r="C37" s="6"/>
      <c r="D37" s="6"/>
    </row>
    <row r="38" customFormat="false" ht="15" hidden="false" customHeight="false" outlineLevel="0" collapsed="false">
      <c r="A38" s="4" t="s">
        <v>198</v>
      </c>
      <c r="B38" s="4" t="s">
        <v>199</v>
      </c>
      <c r="C38" s="4" t="s">
        <v>100</v>
      </c>
      <c r="D38" s="4" t="s">
        <v>200</v>
      </c>
      <c r="E38" s="11" t="s">
        <v>25</v>
      </c>
    </row>
    <row r="39" customFormat="false" ht="15" hidden="false" customHeight="false" outlineLevel="0" collapsed="false">
      <c r="A39" s="7" t="s">
        <v>201</v>
      </c>
      <c r="B39" s="24" t="n">
        <f aca="false">Tiers!D4</f>
        <v>0.1</v>
      </c>
      <c r="C39" s="24" t="n">
        <f aca="false">Tiers!E4</f>
        <v>0.4</v>
      </c>
      <c r="D39" s="27" t="n">
        <f aca="false">IF(dist_mode="ABC",C39,B39)</f>
        <v>0.4</v>
      </c>
      <c r="E39" s="7"/>
    </row>
    <row r="40" customFormat="false" ht="15" hidden="false" customHeight="false" outlineLevel="0" collapsed="false">
      <c r="A40" s="7" t="s">
        <v>202</v>
      </c>
      <c r="B40" s="24" t="n">
        <f aca="false">1-B39</f>
        <v>0.9</v>
      </c>
      <c r="C40" s="24" t="n">
        <f aca="false">1-C39</f>
        <v>0.6</v>
      </c>
      <c r="D40" s="27" t="n">
        <f aca="false">IF(dist_mode="ABC",C40,B40)</f>
        <v>0.6</v>
      </c>
      <c r="E40" s="7"/>
    </row>
    <row r="41" customFormat="false" ht="15" hidden="false" customHeight="false" outlineLevel="0" collapsed="false">
      <c r="A41" s="7" t="s">
        <v>203</v>
      </c>
      <c r="B41" s="15" t="n">
        <f aca="false">B40*lam_total</f>
        <v>90</v>
      </c>
      <c r="C41" s="15" t="n">
        <f aca="false">C40*lam_total</f>
        <v>60</v>
      </c>
      <c r="D41" s="26" t="n">
        <f aca="false">IF(dist_mode="ABC",C41,B41)</f>
        <v>60</v>
      </c>
      <c r="E41" s="7" t="s">
        <v>154</v>
      </c>
    </row>
    <row r="42" customFormat="false" ht="15" hidden="false" customHeight="false" outlineLevel="0" collapsed="false">
      <c r="A42" s="7" t="s">
        <v>204</v>
      </c>
      <c r="B42" s="15" t="n">
        <f aca="false">SUMPRODUCT(Tiers!$I$4:$I$23,Tiers!$H$4:$H$23)</f>
        <v>55.3571428571429</v>
      </c>
      <c r="C42" s="15" t="n">
        <f aca="false">SUMPRODUCT(Tiers!$J$4:$J$23,Tiers!$H$4:$H$23)</f>
        <v>44.2571428571429</v>
      </c>
      <c r="D42" s="26" t="n">
        <f aca="false">IF(dist_mode="ABC",C42,B42)</f>
        <v>44.2571428571429</v>
      </c>
      <c r="E42" s="7" t="s">
        <v>35</v>
      </c>
    </row>
    <row r="43" customFormat="false" ht="15" hidden="false" customHeight="false" outlineLevel="0" collapsed="false">
      <c r="A43" s="7" t="s">
        <v>205</v>
      </c>
      <c r="B43" s="15" t="n">
        <f aca="false">Lift_grid!$D$28</f>
        <v>95.1084656084656</v>
      </c>
      <c r="C43" s="15" t="n">
        <f aca="false">Lift_grid!$D$56</f>
        <v>80.917380952381</v>
      </c>
      <c r="D43" s="26" t="n">
        <f aca="false">IF(dist_mode="ABC",C43,B43)</f>
        <v>80.917380952381</v>
      </c>
      <c r="E43" s="7" t="s">
        <v>35</v>
      </c>
    </row>
    <row r="44" customFormat="false" ht="15" hidden="false" customHeight="false" outlineLevel="0" collapsed="false">
      <c r="A44" s="7" t="s">
        <v>206</v>
      </c>
      <c r="B44" s="15" t="n">
        <f aca="false">3600/B42</f>
        <v>65.0322580645161</v>
      </c>
      <c r="C44" s="15" t="n">
        <f aca="false">3600/C42</f>
        <v>81.3428018076178</v>
      </c>
      <c r="D44" s="26" t="n">
        <f aca="false">IF(dist_mode="ABC",C44,B44)</f>
        <v>81.3428018076178</v>
      </c>
      <c r="E44" s="7" t="s">
        <v>207</v>
      </c>
    </row>
    <row r="45" customFormat="false" ht="15" hidden="false" customHeight="false" outlineLevel="0" collapsed="false">
      <c r="A45" s="7" t="s">
        <v>208</v>
      </c>
      <c r="B45" s="14" t="n">
        <f aca="false">B41*B42/3600/n_lifts</f>
        <v>0.461309523809524</v>
      </c>
      <c r="C45" s="14" t="n">
        <f aca="false">C41*C42/3600/n_lifts</f>
        <v>0.245873015873016</v>
      </c>
      <c r="D45" s="28" t="n">
        <f aca="false">IF(dist_mode="ABC",C45,B45)</f>
        <v>0.245873015873016</v>
      </c>
      <c r="E45" s="7"/>
    </row>
    <row r="46" customFormat="false" ht="15" hidden="false" customHeight="false" outlineLevel="0" collapsed="false">
      <c r="A46" s="7" t="s">
        <v>209</v>
      </c>
      <c r="B46" s="14" t="n">
        <f aca="false">(MIN(lam_in,lam_out)*peak_factor*B40*B43+ABS(lam_out-lam_in)*peak_factor*B40*B42)/3600/n_lifts</f>
        <v>0.40929012345679</v>
      </c>
      <c r="C46" s="14" t="n">
        <f aca="false">(MIN(lam_in,lam_out)*peak_factor*C40*C43+ABS(lam_out-lam_in)*peak_factor*C40*C42)/3600/n_lifts</f>
        <v>0.228991005291005</v>
      </c>
      <c r="D46" s="28" t="n">
        <f aca="false">IF(dist_mode="ABC",C46,B46)</f>
        <v>0.228991005291005</v>
      </c>
      <c r="E46" s="7"/>
    </row>
    <row r="47" customFormat="false" ht="15" hidden="false" customHeight="false" outlineLevel="0" collapsed="false">
      <c r="A47" s="7" t="s">
        <v>210</v>
      </c>
      <c r="B47" s="14" t="n">
        <f aca="false">IF(n_lifts&gt;1,B45*n_lifts/(n_lifts-1),"n/a")</f>
        <v>0.691964285714286</v>
      </c>
      <c r="C47" s="14" t="n">
        <f aca="false">IF(n_lifts&gt;1,C45*n_lifts/(n_lifts-1),"n/a")</f>
        <v>0.368809523809524</v>
      </c>
      <c r="D47" s="28" t="n">
        <f aca="false">IF(dist_mode="ABC",C47,B47)</f>
        <v>0.368809523809524</v>
      </c>
      <c r="E47" s="7"/>
    </row>
    <row r="48" customFormat="false" ht="15" hidden="false" customHeight="false" outlineLevel="0" collapsed="false">
      <c r="A48" s="7" t="s">
        <v>211</v>
      </c>
      <c r="B48" s="15" t="n">
        <f aca="false">SUMPRODUCT(Tiers!$D$4:$D$23,Tiers!$C$4:$C$23)</f>
        <v>8.325</v>
      </c>
      <c r="C48" s="15" t="n">
        <f aca="false">SUMPRODUCT(Tiers!$E$4:$E$23,Tiers!$C$4:$C$23)</f>
        <v>2.22</v>
      </c>
      <c r="D48" s="26" t="n">
        <f aca="false">IF(dist_mode="ABC",C48,B48)</f>
        <v>2.22</v>
      </c>
      <c r="E48" s="7" t="s">
        <v>49</v>
      </c>
    </row>
    <row r="49" customFormat="false" ht="15" hidden="false" customHeight="false" outlineLevel="0" collapsed="false">
      <c r="A49" s="7" t="s">
        <v>212</v>
      </c>
      <c r="B49" s="15" t="n">
        <f aca="false">moves_day*m_pallet*9.81*B48/3600000</f>
        <v>43.5564</v>
      </c>
      <c r="C49" s="15" t="n">
        <f aca="false">moves_day*m_pallet*9.81*C48/3600000</f>
        <v>11.61504</v>
      </c>
      <c r="D49" s="26" t="n">
        <f aca="false">IF(dist_mode="ABC",C49,B49)</f>
        <v>11.61504</v>
      </c>
      <c r="E49" s="7" t="s">
        <v>213</v>
      </c>
    </row>
    <row r="50" customFormat="false" ht="15" hidden="false" customHeight="false" outlineLevel="0" collapsed="false">
      <c r="A50" s="7" t="s">
        <v>214</v>
      </c>
      <c r="B50" s="24"/>
      <c r="C50" s="24" t="n">
        <f aca="false">1-C49/B49</f>
        <v>0.733333333333333</v>
      </c>
      <c r="D50" s="27" t="n">
        <f aca="false">IF(dist_mode="ABC",C50,B50)</f>
        <v>0.733333333333333</v>
      </c>
      <c r="E50" s="7"/>
    </row>
    <row r="51" customFormat="false" ht="15" hidden="false" customHeight="false" outlineLevel="0" collapsed="false">
      <c r="A51" s="5" t="s">
        <v>215</v>
      </c>
      <c r="B51" s="6"/>
      <c r="C51" s="6"/>
      <c r="D51" s="6"/>
    </row>
    <row r="52" customFormat="false" ht="15" hidden="false" customHeight="false" outlineLevel="0" collapsed="false">
      <c r="A52" s="7" t="s">
        <v>216</v>
      </c>
      <c r="B52" s="15" t="n">
        <f aca="false">SUM(Tiers!L4:L23)</f>
        <v>9</v>
      </c>
      <c r="C52" s="7" t="s">
        <v>117</v>
      </c>
      <c r="D52" s="7"/>
    </row>
    <row r="53" customFormat="false" ht="15" hidden="false" customHeight="false" outlineLevel="0" collapsed="false">
      <c r="A53" s="11" t="s">
        <v>217</v>
      </c>
      <c r="B53" s="26" t="n">
        <f aca="false">fleet+spares</f>
        <v>11</v>
      </c>
      <c r="C53" s="7" t="s">
        <v>117</v>
      </c>
      <c r="D53" s="7"/>
    </row>
    <row r="54" customFormat="false" ht="15" hidden="false" customHeight="false" outlineLevel="0" collapsed="false">
      <c r="A54" s="7" t="s">
        <v>218</v>
      </c>
      <c r="B54" s="13" t="n">
        <f aca="false">lam_total*Tcyc_sh/3600</f>
        <v>2.2691025182866</v>
      </c>
      <c r="C54" s="7" t="s">
        <v>219</v>
      </c>
      <c r="D54" s="7" t="s">
        <v>220</v>
      </c>
    </row>
    <row r="55" customFormat="false" ht="15" hidden="false" customHeight="false" outlineLevel="0" collapsed="false">
      <c r="A55" s="7" t="s">
        <v>221</v>
      </c>
      <c r="B55" s="14" t="n">
        <f aca="false">MAX(Tiers!M4:M23)</f>
        <v>0.45382050365732</v>
      </c>
      <c r="C55" s="7"/>
      <c r="D55" s="7"/>
    </row>
    <row r="56" customFormat="false" ht="15" hidden="false" customHeight="false" outlineLevel="0" collapsed="false">
      <c r="A56" s="5" t="s">
        <v>222</v>
      </c>
      <c r="B56" s="6"/>
      <c r="C56" s="6"/>
      <c r="D56" s="6"/>
    </row>
    <row r="57" customFormat="false" ht="15" hidden="false" customHeight="false" outlineLevel="0" collapsed="false">
      <c r="A57" s="7" t="s">
        <v>223</v>
      </c>
      <c r="B57" s="29" t="str">
        <f aca="false">IF(tiers_h&lt;=H_bldg,"OK","CHECK")</f>
        <v>OK</v>
      </c>
      <c r="D57" s="7"/>
    </row>
    <row r="58" customFormat="false" ht="15" hidden="false" customHeight="false" outlineLevel="0" collapsed="false">
      <c r="A58" s="7" t="s">
        <v>224</v>
      </c>
      <c r="B58" s="29" t="str">
        <f aca="false">IF(L_aisle&lt;=L_bldg,"OK","CHECK")</f>
        <v>OK</v>
      </c>
      <c r="D58" s="7"/>
    </row>
    <row r="59" customFormat="false" ht="15" hidden="false" customHeight="false" outlineLevel="0" collapsed="false">
      <c r="A59" s="7" t="s">
        <v>225</v>
      </c>
      <c r="B59" s="29" t="str">
        <f aca="false">IF(2*N_C*u_d+aisle_w&lt;=W_bldg,"OK","CHECK")</f>
        <v>OK</v>
      </c>
      <c r="D59" s="7"/>
    </row>
    <row r="60" customFormat="false" ht="15" hidden="false" customHeight="false" outlineLevel="0" collapsed="false">
      <c r="A60" s="7" t="s">
        <v>226</v>
      </c>
      <c r="B60" s="29" t="str">
        <f aca="false">IF(eff_cap&gt;=cap_req,"OK","CHECK")</f>
        <v>OK</v>
      </c>
      <c r="D60" s="7" t="s">
        <v>227</v>
      </c>
    </row>
    <row r="61" customFormat="false" ht="15" hidden="false" customHeight="false" outlineLevel="0" collapsed="false">
      <c r="A61" s="7" t="s">
        <v>228</v>
      </c>
      <c r="B61" s="29" t="str">
        <f aca="false">IF(U_lift&lt;=rho_max,"OK","CHECK")</f>
        <v>OK</v>
      </c>
      <c r="D61" s="7"/>
    </row>
    <row r="62" customFormat="false" ht="15" hidden="false" customHeight="false" outlineLevel="0" collapsed="false">
      <c r="A62" s="7" t="s">
        <v>229</v>
      </c>
      <c r="B62" s="29" t="str">
        <f aca="false">IF(IF(ISNUMBER(U_lift_n1),U_lift_n1&lt;1,FALSE()),"OK","CHECK")</f>
        <v>OK</v>
      </c>
      <c r="D62" s="7" t="s">
        <v>230</v>
      </c>
    </row>
    <row r="63" customFormat="false" ht="15" hidden="false" customHeight="false" outlineLevel="0" collapsed="false">
      <c r="A63" s="7" t="s">
        <v>231</v>
      </c>
      <c r="B63" s="29" t="str">
        <f aca="false">IF(max_su&lt;=rho_max,"OK","CHECK")</f>
        <v>OK</v>
      </c>
      <c r="D6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3" min="12" style="0" width="12"/>
  </cols>
  <sheetData>
    <row r="1" customFormat="false" ht="17.3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11" t="s">
        <v>233</v>
      </c>
    </row>
    <row r="4" customFormat="false" ht="42" hidden="false" customHeight="true" outlineLevel="0" collapsed="false">
      <c r="A4" s="4" t="s">
        <v>234</v>
      </c>
      <c r="B4" s="4" t="s">
        <v>235</v>
      </c>
      <c r="C4" s="4" t="s">
        <v>236</v>
      </c>
      <c r="D4" s="4" t="s">
        <v>237</v>
      </c>
      <c r="E4" s="4" t="s">
        <v>238</v>
      </c>
      <c r="F4" s="4" t="s">
        <v>239</v>
      </c>
      <c r="G4" s="4" t="s">
        <v>240</v>
      </c>
      <c r="H4" s="4" t="s">
        <v>241</v>
      </c>
      <c r="I4" s="4" t="s">
        <v>240</v>
      </c>
      <c r="J4" s="4" t="s">
        <v>242</v>
      </c>
      <c r="K4" s="4" t="s">
        <v>240</v>
      </c>
      <c r="L4" s="4" t="s">
        <v>243</v>
      </c>
      <c r="M4" s="4" t="s">
        <v>240</v>
      </c>
    </row>
    <row r="5" customFormat="false" ht="15" hidden="false" customHeight="false" outlineLevel="0" collapsed="false">
      <c r="A5" s="30" t="n">
        <v>2</v>
      </c>
      <c r="B5" s="31" t="n">
        <f aca="false">ROUND(sweep_prod/A5,0)</f>
        <v>120</v>
      </c>
      <c r="C5" s="15" t="n">
        <f aca="false">B5*u_w</f>
        <v>102</v>
      </c>
      <c r="D5" s="13" t="n">
        <f aca="false">A5*u_d/(B5*u_w)</f>
        <v>0.0245098039215686</v>
      </c>
      <c r="E5" s="15" t="n">
        <f aca="false">IF(((A5-1)*u_d/2*(1+f_hc)+lane_off)&lt;=0,0,IF(((A5-1)*u_d/2*(1+f_hc)+lane_off)&gt;=v_sh^2/a_sh,((A5-1)*u_d/2*(1+f_hc)+lane_off)/v_sh+v_sh/a_sh,2*SQRT(((A5-1)*u_d/2*(1+f_hc)+lane_off)/a_sh)))</f>
        <v>3.74165738677394</v>
      </c>
      <c r="F5" s="15" t="n">
        <f aca="false">((IF((lane_off+(C5))&lt;=(v_sh^2/a_sh),(4/3)*(lane_off+(C5))^1.5/SQRT(a_sh),(4/3)*(v_sh^2/a_sh)^1.5/SQRT(a_sh)+((lane_off+(C5))^2-(v_sh^2/a_sh)^2)/(2*v_sh)+(v_sh/a_sh)*((lane_off+(C5))-(v_sh^2/a_sh))))-(IF((lane_off)&lt;=(v_sh^2/a_sh),(4/3)*(lane_off)^1.5/SQRT(a_sh),(4/3)*(v_sh^2/a_sh)^1.5/SQRT(a_sh)+((lane_off)^2-(v_sh^2/a_sh)^2)/(2*v_sh)+(v_sh/a_sh)*((lane_off)-(v_sh^2/a_sh)))))/(C5)</f>
        <v>39.9373884314909</v>
      </c>
      <c r="G5" s="15" t="n">
        <f aca="false">2*t_sh+2*t_turn+2*F5+2*E5</f>
        <v>145.35809163653</v>
      </c>
      <c r="H5" s="15" t="n">
        <f aca="false">((IF((lane_off+(C5/2))&lt;=(v_sh^2/a_sh),(4/3)*(lane_off+(C5/2))^1.5/SQRT(a_sh),(4/3)*(v_sh^2/a_sh)^1.5/SQRT(a_sh)+((lane_off+(C5/2))^2-(v_sh^2/a_sh)^2)/(2*v_sh)+(v_sh/a_sh)*((lane_off+(C5/2))-(v_sh^2/a_sh))))-(IF((lane_off)&lt;=(v_sh^2/a_sh),(4/3)*(lane_off)^1.5/SQRT(a_sh),(4/3)*(v_sh^2/a_sh)^1.5/SQRT(a_sh)+((lane_off)^2-(v_sh^2/a_sh)^2)/(2*v_sh)+(v_sh/a_sh)*((lane_off)-(v_sh^2/a_sh)))))/(C5/2)</f>
        <v>21.717634005839</v>
      </c>
      <c r="I5" s="15" t="n">
        <f aca="false">2*t_sh+2*t_turn+2*H5+2*E5</f>
        <v>108.918582785226</v>
      </c>
      <c r="J5" s="15" t="n">
        <f aca="false">((IF((lane_off+(C5/4))&lt;=(v_sh^2/a_sh),(4/3)*(lane_off+(C5/4))^1.5/SQRT(a_sh),(4/3)*(v_sh^2/a_sh)^1.5/SQRT(a_sh)+((lane_off+(C5/4))^2-(v_sh^2/a_sh)^2)/(2*v_sh)+(v_sh/a_sh)*((lane_off+(C5/4))-(v_sh^2/a_sh))))-(IF((lane_off)&lt;=(v_sh^2/a_sh),(4/3)*(lane_off)^1.5/SQRT(a_sh),(4/3)*(v_sh^2/a_sh)^1.5/SQRT(a_sh)+((lane_off)^2-(v_sh^2/a_sh)^2)/(2*v_sh)+(v_sh/a_sh)*((lane_off)-(v_sh^2/a_sh)))))/(C5/4)</f>
        <v>12.5995537259637</v>
      </c>
      <c r="K5" s="15" t="n">
        <f aca="false">2*t_sh+2*t_turn+2*J5+2*E5</f>
        <v>90.6824222254753</v>
      </c>
      <c r="L5" s="15" t="n">
        <f aca="false">((IF((lane_off+(C5/6))&lt;=(v_sh^2/a_sh),(4/3)*(lane_off+(C5/6))^1.5/SQRT(a_sh),(4/3)*(v_sh^2/a_sh)^1.5/SQRT(a_sh)+((lane_off+(C5/6))^2-(v_sh^2/a_sh)^2)/(2*v_sh)+(v_sh/a_sh)*((lane_off+(C5/6))-(v_sh^2/a_sh))))-(IF((lane_off)&lt;=(v_sh^2/a_sh),(4/3)*(lane_off)^1.5/SQRT(a_sh),(4/3)*(v_sh^2/a_sh)^1.5/SQRT(a_sh)+((lane_off)^2-(v_sh^2/a_sh)^2)/(2*v_sh)+(v_sh/a_sh)*((lane_off)-(v_sh^2/a_sh)))))/(C5/6)</f>
        <v>9.55290201751696</v>
      </c>
      <c r="M5" s="15" t="n">
        <f aca="false">2*t_sh+2*t_turn+2*L5+2*E5</f>
        <v>84.5891188085818</v>
      </c>
    </row>
    <row r="6" customFormat="false" ht="15" hidden="false" customHeight="false" outlineLevel="0" collapsed="false">
      <c r="A6" s="30" t="n">
        <v>3</v>
      </c>
      <c r="B6" s="31" t="n">
        <f aca="false">ROUND(sweep_prod/A6,0)</f>
        <v>80</v>
      </c>
      <c r="C6" s="15" t="n">
        <f aca="false">B6*u_w</f>
        <v>68</v>
      </c>
      <c r="D6" s="13" t="n">
        <f aca="false">A6*u_d/(B6*u_w)</f>
        <v>0.0551470588235294</v>
      </c>
      <c r="E6" s="15" t="n">
        <f aca="false">IF(((A6-1)*u_d/2*(1+f_hc)+lane_off)&lt;=0,0,IF(((A6-1)*u_d/2*(1+f_hc)+lane_off)&gt;=v_sh^2/a_sh,((A6-1)*u_d/2*(1+f_hc)+lane_off)/v_sh+v_sh/a_sh,2*SQRT(((A6-1)*u_d/2*(1+f_hc)+lane_off)/a_sh)))</f>
        <v>4.47213595499958</v>
      </c>
      <c r="F6" s="15" t="n">
        <f aca="false">((IF((lane_off+(C6))&lt;=(v_sh^2/a_sh),(4/3)*(lane_off+(C6))^1.5/SQRT(a_sh),(4/3)*(v_sh^2/a_sh)^1.5/SQRT(a_sh)+((lane_off+(C6))^2-(v_sh^2/a_sh)^2)/(2*v_sh)+(v_sh/a_sh)*((lane_off+(C6))-(v_sh^2/a_sh))))-(IF((lane_off)&lt;=(v_sh^2/a_sh),(4/3)*(lane_off)^1.5/SQRT(a_sh),(4/3)*(v_sh^2/a_sh)^1.5/SQRT(a_sh)+((lane_off)^2-(v_sh^2/a_sh)^2)/(2*v_sh)+(v_sh/a_sh)*((lane_off)-(v_sh^2/a_sh)))))/(C6)</f>
        <v>27.7917969329507</v>
      </c>
      <c r="G6" s="15" t="n">
        <f aca="false">2*t_sh+2*t_turn+2*F6+2*E6</f>
        <v>122.527865775901</v>
      </c>
      <c r="H6" s="15" t="n">
        <f aca="false">((IF((lane_off+(C6/2))&lt;=(v_sh^2/a_sh),(4/3)*(lane_off+(C6/2))^1.5/SQRT(a_sh),(4/3)*(v_sh^2/a_sh)^1.5/SQRT(a_sh)+((lane_off+(C6/2))^2-(v_sh^2/a_sh)^2)/(2*v_sh)+(v_sh/a_sh)*((lane_off+(C6/2))-(v_sh^2/a_sh))))-(IF((lane_off)&lt;=(v_sh^2/a_sh),(4/3)*(lane_off)^1.5/SQRT(a_sh),(4/3)*(v_sh^2/a_sh)^1.5/SQRT(a_sh)+((lane_off)^2-(v_sh^2/a_sh)^2)/(2*v_sh)+(v_sh/a_sh)*((lane_off)-(v_sh^2/a_sh)))))/(C6/2)</f>
        <v>15.6407367230442</v>
      </c>
      <c r="I6" s="15" t="n">
        <f aca="false">2*t_sh+2*t_turn+2*H6+2*E6</f>
        <v>98.2257453560875</v>
      </c>
      <c r="J6" s="15" t="n">
        <f aca="false">((IF((lane_off+(C6/4))&lt;=(v_sh^2/a_sh),(4/3)*(lane_off+(C6/4))^1.5/SQRT(a_sh),(4/3)*(v_sh^2/a_sh)^1.5/SQRT(a_sh)+((lane_off+(C6/4))^2-(v_sh^2/a_sh)^2)/(2*v_sh)+(v_sh/a_sh)*((lane_off+(C6/4))-(v_sh^2/a_sh))))-(IF((lane_off)&lt;=(v_sh^2/a_sh),(4/3)*(lane_off)^1.5/SQRT(a_sh),(4/3)*(v_sh^2/a_sh)^1.5/SQRT(a_sh)+((lane_off)^2-(v_sh^2/a_sh)^2)/(2*v_sh)+(v_sh/a_sh)*((lane_off)-(v_sh^2/a_sh)))))/(C6/4)</f>
        <v>9.55290201751696</v>
      </c>
      <c r="K6" s="15" t="n">
        <f aca="false">2*t_sh+2*t_turn+2*J6+2*E6</f>
        <v>86.0500759450331</v>
      </c>
      <c r="L6" s="15" t="n">
        <f aca="false">((IF((lane_off+(C6/6))&lt;=(v_sh^2/a_sh),(4/3)*(lane_off+(C6/6))^1.5/SQRT(a_sh),(4/3)*(v_sh^2/a_sh)^1.5/SQRT(a_sh)+((lane_off+(C6/6))^2-(v_sh^2/a_sh)^2)/(2*v_sh)+(v_sh/a_sh)*((lane_off+(C6/6))-(v_sh^2/a_sh))))-(IF((lane_off)&lt;=(v_sh^2/a_sh),(4/3)*(lane_off)^1.5/SQRT(a_sh),(4/3)*(v_sh^2/a_sh)^1.5/SQRT(a_sh)+((lane_off)^2-(v_sh^2/a_sh)^2)/(2*v_sh)+(v_sh/a_sh)*((lane_off)-(v_sh^2/a_sh)))))/(C6/6)</f>
        <v>7.51268635960877</v>
      </c>
      <c r="M6" s="15" t="n">
        <f aca="false">2*t_sh+2*t_turn+2*L6+2*E6</f>
        <v>81.9696446292167</v>
      </c>
    </row>
    <row r="7" customFormat="false" ht="15" hidden="false" customHeight="false" outlineLevel="0" collapsed="false">
      <c r="A7" s="30" t="n">
        <v>4</v>
      </c>
      <c r="B7" s="31" t="n">
        <f aca="false">ROUND(sweep_prod/A7,0)</f>
        <v>60</v>
      </c>
      <c r="C7" s="15" t="n">
        <f aca="false">B7*u_w</f>
        <v>51</v>
      </c>
      <c r="D7" s="13" t="n">
        <f aca="false">A7*u_d/(B7*u_w)</f>
        <v>0.0980392156862745</v>
      </c>
      <c r="E7" s="15" t="n">
        <f aca="false">IF(((A7-1)*u_d/2*(1+f_hc)+lane_off)&lt;=0,0,IF(((A7-1)*u_d/2*(1+f_hc)+lane_off)&gt;=v_sh^2/a_sh,((A7-1)*u_d/2*(1+f_hc)+lane_off)/v_sh+v_sh/a_sh,2*SQRT(((A7-1)*u_d/2*(1+f_hc)+lane_off)/a_sh)))</f>
        <v>5.09901951359278</v>
      </c>
      <c r="F7" s="15" t="n">
        <f aca="false">((IF((lane_off+(C7))&lt;=(v_sh^2/a_sh),(4/3)*(lane_off+(C7))^1.5/SQRT(a_sh),(4/3)*(v_sh^2/a_sh)^1.5/SQRT(a_sh)+((lane_off+(C7))^2-(v_sh^2/a_sh)^2)/(2*v_sh)+(v_sh/a_sh)*((lane_off+(C7))-(v_sh^2/a_sh))))-(IF((lane_off)&lt;=(v_sh^2/a_sh),(4/3)*(lane_off)^1.5/SQRT(a_sh),(4/3)*(v_sh^2/a_sh)^1.5/SQRT(a_sh)+((lane_off)^2-(v_sh^2/a_sh)^2)/(2*v_sh)+(v_sh/a_sh)*((lane_off)-(v_sh^2/a_sh)))))/(C7)</f>
        <v>21.717634005839</v>
      </c>
      <c r="G7" s="15" t="n">
        <f aca="false">2*t_sh+2*t_turn+2*F7+2*E7</f>
        <v>111.633307038864</v>
      </c>
      <c r="H7" s="15" t="n">
        <f aca="false">((IF((lane_off+(C7/2))&lt;=(v_sh^2/a_sh),(4/3)*(lane_off+(C7/2))^1.5/SQRT(a_sh),(4/3)*(v_sh^2/a_sh)^1.5/SQRT(a_sh)+((lane_off+(C7/2))^2-(v_sh^2/a_sh)^2)/(2*v_sh)+(v_sh/a_sh)*((lane_off+(C7/2))-(v_sh^2/a_sh))))-(IF((lane_off)&lt;=(v_sh^2/a_sh),(4/3)*(lane_off)^1.5/SQRT(a_sh),(4/3)*(v_sh^2/a_sh)^1.5/SQRT(a_sh)+((lane_off)^2-(v_sh^2/a_sh)^2)/(2*v_sh)+(v_sh/a_sh)*((lane_off)-(v_sh^2/a_sh)))))/(C7/2)</f>
        <v>12.5995537259637</v>
      </c>
      <c r="I7" s="15" t="n">
        <f aca="false">2*t_sh+2*t_turn+2*H7+2*E7</f>
        <v>93.397146479113</v>
      </c>
      <c r="J7" s="15" t="n">
        <f aca="false">((IF((lane_off+(C7/4))&lt;=(v_sh^2/a_sh),(4/3)*(lane_off+(C7/4))^1.5/SQRT(a_sh),(4/3)*(v_sh^2/a_sh)^1.5/SQRT(a_sh)+((lane_off+(C7/4))^2-(v_sh^2/a_sh)^2)/(2*v_sh)+(v_sh/a_sh)*((lane_off+(C7/4))-(v_sh^2/a_sh))))-(IF((lane_off)&lt;=(v_sh^2/a_sh),(4/3)*(lane_off)^1.5/SQRT(a_sh),(4/3)*(v_sh^2/a_sh)^1.5/SQRT(a_sh)+((lane_off)^2-(v_sh^2/a_sh)^2)/(2*v_sh)+(v_sh/a_sh)*((lane_off)-(v_sh^2/a_sh)))))/(C7/4)</f>
        <v>8.02410745192737</v>
      </c>
      <c r="K7" s="15" t="n">
        <f aca="false">2*t_sh+2*t_turn+2*J7+2*E7</f>
        <v>84.2462539310403</v>
      </c>
      <c r="L7" s="15" t="n">
        <f aca="false">((IF((lane_off+(C7/6))&lt;=(v_sh^2/a_sh),(4/3)*(lane_off+(C7/6))^1.5/SQRT(a_sh),(4/3)*(v_sh^2/a_sh)^1.5/SQRT(a_sh)+((lane_off+(C7/6))^2-(v_sh^2/a_sh)^2)/(2*v_sh)+(v_sh/a_sh)*((lane_off+(C7/6))-(v_sh^2/a_sh))))-(IF((lane_off)&lt;=(v_sh^2/a_sh),(4/3)*(lane_off)^1.5/SQRT(a_sh),(4/3)*(v_sh^2/a_sh)^1.5/SQRT(a_sh)+((lane_off)^2-(v_sh^2/a_sh)^2)/(2*v_sh)+(v_sh/a_sh)*((lane_off)-(v_sh^2/a_sh)))))/(C7/6)</f>
        <v>6.48437546360534</v>
      </c>
      <c r="M7" s="15" t="n">
        <f aca="false">2*t_sh+2*t_turn+2*L7+2*E7</f>
        <v>81.1667899543963</v>
      </c>
    </row>
    <row r="8" customFormat="false" ht="15" hidden="false" customHeight="false" outlineLevel="0" collapsed="false">
      <c r="A8" s="30" t="n">
        <v>6</v>
      </c>
      <c r="B8" s="31" t="n">
        <f aca="false">ROUND(sweep_prod/A8,0)</f>
        <v>40</v>
      </c>
      <c r="C8" s="15" t="n">
        <f aca="false">B8*u_w</f>
        <v>34</v>
      </c>
      <c r="D8" s="13" t="n">
        <f aca="false">A8*u_d/(B8*u_w)</f>
        <v>0.220588235294118</v>
      </c>
      <c r="E8" s="15" t="n">
        <f aca="false">IF(((A8-1)*u_d/2*(1+f_hc)+lane_off)&lt;=0,0,IF(((A8-1)*u_d/2*(1+f_hc)+lane_off)&gt;=v_sh^2/a_sh,((A8-1)*u_d/2*(1+f_hc)+lane_off)/v_sh+v_sh/a_sh,2*SQRT(((A8-1)*u_d/2*(1+f_hc)+lane_off)/a_sh)))</f>
        <v>6.19285714285714</v>
      </c>
      <c r="F8" s="15" t="n">
        <f aca="false">((IF((lane_off+(C8))&lt;=(v_sh^2/a_sh),(4/3)*(lane_off+(C8))^1.5/SQRT(a_sh),(4/3)*(v_sh^2/a_sh)^1.5/SQRT(a_sh)+((lane_off+(C8))^2-(v_sh^2/a_sh)^2)/(2*v_sh)+(v_sh/a_sh)*((lane_off+(C8))-(v_sh^2/a_sh))))-(IF((lane_off)&lt;=(v_sh^2/a_sh),(4/3)*(lane_off)^1.5/SQRT(a_sh),(4/3)*(v_sh^2/a_sh)^1.5/SQRT(a_sh)+((lane_off)^2-(v_sh^2/a_sh)^2)/(2*v_sh)+(v_sh/a_sh)*((lane_off)-(v_sh^2/a_sh)))))/(C8)</f>
        <v>15.6407367230442</v>
      </c>
      <c r="G8" s="15" t="n">
        <f aca="false">2*t_sh+2*t_turn+2*F8+2*E8</f>
        <v>101.667187731803</v>
      </c>
      <c r="H8" s="15" t="n">
        <f aca="false">((IF((lane_off+(C8/2))&lt;=(v_sh^2/a_sh),(4/3)*(lane_off+(C8/2))^1.5/SQRT(a_sh),(4/3)*(v_sh^2/a_sh)^1.5/SQRT(a_sh)+((lane_off+(C8/2))^2-(v_sh^2/a_sh)^2)/(2*v_sh)+(v_sh/a_sh)*((lane_off+(C8/2))-(v_sh^2/a_sh))))-(IF((lane_off)&lt;=(v_sh^2/a_sh),(4/3)*(lane_off)^1.5/SQRT(a_sh),(4/3)*(v_sh^2/a_sh)^1.5/SQRT(a_sh)+((lane_off)^2-(v_sh^2/a_sh)^2)/(2*v_sh)+(v_sh/a_sh)*((lane_off)-(v_sh^2/a_sh)))))/(C8/2)</f>
        <v>9.55290201751696</v>
      </c>
      <c r="I8" s="15" t="n">
        <f aca="false">2*t_sh+2*t_turn+2*H8+2*E8</f>
        <v>89.4915183207482</v>
      </c>
      <c r="J8" s="15" t="n">
        <f aca="false">((IF((lane_off+(C8/4))&lt;=(v_sh^2/a_sh),(4/3)*(lane_off+(C8/4))^1.5/SQRT(a_sh),(4/3)*(v_sh^2/a_sh)^1.5/SQRT(a_sh)+((lane_off+(C8/4))^2-(v_sh^2/a_sh)^2)/(2*v_sh)+(v_sh/a_sh)*((lane_off+(C8/4))-(v_sh^2/a_sh))))-(IF((lane_off)&lt;=(v_sh^2/a_sh),(4/3)*(lane_off)^1.5/SQRT(a_sh),(4/3)*(v_sh^2/a_sh)^1.5/SQRT(a_sh)+((lane_off)^2-(v_sh^2/a_sh)^2)/(2*v_sh)+(v_sh/a_sh)*((lane_off)-(v_sh^2/a_sh)))))/(C8/4)</f>
        <v>6.48437546360534</v>
      </c>
      <c r="K8" s="15" t="n">
        <f aca="false">2*t_sh+2*t_turn+2*J8+2*E8</f>
        <v>83.354465212925</v>
      </c>
      <c r="L8" s="15" t="n">
        <f aca="false">((IF((lane_off+(C8/6))&lt;=(v_sh^2/a_sh),(4/3)*(lane_off+(C8/6))^1.5/SQRT(a_sh),(4/3)*(v_sh^2/a_sh)^1.5/SQRT(a_sh)+((lane_off+(C8/6))^2-(v_sh^2/a_sh)^2)/(2*v_sh)+(v_sh/a_sh)*((lane_off+(C8/6))-(v_sh^2/a_sh))))-(IF((lane_off)&lt;=(v_sh^2/a_sh),(4/3)*(lane_off)^1.5/SQRT(a_sh),(4/3)*(v_sh^2/a_sh)^1.5/SQRT(a_sh)+((lane_off)^2-(v_sh^2/a_sh)^2)/(2*v_sh)+(v_sh/a_sh)*((lane_off)-(v_sh^2/a_sh)))))/(C8/6)</f>
        <v>5.43965843350325</v>
      </c>
      <c r="M8" s="15" t="n">
        <f aca="false">2*t_sh+2*t_turn+2*L8+2*E8</f>
        <v>81.2650311527208</v>
      </c>
    </row>
    <row r="9" customFormat="false" ht="15" hidden="false" customHeight="false" outlineLevel="0" collapsed="false">
      <c r="A9" s="30" t="n">
        <v>8</v>
      </c>
      <c r="B9" s="31" t="n">
        <f aca="false">ROUND(sweep_prod/A9,0)</f>
        <v>30</v>
      </c>
      <c r="C9" s="15" t="n">
        <f aca="false">B9*u_w</f>
        <v>25.5</v>
      </c>
      <c r="D9" s="13" t="n">
        <f aca="false">A9*u_d/(B9*u_w)</f>
        <v>0.392156862745098</v>
      </c>
      <c r="E9" s="15" t="n">
        <f aca="false">IF(((A9-1)*u_d/2*(1+f_hc)+lane_off)&lt;=0,0,IF(((A9-1)*u_d/2*(1+f_hc)+lane_off)&gt;=v_sh^2/a_sh,((A9-1)*u_d/2*(1+f_hc)+lane_off)/v_sh+v_sh/a_sh,2*SQRT(((A9-1)*u_d/2*(1+f_hc)+lane_off)/a_sh)))</f>
        <v>7.26428571428571</v>
      </c>
      <c r="F9" s="15" t="n">
        <f aca="false">((IF((lane_off+(C9))&lt;=(v_sh^2/a_sh),(4/3)*(lane_off+(C9))^1.5/SQRT(a_sh),(4/3)*(v_sh^2/a_sh)^1.5/SQRT(a_sh)+((lane_off+(C9))^2-(v_sh^2/a_sh)^2)/(2*v_sh)+(v_sh/a_sh)*((lane_off+(C9))-(v_sh^2/a_sh))))-(IF((lane_off)&lt;=(v_sh^2/a_sh),(4/3)*(lane_off)^1.5/SQRT(a_sh),(4/3)*(v_sh^2/a_sh)^1.5/SQRT(a_sh)+((lane_off)^2-(v_sh^2/a_sh)^2)/(2*v_sh)+(v_sh/a_sh)*((lane_off)-(v_sh^2/a_sh)))))/(C9)</f>
        <v>12.5995537259637</v>
      </c>
      <c r="G9" s="15" t="n">
        <f aca="false">2*t_sh+2*t_turn+2*F9+2*E9</f>
        <v>97.7276788804988</v>
      </c>
      <c r="H9" s="15" t="n">
        <f aca="false">((IF((lane_off+(C9/2))&lt;=(v_sh^2/a_sh),(4/3)*(lane_off+(C9/2))^1.5/SQRT(a_sh),(4/3)*(v_sh^2/a_sh)^1.5/SQRT(a_sh)+((lane_off+(C9/2))^2-(v_sh^2/a_sh)^2)/(2*v_sh)+(v_sh/a_sh)*((lane_off+(C9/2))-(v_sh^2/a_sh))))-(IF((lane_off)&lt;=(v_sh^2/a_sh),(4/3)*(lane_off)^1.5/SQRT(a_sh),(4/3)*(v_sh^2/a_sh)^1.5/SQRT(a_sh)+((lane_off)^2-(v_sh^2/a_sh)^2)/(2*v_sh)+(v_sh/a_sh)*((lane_off)-(v_sh^2/a_sh)))))/(C9/2)</f>
        <v>8.02410745192737</v>
      </c>
      <c r="I9" s="15" t="n">
        <f aca="false">2*t_sh+2*t_turn+2*H9+2*E9</f>
        <v>88.5767863324262</v>
      </c>
      <c r="J9" s="15" t="n">
        <f aca="false">((IF((lane_off+(C9/4))&lt;=(v_sh^2/a_sh),(4/3)*(lane_off+(C9/4))^1.5/SQRT(a_sh),(4/3)*(v_sh^2/a_sh)^1.5/SQRT(a_sh)+((lane_off+(C9/4))^2-(v_sh^2/a_sh)^2)/(2*v_sh)+(v_sh/a_sh)*((lane_off+(C9/4))-(v_sh^2/a_sh))))-(IF((lane_off)&lt;=(v_sh^2/a_sh),(4/3)*(lane_off)^1.5/SQRT(a_sh),(4/3)*(v_sh^2/a_sh)^1.5/SQRT(a_sh)+((lane_off)^2-(v_sh^2/a_sh)^2)/(2*v_sh)+(v_sh/a_sh)*((lane_off)-(v_sh^2/a_sh)))))/(C9/4)</f>
        <v>5.70357204671188</v>
      </c>
      <c r="K9" s="15" t="n">
        <f aca="false">2*t_sh+2*t_turn+2*J9+2*E9</f>
        <v>83.9357155219952</v>
      </c>
      <c r="L9" s="15" t="n">
        <f aca="false">((IF((lane_off+(C9/6))&lt;=(v_sh^2/a_sh),(4/3)*(lane_off+(C9/6))^1.5/SQRT(a_sh),(4/3)*(v_sh^2/a_sh)^1.5/SQRT(a_sh)+((lane_off+(C9/6))^2-(v_sh^2/a_sh)^2)/(2*v_sh)+(v_sh/a_sh)*((lane_off+(C9/6))-(v_sh^2/a_sh))))-(IF((lane_off)&lt;=(v_sh^2/a_sh),(4/3)*(lane_off)^1.5/SQRT(a_sh),(4/3)*(v_sh^2/a_sh)^1.5/SQRT(a_sh)+((lane_off)^2-(v_sh^2/a_sh)^2)/(2*v_sh)+(v_sh/a_sh)*((lane_off)-(v_sh^2/a_sh)))))/(C9/6)</f>
        <v>4.90089378435354</v>
      </c>
      <c r="M9" s="15" t="n">
        <f aca="false">2*t_sh+2*t_turn+2*L9+2*E9</f>
        <v>82.3303589972785</v>
      </c>
    </row>
    <row r="10" customFormat="false" ht="15" hidden="false" customHeight="false" outlineLevel="0" collapsed="false">
      <c r="A10" s="30" t="n">
        <v>12</v>
      </c>
      <c r="B10" s="31" t="n">
        <f aca="false">ROUND(sweep_prod/A10,0)</f>
        <v>20</v>
      </c>
      <c r="C10" s="15" t="n">
        <f aca="false">B10*u_w</f>
        <v>17</v>
      </c>
      <c r="D10" s="13" t="n">
        <f aca="false">A10*u_d/(B10*u_w)</f>
        <v>0.882352941176471</v>
      </c>
      <c r="E10" s="15" t="n">
        <f aca="false">IF(((A10-1)*u_d/2*(1+f_hc)+lane_off)&lt;=0,0,IF(((A10-1)*u_d/2*(1+f_hc)+lane_off)&gt;=v_sh^2/a_sh,((A10-1)*u_d/2*(1+f_hc)+lane_off)/v_sh+v_sh/a_sh,2*SQRT(((A10-1)*u_d/2*(1+f_hc)+lane_off)/a_sh)))</f>
        <v>9.40714285714286</v>
      </c>
      <c r="F10" s="15" t="n">
        <f aca="false">((IF((lane_off+(C10))&lt;=(v_sh^2/a_sh),(4/3)*(lane_off+(C10))^1.5/SQRT(a_sh),(4/3)*(v_sh^2/a_sh)^1.5/SQRT(a_sh)+((lane_off+(C10))^2-(v_sh^2/a_sh)^2)/(2*v_sh)+(v_sh/a_sh)*((lane_off+(C10))-(v_sh^2/a_sh))))-(IF((lane_off)&lt;=(v_sh^2/a_sh),(4/3)*(lane_off)^1.5/SQRT(a_sh),(4/3)*(v_sh^2/a_sh)^1.5/SQRT(a_sh)+((lane_off)^2-(v_sh^2/a_sh)^2)/(2*v_sh)+(v_sh/a_sh)*((lane_off)-(v_sh^2/a_sh)))))/(C10)</f>
        <v>9.55290201751696</v>
      </c>
      <c r="G10" s="15" t="n">
        <f aca="false">2*t_sh+2*t_turn+2*F10+2*E10</f>
        <v>95.9200897493196</v>
      </c>
      <c r="H10" s="15" t="n">
        <f aca="false">((IF((lane_off+(C10/2))&lt;=(v_sh^2/a_sh),(4/3)*(lane_off+(C10/2))^1.5/SQRT(a_sh),(4/3)*(v_sh^2/a_sh)^1.5/SQRT(a_sh)+((lane_off+(C10/2))^2-(v_sh^2/a_sh)^2)/(2*v_sh)+(v_sh/a_sh)*((lane_off+(C10/2))-(v_sh^2/a_sh))))-(IF((lane_off)&lt;=(v_sh^2/a_sh),(4/3)*(lane_off)^1.5/SQRT(a_sh),(4/3)*(v_sh^2/a_sh)^1.5/SQRT(a_sh)+((lane_off)^2-(v_sh^2/a_sh)^2)/(2*v_sh)+(v_sh/a_sh)*((lane_off)-(v_sh^2/a_sh)))))/(C10/2)</f>
        <v>6.48437546360534</v>
      </c>
      <c r="I10" s="15" t="n">
        <f aca="false">2*t_sh+2*t_turn+2*H10+2*E10</f>
        <v>89.7830366414964</v>
      </c>
      <c r="J10" s="15" t="n">
        <f aca="false">((IF((lane_off+(C10/4))&lt;=(v_sh^2/a_sh),(4/3)*(lane_off+(C10/4))^1.5/SQRT(a_sh),(4/3)*(v_sh^2/a_sh)^1.5/SQRT(a_sh)+((lane_off+(C10/4))^2-(v_sh^2/a_sh)^2)/(2*v_sh)+(v_sh/a_sh)*((lane_off+(C10/4))-(v_sh^2/a_sh))))-(IF((lane_off)&lt;=(v_sh^2/a_sh),(4/3)*(lane_off)^1.5/SQRT(a_sh),(4/3)*(v_sh^2/a_sh)^1.5/SQRT(a_sh)+((lane_off)^2-(v_sh^2/a_sh)^2)/(2*v_sh)+(v_sh/a_sh)*((lane_off)-(v_sh^2/a_sh)))))/(C10/4)</f>
        <v>4.90089378435354</v>
      </c>
      <c r="K10" s="15" t="n">
        <f aca="false">2*t_sh+2*t_turn+2*J10+2*E10</f>
        <v>86.6160732829928</v>
      </c>
      <c r="L10" s="15" t="n">
        <f aca="false">((IF((lane_off+(C10/6))&lt;=(v_sh^2/a_sh),(4/3)*(lane_off+(C10/6))^1.5/SQRT(a_sh),(4/3)*(v_sh^2/a_sh)^1.5/SQRT(a_sh)+((lane_off+(C10/6))^2-(v_sh^2/a_sh)^2)/(2*v_sh)+(v_sh/a_sh)*((lane_off+(C10/6))-(v_sh^2/a_sh))))-(IF((lane_off)&lt;=(v_sh^2/a_sh),(4/3)*(lane_off)^1.5/SQRT(a_sh),(4/3)*(v_sh^2/a_sh)^1.5/SQRT(a_sh)+((lane_off)^2-(v_sh^2/a_sh)^2)/(2*v_sh)+(v_sh/a_sh)*((lane_off)-(v_sh^2/a_sh)))))/(C10/6)</f>
        <v>4.32932038495163</v>
      </c>
      <c r="M10" s="15" t="n">
        <f aca="false">2*t_sh+2*t_turn+2*L10+2*E10</f>
        <v>85.472926484189</v>
      </c>
    </row>
    <row r="11" customFormat="false" ht="15" hidden="false" customHeight="false" outlineLevel="0" collapsed="false">
      <c r="A11" s="30" t="n">
        <v>16</v>
      </c>
      <c r="B11" s="31" t="n">
        <f aca="false">ROUND(sweep_prod/A11,0)</f>
        <v>15</v>
      </c>
      <c r="C11" s="15" t="n">
        <f aca="false">B11*u_w</f>
        <v>12.75</v>
      </c>
      <c r="D11" s="13" t="n">
        <f aca="false">A11*u_d/(B11*u_w)</f>
        <v>1.56862745098039</v>
      </c>
      <c r="E11" s="15" t="n">
        <f aca="false">IF(((A11-1)*u_d/2*(1+f_hc)+lane_off)&lt;=0,0,IF(((A11-1)*u_d/2*(1+f_hc)+lane_off)&gt;=v_sh^2/a_sh,((A11-1)*u_d/2*(1+f_hc)+lane_off)/v_sh+v_sh/a_sh,2*SQRT(((A11-1)*u_d/2*(1+f_hc)+lane_off)/a_sh)))</f>
        <v>11.55</v>
      </c>
      <c r="F11" s="15" t="n">
        <f aca="false">((IF((lane_off+(C11))&lt;=(v_sh^2/a_sh),(4/3)*(lane_off+(C11))^1.5/SQRT(a_sh),(4/3)*(v_sh^2/a_sh)^1.5/SQRT(a_sh)+((lane_off+(C11))^2-(v_sh^2/a_sh)^2)/(2*v_sh)+(v_sh/a_sh)*((lane_off+(C11))-(v_sh^2/a_sh))))-(IF((lane_off)&lt;=(v_sh^2/a_sh),(4/3)*(lane_off)^1.5/SQRT(a_sh),(4/3)*(v_sh^2/a_sh)^1.5/SQRT(a_sh)+((lane_off)^2-(v_sh^2/a_sh)^2)/(2*v_sh)+(v_sh/a_sh)*((lane_off)-(v_sh^2/a_sh)))))/(C11)</f>
        <v>8.02410745192737</v>
      </c>
      <c r="G11" s="15" t="n">
        <f aca="false">2*t_sh+2*t_turn+2*F11+2*E11</f>
        <v>97.1482149038548</v>
      </c>
      <c r="H11" s="15" t="n">
        <f aca="false">((IF((lane_off+(C11/2))&lt;=(v_sh^2/a_sh),(4/3)*(lane_off+(C11/2))^1.5/SQRT(a_sh),(4/3)*(v_sh^2/a_sh)^1.5/SQRT(a_sh)+((lane_off+(C11/2))^2-(v_sh^2/a_sh)^2)/(2*v_sh)+(v_sh/a_sh)*((lane_off+(C11/2))-(v_sh^2/a_sh))))-(IF((lane_off)&lt;=(v_sh^2/a_sh),(4/3)*(lane_off)^1.5/SQRT(a_sh),(4/3)*(v_sh^2/a_sh)^1.5/SQRT(a_sh)+((lane_off)^2-(v_sh^2/a_sh)^2)/(2*v_sh)+(v_sh/a_sh)*((lane_off)-(v_sh^2/a_sh)))))/(C11/2)</f>
        <v>5.70357204671188</v>
      </c>
      <c r="I11" s="15" t="n">
        <f aca="false">2*t_sh+2*t_turn+2*H11+2*E11</f>
        <v>92.5071440934238</v>
      </c>
      <c r="J11" s="15" t="n">
        <f aca="false">((IF((lane_off+(C11/4))&lt;=(v_sh^2/a_sh),(4/3)*(lane_off+(C11/4))^1.5/SQRT(a_sh),(4/3)*(v_sh^2/a_sh)^1.5/SQRT(a_sh)+((lane_off+(C11/4))^2-(v_sh^2/a_sh)^2)/(2*v_sh)+(v_sh/a_sh)*((lane_off+(C11/4))-(v_sh^2/a_sh))))-(IF((lane_off)&lt;=(v_sh^2/a_sh),(4/3)*(lane_off)^1.5/SQRT(a_sh),(4/3)*(v_sh^2/a_sh)^1.5/SQRT(a_sh)+((lane_off)^2-(v_sh^2/a_sh)^2)/(2*v_sh)+(v_sh/a_sh)*((lane_off)-(v_sh^2/a_sh)))))/(C11/4)</f>
        <v>4.47767980770948</v>
      </c>
      <c r="K11" s="15" t="n">
        <f aca="false">2*t_sh+2*t_turn+2*J11+2*E11</f>
        <v>90.055359615419</v>
      </c>
      <c r="L11" s="15" t="n">
        <f aca="false">((IF((lane_off+(C11/6))&lt;=(v_sh^2/a_sh),(4/3)*(lane_off+(C11/6))^1.5/SQRT(a_sh),(4/3)*(v_sh^2/a_sh)^1.5/SQRT(a_sh)+((lane_off+(C11/6))^2-(v_sh^2/a_sh)^2)/(2*v_sh)+(v_sh/a_sh)*((lane_off+(C11/6))-(v_sh^2/a_sh))))-(IF((lane_off)&lt;=(v_sh^2/a_sh),(4/3)*(lane_off)^1.5/SQRT(a_sh),(4/3)*(v_sh^2/a_sh)^1.5/SQRT(a_sh)+((lane_off)^2-(v_sh^2/a_sh)^2)/(2*v_sh)+(v_sh/a_sh)*((lane_off)-(v_sh^2/a_sh)))))/(C11/6)</f>
        <v>4.01461109811884</v>
      </c>
      <c r="M11" s="15" t="n">
        <f aca="false">2*t_sh+2*t_turn+2*L11+2*E11</f>
        <v>89.1292221962377</v>
      </c>
    </row>
    <row r="12" customFormat="false" ht="15" hidden="false" customHeight="false" outlineLevel="0" collapsed="false">
      <c r="A12" s="30" t="n">
        <v>24</v>
      </c>
      <c r="B12" s="31" t="n">
        <f aca="false">ROUND(sweep_prod/A12,0)</f>
        <v>10</v>
      </c>
      <c r="C12" s="15" t="n">
        <f aca="false">B12*u_w</f>
        <v>8.5</v>
      </c>
      <c r="D12" s="13" t="n">
        <f aca="false">A12*u_d/(B12*u_w)</f>
        <v>3.52941176470588</v>
      </c>
      <c r="E12" s="15" t="n">
        <f aca="false">IF(((A12-1)*u_d/2*(1+f_hc)+lane_off)&lt;=0,0,IF(((A12-1)*u_d/2*(1+f_hc)+lane_off)&gt;=v_sh^2/a_sh,((A12-1)*u_d/2*(1+f_hc)+lane_off)/v_sh+v_sh/a_sh,2*SQRT(((A12-1)*u_d/2*(1+f_hc)+lane_off)/a_sh)))</f>
        <v>15.8357142857143</v>
      </c>
      <c r="F12" s="15" t="n">
        <f aca="false">((IF((lane_off+(C12))&lt;=(v_sh^2/a_sh),(4/3)*(lane_off+(C12))^1.5/SQRT(a_sh),(4/3)*(v_sh^2/a_sh)^1.5/SQRT(a_sh)+((lane_off+(C12))^2-(v_sh^2/a_sh)^2)/(2*v_sh)+(v_sh/a_sh)*((lane_off+(C12))-(v_sh^2/a_sh))))-(IF((lane_off)&lt;=(v_sh^2/a_sh),(4/3)*(lane_off)^1.5/SQRT(a_sh),(4/3)*(v_sh^2/a_sh)^1.5/SQRT(a_sh)+((lane_off)^2-(v_sh^2/a_sh)^2)/(2*v_sh)+(v_sh/a_sh)*((lane_off)-(v_sh^2/a_sh)))))/(C12)</f>
        <v>6.48437546360534</v>
      </c>
      <c r="G12" s="15" t="n">
        <f aca="false">2*t_sh+2*t_turn+2*F12+2*E12</f>
        <v>102.640179498639</v>
      </c>
      <c r="H12" s="15" t="n">
        <f aca="false">((IF((lane_off+(C12/2))&lt;=(v_sh^2/a_sh),(4/3)*(lane_off+(C12/2))^1.5/SQRT(a_sh),(4/3)*(v_sh^2/a_sh)^1.5/SQRT(a_sh)+((lane_off+(C12/2))^2-(v_sh^2/a_sh)^2)/(2*v_sh)+(v_sh/a_sh)*((lane_off+(C12/2))-(v_sh^2/a_sh))))-(IF((lane_off)&lt;=(v_sh^2/a_sh),(4/3)*(lane_off)^1.5/SQRT(a_sh),(4/3)*(v_sh^2/a_sh)^1.5/SQRT(a_sh)+((lane_off)^2-(v_sh^2/a_sh)^2)/(2*v_sh)+(v_sh/a_sh)*((lane_off)-(v_sh^2/a_sh)))))/(C12/2)</f>
        <v>4.90089378435354</v>
      </c>
      <c r="I12" s="15" t="n">
        <f aca="false">2*t_sh+2*t_turn+2*H12+2*E12</f>
        <v>99.4732161401356</v>
      </c>
      <c r="J12" s="15" t="n">
        <f aca="false">((IF((lane_off+(C12/4))&lt;=(v_sh^2/a_sh),(4/3)*(lane_off+(C12/4))^1.5/SQRT(a_sh),(4/3)*(v_sh^2/a_sh)^1.5/SQRT(a_sh)+((lane_off+(C12/4))^2-(v_sh^2/a_sh)^2)/(2*v_sh)+(v_sh/a_sh)*((lane_off+(C12/4))-(v_sh^2/a_sh))))-(IF((lane_off)&lt;=(v_sh^2/a_sh),(4/3)*(lane_off)^1.5/SQRT(a_sh),(4/3)*(v_sh^2/a_sh)^1.5/SQRT(a_sh)+((lane_off)^2-(v_sh^2/a_sh)^2)/(2*v_sh)+(v_sh/a_sh)*((lane_off)-(v_sh^2/a_sh)))))/(C12/4)</f>
        <v>4.01461109811884</v>
      </c>
      <c r="K12" s="15" t="n">
        <f aca="false">2*t_sh+2*t_turn+2*J12+2*E12</f>
        <v>97.7006507676663</v>
      </c>
      <c r="L12" s="15" t="n">
        <f aca="false">((IF((lane_off+(C12/6))&lt;=(v_sh^2/a_sh),(4/3)*(lane_off+(C12/6))^1.5/SQRT(a_sh),(4/3)*(v_sh^2/a_sh)^1.5/SQRT(a_sh)+((lane_off+(C12/6))^2-(v_sh^2/a_sh)^2)/(2*v_sh)+(v_sh/a_sh)*((lane_off+(C12/6))-(v_sh^2/a_sh))))-(IF((lane_off)&lt;=(v_sh^2/a_sh),(4/3)*(lane_off)^1.5/SQRT(a_sh),(4/3)*(v_sh^2/a_sh)^1.5/SQRT(a_sh)+((lane_off)^2-(v_sh^2/a_sh)^2)/(2*v_sh)+(v_sh/a_sh)*((lane_off)-(v_sh^2/a_sh)))))/(C12/6)</f>
        <v>3.66944962482421</v>
      </c>
      <c r="M12" s="15" t="n">
        <f aca="false">2*t_sh+2*t_turn+2*L12+2*E12</f>
        <v>97.010327821077</v>
      </c>
    </row>
    <row r="13" customFormat="false" ht="15" hidden="false" customHeight="false" outlineLevel="0" collapsed="false">
      <c r="A13" s="7" t="s">
        <v>244</v>
      </c>
    </row>
    <row r="15" customFormat="false" ht="15" hidden="false" customHeight="false" outlineLevel="0" collapsed="false">
      <c r="A15" s="11" t="s">
        <v>245</v>
      </c>
    </row>
    <row r="16" customFormat="false" ht="42" hidden="false" customHeight="true" outlineLevel="0" collapsed="false">
      <c r="A16" s="4" t="s">
        <v>246</v>
      </c>
      <c r="B16" s="4" t="s">
        <v>247</v>
      </c>
      <c r="C16" s="4" t="s">
        <v>248</v>
      </c>
      <c r="D16" s="4" t="s">
        <v>240</v>
      </c>
      <c r="E16" s="4" t="s">
        <v>249</v>
      </c>
      <c r="F16" s="4" t="s">
        <v>250</v>
      </c>
      <c r="G16" s="4" t="s">
        <v>251</v>
      </c>
      <c r="H16" s="4" t="s">
        <v>252</v>
      </c>
      <c r="I16" s="4" t="s">
        <v>253</v>
      </c>
      <c r="J16" s="4" t="s">
        <v>254</v>
      </c>
      <c r="K16" s="4" t="s">
        <v>255</v>
      </c>
      <c r="L16" s="4" t="s">
        <v>256</v>
      </c>
    </row>
    <row r="17" customFormat="false" ht="15" hidden="false" customHeight="false" outlineLevel="0" collapsed="false">
      <c r="A17" s="32" t="n">
        <v>1</v>
      </c>
      <c r="B17" s="13" t="n">
        <f aca="false">L_aisle/(2*A17)</f>
        <v>18.7</v>
      </c>
      <c r="C17" s="13" t="n">
        <f aca="false">((IF((lane_off+(B17))&lt;=(v_sh^2/a_sh),(4/3)*(lane_off+(B17))^1.5/SQRT(a_sh),(4/3)*(v_sh^2/a_sh)^1.5/SQRT(a_sh)+((lane_off+(B17))^2-(v_sh^2/a_sh)^2)/(2*v_sh)+(v_sh/a_sh)*((lane_off+(B17))-(v_sh^2/a_sh))))-(IF((lane_off)&lt;=(v_sh^2/a_sh),(4/3)*(lane_off)^1.5/SQRT(a_sh),(4/3)*(v_sh^2/a_sh)^1.5/SQRT(a_sh)+((lane_off)^2-(v_sh^2/a_sh)^2)/(2*v_sh)+(v_sh/a_sh)*((lane_off)-(v_sh^2/a_sh)))))/(B17)</f>
        <v>10.1630278081323</v>
      </c>
      <c r="D17" s="15" t="n">
        <f aca="false">2*t_sh+2*t_turn+2*C17+2*t_lane</f>
        <v>90.7117699019789</v>
      </c>
      <c r="E17" s="15" t="n">
        <f aca="false">3600/D17</f>
        <v>39.6861400002456</v>
      </c>
      <c r="F17" s="14" t="n">
        <f aca="false">lam_total*PL_U*S_U/3600/A17</f>
        <v>1.38392857142857</v>
      </c>
      <c r="G17" s="14" t="n">
        <f aca="false">(MIN(lam_in,lam_out)*peak_factor*PL_U*D_U+ABS(lam_out-lam_in)*peak_factor*PL_U*S_U)/3600/A17</f>
        <v>1.22787037037037</v>
      </c>
      <c r="H17" s="14" t="n">
        <f aca="false">lam_total*PL_A*S_A/3600/A17</f>
        <v>0.737619047619048</v>
      </c>
      <c r="I17" s="14" t="n">
        <f aca="false">(MIN(lam_in,lam_out)*peak_factor*PL_A*D_A+ABS(lam_out-lam_in)*peak_factor*PL_A*S_A)/3600/A17</f>
        <v>0.686973015873016</v>
      </c>
      <c r="J17" s="14" t="str">
        <f aca="false">IF(A17&gt;1,F17*A17/(A17-1),"n/a")</f>
        <v>n/a</v>
      </c>
      <c r="K17" s="14" t="str">
        <f aca="false">IF(A17&gt;1,H17*A17/(A17-1),"n/a")</f>
        <v>n/a</v>
      </c>
      <c r="L17" s="14" t="n">
        <f aca="false">rho_max</f>
        <v>0.75</v>
      </c>
    </row>
    <row r="18" customFormat="false" ht="15" hidden="false" customHeight="false" outlineLevel="0" collapsed="false">
      <c r="A18" s="32" t="n">
        <v>2</v>
      </c>
      <c r="B18" s="13" t="n">
        <f aca="false">L_aisle/(2*A18)</f>
        <v>9.35</v>
      </c>
      <c r="C18" s="13" t="n">
        <f aca="false">((IF((lane_off+(B18))&lt;=(v_sh^2/a_sh),(4/3)*(lane_off+(B18))^1.5/SQRT(a_sh),(4/3)*(v_sh^2/a_sh)^1.5/SQRT(a_sh)+((lane_off+(B18))^2-(v_sh^2/a_sh)^2)/(2*v_sh)+(v_sh/a_sh)*((lane_off+(B18))-(v_sh^2/a_sh))))-(IF((lane_off)&lt;=(v_sh^2/a_sh),(4/3)*(lane_off)^1.5/SQRT(a_sh),(4/3)*(v_sh^2/a_sh)^1.5/SQRT(a_sh)+((lane_off)^2-(v_sh^2/a_sh)^2)/(2*v_sh)+(v_sh/a_sh)*((lane_off)-(v_sh^2/a_sh)))))/(B18)</f>
        <v>6.79391275912174</v>
      </c>
      <c r="D18" s="15" t="n">
        <f aca="false">2*t_sh+2*t_turn+2*C18+2*t_lane</f>
        <v>83.9735398039578</v>
      </c>
      <c r="E18" s="15" t="n">
        <f aca="false">3600/D18</f>
        <v>42.8706472110674</v>
      </c>
      <c r="F18" s="14" t="n">
        <f aca="false">lam_total*PL_U*S_U/3600/A18</f>
        <v>0.691964285714286</v>
      </c>
      <c r="G18" s="14" t="n">
        <f aca="false">(MIN(lam_in,lam_out)*peak_factor*PL_U*D_U+ABS(lam_out-lam_in)*peak_factor*PL_U*S_U)/3600/A18</f>
        <v>0.613935185185185</v>
      </c>
      <c r="H18" s="14" t="n">
        <f aca="false">lam_total*PL_A*S_A/3600/A18</f>
        <v>0.368809523809524</v>
      </c>
      <c r="I18" s="14" t="n">
        <f aca="false">(MIN(lam_in,lam_out)*peak_factor*PL_A*D_A+ABS(lam_out-lam_in)*peak_factor*PL_A*S_A)/3600/A18</f>
        <v>0.343486507936508</v>
      </c>
      <c r="J18" s="14" t="n">
        <f aca="false">IF(A18&gt;1,F18*A18/(A18-1),"n/a")</f>
        <v>1.38392857142857</v>
      </c>
      <c r="K18" s="14" t="n">
        <f aca="false">IF(A18&gt;1,H18*A18/(A18-1),"n/a")</f>
        <v>0.737619047619048</v>
      </c>
      <c r="L18" s="14" t="n">
        <f aca="false">rho_max</f>
        <v>0.75</v>
      </c>
    </row>
    <row r="19" customFormat="false" ht="15" hidden="false" customHeight="false" outlineLevel="0" collapsed="false">
      <c r="A19" s="32" t="n">
        <v>3</v>
      </c>
      <c r="B19" s="13" t="n">
        <f aca="false">L_aisle/(2*A19)</f>
        <v>6.23333333333333</v>
      </c>
      <c r="C19" s="13" t="n">
        <f aca="false">((IF((lane_off+(B19))&lt;=(v_sh^2/a_sh),(4/3)*(lane_off+(B19))^1.5/SQRT(a_sh),(4/3)*(v_sh^2/a_sh)^1.5/SQRT(a_sh)+((lane_off+(B19))^2-(v_sh^2/a_sh)^2)/(2*v_sh)+(v_sh/a_sh)*((lane_off+(B19))-(v_sh^2/a_sh))))-(IF((lane_off)&lt;=(v_sh^2/a_sh),(4/3)*(lane_off)^1.5/SQRT(a_sh),(4/3)*(v_sh^2/a_sh)^1.5/SQRT(a_sh)+((lane_off)^2-(v_sh^2/a_sh)^2)/(2*v_sh)+(v_sh/a_sh)*((lane_off)-(v_sh^2/a_sh)))))/(B19)</f>
        <v>5.65098818630166</v>
      </c>
      <c r="D19" s="15" t="n">
        <f aca="false">2*t_sh+2*t_turn+2*C19+2*t_lane</f>
        <v>81.6876906583176</v>
      </c>
      <c r="E19" s="15" t="n">
        <f aca="false">3600/D19</f>
        <v>44.0702873466951</v>
      </c>
      <c r="F19" s="14" t="n">
        <f aca="false">lam_total*PL_U*S_U/3600/A19</f>
        <v>0.461309523809524</v>
      </c>
      <c r="G19" s="14" t="n">
        <f aca="false">(MIN(lam_in,lam_out)*peak_factor*PL_U*D_U+ABS(lam_out-lam_in)*peak_factor*PL_U*S_U)/3600/A19</f>
        <v>0.40929012345679</v>
      </c>
      <c r="H19" s="14" t="n">
        <f aca="false">lam_total*PL_A*S_A/3600/A19</f>
        <v>0.245873015873016</v>
      </c>
      <c r="I19" s="14" t="n">
        <f aca="false">(MIN(lam_in,lam_out)*peak_factor*PL_A*D_A+ABS(lam_out-lam_in)*peak_factor*PL_A*S_A)/3600/A19</f>
        <v>0.228991005291005</v>
      </c>
      <c r="J19" s="14" t="n">
        <f aca="false">IF(A19&gt;1,F19*A19/(A19-1),"n/a")</f>
        <v>0.691964285714286</v>
      </c>
      <c r="K19" s="14" t="n">
        <f aca="false">IF(A19&gt;1,H19*A19/(A19-1),"n/a")</f>
        <v>0.368809523809524</v>
      </c>
      <c r="L19" s="14" t="n">
        <f aca="false">rho_max</f>
        <v>0.75</v>
      </c>
    </row>
    <row r="20" customFormat="false" ht="15" hidden="false" customHeight="false" outlineLevel="0" collapsed="false">
      <c r="A20" s="32" t="n">
        <v>4</v>
      </c>
      <c r="B20" s="13" t="n">
        <f aca="false">L_aisle/(2*A20)</f>
        <v>4.675</v>
      </c>
      <c r="C20" s="13" t="n">
        <f aca="false">((IF((lane_off+(B20))&lt;=(v_sh^2/a_sh),(4/3)*(lane_off+(B20))^1.5/SQRT(a_sh),(4/3)*(v_sh^2/a_sh)^1.5/SQRT(a_sh)+((lane_off+(B20))^2-(v_sh^2/a_sh)^2)/(2*v_sh)+(v_sh/a_sh)*((lane_off+(B20))-(v_sh^2/a_sh))))-(IF((lane_off)&lt;=(v_sh^2/a_sh),(4/3)*(lane_off)^1.5/SQRT(a_sh),(4/3)*(v_sh^2/a_sh)^1.5/SQRT(a_sh)+((lane_off)^2-(v_sh^2/a_sh)^2)/(2*v_sh)+(v_sh/a_sh)*((lane_off)-(v_sh^2/a_sh)))))/(B20)</f>
        <v>5.06461123252919</v>
      </c>
      <c r="D20" s="15" t="n">
        <f aca="false">2*t_sh+2*t_turn+2*C20+2*t_lane</f>
        <v>80.5149367507727</v>
      </c>
      <c r="E20" s="15" t="n">
        <f aca="false">3600/D20</f>
        <v>44.7122005590528</v>
      </c>
      <c r="F20" s="14" t="n">
        <f aca="false">lam_total*PL_U*S_U/3600/A20</f>
        <v>0.345982142857143</v>
      </c>
      <c r="G20" s="14" t="n">
        <f aca="false">(MIN(lam_in,lam_out)*peak_factor*PL_U*D_U+ABS(lam_out-lam_in)*peak_factor*PL_U*S_U)/3600/A20</f>
        <v>0.306967592592593</v>
      </c>
      <c r="H20" s="14" t="n">
        <f aca="false">lam_total*PL_A*S_A/3600/A20</f>
        <v>0.184404761904762</v>
      </c>
      <c r="I20" s="14" t="n">
        <f aca="false">(MIN(lam_in,lam_out)*peak_factor*PL_A*D_A+ABS(lam_out-lam_in)*peak_factor*PL_A*S_A)/3600/A20</f>
        <v>0.171743253968254</v>
      </c>
      <c r="J20" s="14" t="n">
        <f aca="false">IF(A20&gt;1,F20*A20/(A20-1),"n/a")</f>
        <v>0.461309523809524</v>
      </c>
      <c r="K20" s="14" t="n">
        <f aca="false">IF(A20&gt;1,H20*A20/(A20-1),"n/a")</f>
        <v>0.245873015873016</v>
      </c>
      <c r="L20" s="14" t="n">
        <f aca="false">rho_max</f>
        <v>0.75</v>
      </c>
    </row>
    <row r="21" customFormat="false" ht="15" hidden="false" customHeight="false" outlineLevel="0" collapsed="false">
      <c r="A21" s="32" t="n">
        <v>5</v>
      </c>
      <c r="B21" s="13" t="n">
        <f aca="false">L_aisle/(2*A21)</f>
        <v>3.74</v>
      </c>
      <c r="C21" s="13" t="n">
        <f aca="false">((IF((lane_off+(B21))&lt;=(v_sh^2/a_sh),(4/3)*(lane_off+(B21))^1.5/SQRT(a_sh),(4/3)*(v_sh^2/a_sh)^1.5/SQRT(a_sh)+((lane_off+(B21))^2-(v_sh^2/a_sh)^2)/(2*v_sh)+(v_sh/a_sh)*((lane_off+(B21))-(v_sh^2/a_sh))))-(IF((lane_off)&lt;=(v_sh^2/a_sh),(4/3)*(lane_off)^1.5/SQRT(a_sh),(4/3)*(v_sh^2/a_sh)^1.5/SQRT(a_sh)+((lane_off)^2-(v_sh^2/a_sh)^2)/(2*v_sh)+(v_sh/a_sh)*((lane_off)-(v_sh^2/a_sh)))))/(B21)</f>
        <v>4.70085332637578</v>
      </c>
      <c r="D21" s="15" t="n">
        <f aca="false">2*t_sh+2*t_turn+2*C21+2*t_lane</f>
        <v>79.7874209384658</v>
      </c>
      <c r="E21" s="15" t="n">
        <f aca="false">3600/D21</f>
        <v>45.1198943098614</v>
      </c>
      <c r="F21" s="14" t="n">
        <f aca="false">lam_total*PL_U*S_U/3600/A21</f>
        <v>0.276785714285714</v>
      </c>
      <c r="G21" s="14" t="n">
        <f aca="false">(MIN(lam_in,lam_out)*peak_factor*PL_U*D_U+ABS(lam_out-lam_in)*peak_factor*PL_U*S_U)/3600/A21</f>
        <v>0.245574074074074</v>
      </c>
      <c r="H21" s="14" t="n">
        <f aca="false">lam_total*PL_A*S_A/3600/A21</f>
        <v>0.14752380952381</v>
      </c>
      <c r="I21" s="14" t="n">
        <f aca="false">(MIN(lam_in,lam_out)*peak_factor*PL_A*D_A+ABS(lam_out-lam_in)*peak_factor*PL_A*S_A)/3600/A21</f>
        <v>0.137394603174603</v>
      </c>
      <c r="J21" s="14" t="n">
        <f aca="false">IF(A21&gt;1,F21*A21/(A21-1),"n/a")</f>
        <v>0.345982142857143</v>
      </c>
      <c r="K21" s="14" t="n">
        <f aca="false">IF(A21&gt;1,H21*A21/(A21-1),"n/a")</f>
        <v>0.184404761904762</v>
      </c>
      <c r="L21" s="14" t="n">
        <f aca="false">rho_max</f>
        <v>0.75</v>
      </c>
    </row>
    <row r="22" customFormat="false" ht="15" hidden="false" customHeight="false" outlineLevel="0" collapsed="false">
      <c r="A22" s="32" t="n">
        <v>6</v>
      </c>
      <c r="B22" s="13" t="n">
        <f aca="false">L_aisle/(2*A22)</f>
        <v>3.11666666666667</v>
      </c>
      <c r="C22" s="13" t="n">
        <f aca="false">((IF((lane_off+(B22))&lt;=(v_sh^2/a_sh),(4/3)*(lane_off+(B22))^1.5/SQRT(a_sh),(4/3)*(v_sh^2/a_sh)^1.5/SQRT(a_sh)+((lane_off+(B22))^2-(v_sh^2/a_sh)^2)/(2*v_sh)+(v_sh/a_sh)*((lane_off+(B22))-(v_sh^2/a_sh))))-(IF((lane_off)&lt;=(v_sh^2/a_sh),(4/3)*(lane_off)^1.5/SQRT(a_sh),(4/3)*(v_sh^2/a_sh)^1.5/SQRT(a_sh)+((lane_off)^2-(v_sh^2/a_sh)^2)/(2*v_sh)+(v_sh/a_sh)*((lane_off)-(v_sh^2/a_sh)))))/(B22)</f>
        <v>4.44840494403188</v>
      </c>
      <c r="D22" s="15" t="n">
        <f aca="false">2*t_sh+2*t_turn+2*C22+2*t_lane</f>
        <v>79.282524173778</v>
      </c>
      <c r="E22" s="15" t="n">
        <f aca="false">3600/D22</f>
        <v>45.4072323947358</v>
      </c>
      <c r="F22" s="14" t="n">
        <f aca="false">lam_total*PL_U*S_U/3600/A22</f>
        <v>0.230654761904762</v>
      </c>
      <c r="G22" s="14" t="n">
        <f aca="false">(MIN(lam_in,lam_out)*peak_factor*PL_U*D_U+ABS(lam_out-lam_in)*peak_factor*PL_U*S_U)/3600/A22</f>
        <v>0.204645061728395</v>
      </c>
      <c r="H22" s="14" t="n">
        <f aca="false">lam_total*PL_A*S_A/3600/A22</f>
        <v>0.122936507936508</v>
      </c>
      <c r="I22" s="14" t="n">
        <f aca="false">(MIN(lam_in,lam_out)*peak_factor*PL_A*D_A+ABS(lam_out-lam_in)*peak_factor*PL_A*S_A)/3600/A22</f>
        <v>0.114495502645503</v>
      </c>
      <c r="J22" s="14" t="n">
        <f aca="false">IF(A22&gt;1,F22*A22/(A22-1),"n/a")</f>
        <v>0.276785714285714</v>
      </c>
      <c r="K22" s="14" t="n">
        <f aca="false">IF(A22&gt;1,H22*A22/(A22-1),"n/a")</f>
        <v>0.14752380952381</v>
      </c>
      <c r="L22" s="14" t="n">
        <f aca="false">rho_max</f>
        <v>0.75</v>
      </c>
    </row>
    <row r="23" customFormat="false" ht="15" hidden="false" customHeight="false" outlineLevel="0" collapsed="false">
      <c r="A23" s="7" t="s">
        <v>257</v>
      </c>
    </row>
    <row r="25" customFormat="false" ht="15" hidden="false" customHeight="false" outlineLevel="0" collapsed="false">
      <c r="A25" s="11" t="s">
        <v>258</v>
      </c>
    </row>
    <row r="26" customFormat="false" ht="23.85" hidden="false" customHeight="false" outlineLevel="0" collapsed="false">
      <c r="A26" s="4" t="s">
        <v>259</v>
      </c>
      <c r="B26" s="4" t="s">
        <v>260</v>
      </c>
      <c r="C26" s="4" t="s">
        <v>261</v>
      </c>
      <c r="D26" s="4" t="s">
        <v>262</v>
      </c>
      <c r="E26" s="4" t="s">
        <v>263</v>
      </c>
      <c r="F26" s="4" t="s">
        <v>264</v>
      </c>
    </row>
    <row r="27" customFormat="false" ht="15" hidden="false" customHeight="false" outlineLevel="0" collapsed="false">
      <c r="A27" s="9" t="n">
        <v>0.5</v>
      </c>
      <c r="B27" s="31" t="n">
        <f aca="false">(lam_in+lam_out)*A27</f>
        <v>50</v>
      </c>
      <c r="C27" s="14" t="n">
        <f aca="false">B27*PL_U*S_U/3600/2</f>
        <v>0.345982142857143</v>
      </c>
      <c r="D27" s="14" t="n">
        <f aca="false">B27*PL_A*S_A/3600/2</f>
        <v>0.184404761904762</v>
      </c>
      <c r="E27" s="14" t="n">
        <f aca="false">B27*PL_U*S_U/3600/3</f>
        <v>0.230654761904762</v>
      </c>
      <c r="F27" s="14" t="n">
        <f aca="false">B27*PL_A*S_A/3600/3</f>
        <v>0.122936507936508</v>
      </c>
    </row>
    <row r="28" customFormat="false" ht="15" hidden="false" customHeight="false" outlineLevel="0" collapsed="false">
      <c r="A28" s="9" t="n">
        <v>0.75</v>
      </c>
      <c r="B28" s="31" t="n">
        <f aca="false">(lam_in+lam_out)*A28</f>
        <v>75</v>
      </c>
      <c r="C28" s="14" t="n">
        <f aca="false">B28*PL_U*S_U/3600/2</f>
        <v>0.518973214285714</v>
      </c>
      <c r="D28" s="14" t="n">
        <f aca="false">B28*PL_A*S_A/3600/2</f>
        <v>0.276607142857143</v>
      </c>
      <c r="E28" s="14" t="n">
        <f aca="false">B28*PL_U*S_U/3600/3</f>
        <v>0.345982142857143</v>
      </c>
      <c r="F28" s="14" t="n">
        <f aca="false">B28*PL_A*S_A/3600/3</f>
        <v>0.184404761904762</v>
      </c>
    </row>
    <row r="29" customFormat="false" ht="15" hidden="false" customHeight="false" outlineLevel="0" collapsed="false">
      <c r="A29" s="9" t="n">
        <v>1</v>
      </c>
      <c r="B29" s="31" t="n">
        <f aca="false">(lam_in+lam_out)*A29</f>
        <v>100</v>
      </c>
      <c r="C29" s="14" t="n">
        <f aca="false">B29*PL_U*S_U/3600/2</f>
        <v>0.691964285714286</v>
      </c>
      <c r="D29" s="14" t="n">
        <f aca="false">B29*PL_A*S_A/3600/2</f>
        <v>0.368809523809524</v>
      </c>
      <c r="E29" s="14" t="n">
        <f aca="false">B29*PL_U*S_U/3600/3</f>
        <v>0.461309523809524</v>
      </c>
      <c r="F29" s="14" t="n">
        <f aca="false">B29*PL_A*S_A/3600/3</f>
        <v>0.245873015873016</v>
      </c>
    </row>
    <row r="30" customFormat="false" ht="15" hidden="false" customHeight="false" outlineLevel="0" collapsed="false">
      <c r="A30" s="9" t="n">
        <v>1.25</v>
      </c>
      <c r="B30" s="31" t="n">
        <f aca="false">(lam_in+lam_out)*A30</f>
        <v>125</v>
      </c>
      <c r="C30" s="14" t="n">
        <f aca="false">B30*PL_U*S_U/3600/2</f>
        <v>0.864955357142857</v>
      </c>
      <c r="D30" s="14" t="n">
        <f aca="false">B30*PL_A*S_A/3600/2</f>
        <v>0.461011904761905</v>
      </c>
      <c r="E30" s="14" t="n">
        <f aca="false">B30*PL_U*S_U/3600/3</f>
        <v>0.576636904761905</v>
      </c>
      <c r="F30" s="14" t="n">
        <f aca="false">B30*PL_A*S_A/3600/3</f>
        <v>0.30734126984127</v>
      </c>
    </row>
    <row r="31" customFormat="false" ht="15" hidden="false" customHeight="false" outlineLevel="0" collapsed="false">
      <c r="A31" s="9" t="n">
        <v>1.5</v>
      </c>
      <c r="B31" s="31" t="n">
        <f aca="false">(lam_in+lam_out)*A31</f>
        <v>150</v>
      </c>
      <c r="C31" s="14" t="n">
        <f aca="false">B31*PL_U*S_U/3600/2</f>
        <v>1.03794642857143</v>
      </c>
      <c r="D31" s="14" t="n">
        <f aca="false">B31*PL_A*S_A/3600/2</f>
        <v>0.553214285714286</v>
      </c>
      <c r="E31" s="14" t="n">
        <f aca="false">B31*PL_U*S_U/3600/3</f>
        <v>0.691964285714286</v>
      </c>
      <c r="F31" s="14" t="n">
        <f aca="false">B31*PL_A*S_A/3600/3</f>
        <v>0.368809523809524</v>
      </c>
    </row>
    <row r="32" customFormat="false" ht="15" hidden="false" customHeight="false" outlineLevel="0" collapsed="false">
      <c r="A32" s="9" t="n">
        <v>1.75</v>
      </c>
      <c r="B32" s="31" t="n">
        <f aca="false">(lam_in+lam_out)*A32</f>
        <v>175</v>
      </c>
      <c r="C32" s="14" t="n">
        <f aca="false">B32*PL_U*S_U/3600/2</f>
        <v>1.2109375</v>
      </c>
      <c r="D32" s="14" t="n">
        <f aca="false">B32*PL_A*S_A/3600/2</f>
        <v>0.645416666666667</v>
      </c>
      <c r="E32" s="14" t="n">
        <f aca="false">B32*PL_U*S_U/3600/3</f>
        <v>0.807291666666667</v>
      </c>
      <c r="F32" s="14" t="n">
        <f aca="false">B32*PL_A*S_A/3600/3</f>
        <v>0.430277777777778</v>
      </c>
    </row>
    <row r="33" customFormat="false" ht="15" hidden="false" customHeight="false" outlineLevel="0" collapsed="false">
      <c r="A33" s="9" t="n">
        <v>2</v>
      </c>
      <c r="B33" s="31" t="n">
        <f aca="false">(lam_in+lam_out)*A33</f>
        <v>200</v>
      </c>
      <c r="C33" s="14" t="n">
        <f aca="false">B33*PL_U*S_U/3600/2</f>
        <v>1.38392857142857</v>
      </c>
      <c r="D33" s="14" t="n">
        <f aca="false">B33*PL_A*S_A/3600/2</f>
        <v>0.737619047619048</v>
      </c>
      <c r="E33" s="14" t="n">
        <f aca="false">B33*PL_U*S_U/3600/3</f>
        <v>0.922619047619048</v>
      </c>
      <c r="F33" s="14" t="n">
        <f aca="false">B33*PL_A*S_A/3600/3</f>
        <v>0.491746031746032</v>
      </c>
    </row>
    <row r="36" customFormat="false" ht="15" hidden="false" customHeight="false" outlineLevel="0" collapsed="false">
      <c r="A36" s="11" t="s">
        <v>265</v>
      </c>
    </row>
    <row r="37" customFormat="false" ht="15" hidden="false" customHeight="false" outlineLevel="0" collapsed="false">
      <c r="A37" s="4" t="s">
        <v>266</v>
      </c>
      <c r="B37" s="4" t="s">
        <v>240</v>
      </c>
      <c r="C37" s="4" t="s">
        <v>267</v>
      </c>
    </row>
    <row r="38" customFormat="false" ht="15" hidden="false" customHeight="false" outlineLevel="0" collapsed="false">
      <c r="A38" s="9" t="n">
        <v>0</v>
      </c>
      <c r="B38" s="15" t="n">
        <f aca="false">2*t_sh+2*t_turn+2*t_aisle+2*IF(((N_C-1)*u_d/2*(1+A38)+lane_off)&lt;=0,0,IF(((N_C-1)*u_d/2*(1+A38)+lane_off)&gt;=v_sh^2/a_sh,((N_C-1)*u_d/2*(1+A38)+lane_off)/v_sh+v_sh/a_sh,2*SQRT(((N_C-1)*u_d/2*(1+A38)+lane_off)/a_sh)))</f>
        <v>80.7948335154605</v>
      </c>
      <c r="C38" s="14" t="n">
        <f aca="false">B38/$B$38-1</f>
        <v>0</v>
      </c>
    </row>
    <row r="39" customFormat="false" ht="15" hidden="false" customHeight="false" outlineLevel="0" collapsed="false">
      <c r="A39" s="9" t="n">
        <v>0.05</v>
      </c>
      <c r="B39" s="15" t="n">
        <f aca="false">2*t_sh+2*t_turn+2*t_aisle+2*IF(((N_C-1)*u_d/2*(1+A39)+lane_off)&lt;=0,0,IF(((N_C-1)*u_d/2*(1+A39)+lane_off)&gt;=v_sh^2/a_sh,((N_C-1)*u_d/2*(1+A39)+lane_off)/v_sh+v_sh/a_sh,2*SQRT(((N_C-1)*u_d/2*(1+A39)+lane_off)/a_sh)))</f>
        <v>81.0180478011747</v>
      </c>
      <c r="C39" s="14" t="n">
        <f aca="false">B39/$B$38-1</f>
        <v>0.00276272969448677</v>
      </c>
    </row>
    <row r="40" customFormat="false" ht="15" hidden="false" customHeight="false" outlineLevel="0" collapsed="false">
      <c r="A40" s="9" t="n">
        <v>0.1</v>
      </c>
      <c r="B40" s="15" t="n">
        <f aca="false">2*t_sh+2*t_turn+2*t_aisle+2*IF(((N_C-1)*u_d/2*(1+A40)+lane_off)&lt;=0,0,IF(((N_C-1)*u_d/2*(1+A40)+lane_off)&gt;=v_sh^2/a_sh,((N_C-1)*u_d/2*(1+A40)+lane_off)/v_sh+v_sh/a_sh,2*SQRT(((N_C-1)*u_d/2*(1+A40)+lane_off)/a_sh)))</f>
        <v>81.241262086889</v>
      </c>
      <c r="C40" s="14" t="n">
        <f aca="false">B40/$B$38-1</f>
        <v>0.00552545938897375</v>
      </c>
    </row>
    <row r="41" customFormat="false" ht="15" hidden="false" customHeight="false" outlineLevel="0" collapsed="false">
      <c r="A41" s="9" t="n">
        <v>0.2</v>
      </c>
      <c r="B41" s="15" t="n">
        <f aca="false">2*t_sh+2*t_turn+2*t_aisle+2*IF(((N_C-1)*u_d/2*(1+A41)+lane_off)&lt;=0,0,IF(((N_C-1)*u_d/2*(1+A41)+lane_off)&gt;=v_sh^2/a_sh,((N_C-1)*u_d/2*(1+A41)+lane_off)/v_sh+v_sh/a_sh,2*SQRT(((N_C-1)*u_d/2*(1+A41)+lane_off)/a_sh)))</f>
        <v>81.6876906583176</v>
      </c>
      <c r="C41" s="14" t="n">
        <f aca="false">B41/$B$38-1</f>
        <v>0.0110509187779475</v>
      </c>
    </row>
    <row r="42" customFormat="false" ht="15" hidden="false" customHeight="false" outlineLevel="0" collapsed="false">
      <c r="A42" s="9" t="n">
        <v>0.3</v>
      </c>
      <c r="B42" s="15" t="n">
        <f aca="false">2*t_sh+2*t_turn+2*t_aisle+2*IF(((N_C-1)*u_d/2*(1+A42)+lane_off)&lt;=0,0,IF(((N_C-1)*u_d/2*(1+A42)+lane_off)&gt;=v_sh^2/a_sh,((N_C-1)*u_d/2*(1+A42)+lane_off)/v_sh+v_sh/a_sh,2*SQRT(((N_C-1)*u_d/2*(1+A42)+lane_off)/a_sh)))</f>
        <v>82.1341192297462</v>
      </c>
      <c r="C42" s="14" t="n">
        <f aca="false">B42/$B$38-1</f>
        <v>0.0165763781669213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7" t="s">
        <v>269</v>
      </c>
    </row>
    <row r="4" customFormat="false" ht="55.5" hidden="false" customHeight="true" outlineLevel="0" collapsed="false">
      <c r="A4" s="4" t="s">
        <v>270</v>
      </c>
      <c r="B4" s="4" t="s">
        <v>271</v>
      </c>
      <c r="C4" s="4" t="s">
        <v>272</v>
      </c>
      <c r="D4" s="4" t="s">
        <v>273</v>
      </c>
      <c r="E4" s="4" t="s">
        <v>274</v>
      </c>
      <c r="F4" s="4" t="s">
        <v>275</v>
      </c>
      <c r="G4" s="4" t="s">
        <v>276</v>
      </c>
      <c r="H4" s="4" t="s">
        <v>277</v>
      </c>
      <c r="I4" s="4" t="s">
        <v>278</v>
      </c>
      <c r="J4" s="4" t="s">
        <v>279</v>
      </c>
      <c r="K4" s="4" t="s">
        <v>280</v>
      </c>
      <c r="L4" s="4" t="s">
        <v>281</v>
      </c>
    </row>
    <row r="5" customFormat="false" ht="15" hidden="false" customHeight="false" outlineLevel="0" collapsed="false">
      <c r="A5" s="12" t="s">
        <v>282</v>
      </c>
      <c r="B5" s="33" t="n">
        <v>81.7</v>
      </c>
      <c r="C5" s="33" t="n">
        <v>89.4</v>
      </c>
      <c r="D5" s="33" t="n">
        <v>24.6</v>
      </c>
      <c r="E5" s="33" t="n">
        <v>30.6</v>
      </c>
      <c r="F5" s="33" t="n">
        <v>45.4</v>
      </c>
      <c r="G5" s="33" t="n">
        <v>55.6</v>
      </c>
      <c r="H5" s="34" t="n">
        <v>112</v>
      </c>
      <c r="I5" s="34" t="n">
        <v>123</v>
      </c>
      <c r="J5" s="34" t="n">
        <v>220</v>
      </c>
      <c r="K5" s="34" t="n">
        <v>223</v>
      </c>
      <c r="L5" s="33" t="n">
        <v>3.9</v>
      </c>
    </row>
    <row r="6" customFormat="false" ht="15" hidden="false" customHeight="false" outlineLevel="0" collapsed="false">
      <c r="A6" s="12" t="s">
        <v>283</v>
      </c>
      <c r="B6" s="33" t="n">
        <v>81.7</v>
      </c>
      <c r="C6" s="33" t="n">
        <v>89.4</v>
      </c>
      <c r="D6" s="33" t="n">
        <v>46.1</v>
      </c>
      <c r="E6" s="33" t="n">
        <v>47.7</v>
      </c>
      <c r="F6" s="33" t="n">
        <v>22.7</v>
      </c>
      <c r="G6" s="33" t="n">
        <v>35.1</v>
      </c>
      <c r="H6" s="34" t="n">
        <v>145</v>
      </c>
      <c r="I6" s="34" t="n">
        <v>152</v>
      </c>
      <c r="J6" s="34" t="n">
        <v>293</v>
      </c>
      <c r="K6" s="34" t="n">
        <v>297</v>
      </c>
      <c r="L6" s="33" t="n">
        <v>0</v>
      </c>
    </row>
    <row r="7" customFormat="false" ht="15" hidden="false" customHeight="false" outlineLevel="0" collapsed="false">
      <c r="A7" s="12" t="s">
        <v>284</v>
      </c>
      <c r="B7" s="33" t="n">
        <v>81.7</v>
      </c>
      <c r="C7" s="33" t="n">
        <v>92.3</v>
      </c>
      <c r="D7" s="33" t="n">
        <v>36.9</v>
      </c>
      <c r="E7" s="33" t="n">
        <v>46</v>
      </c>
      <c r="F7" s="33" t="n">
        <v>45.4</v>
      </c>
      <c r="G7" s="33" t="n">
        <v>60.8</v>
      </c>
      <c r="H7" s="34" t="n">
        <v>126</v>
      </c>
      <c r="I7" s="34" t="n">
        <v>136</v>
      </c>
      <c r="J7" s="34" t="n">
        <v>263</v>
      </c>
      <c r="K7" s="34" t="n">
        <v>265</v>
      </c>
      <c r="L7" s="33" t="n">
        <v>3.9</v>
      </c>
    </row>
    <row r="8" customFormat="false" ht="15" hidden="false" customHeight="false" outlineLevel="0" collapsed="false">
      <c r="A8" s="12" t="s">
        <v>285</v>
      </c>
      <c r="B8" s="33" t="n">
        <v>81.7</v>
      </c>
      <c r="C8" s="33" t="n">
        <v>89.4</v>
      </c>
      <c r="D8" s="33" t="n">
        <v>30.7</v>
      </c>
      <c r="E8" s="33" t="n">
        <v>37.9</v>
      </c>
      <c r="F8" s="33" t="n">
        <v>56.7</v>
      </c>
      <c r="G8" s="33" t="n">
        <v>70.9</v>
      </c>
      <c r="H8" s="34" t="n">
        <v>133</v>
      </c>
      <c r="I8" s="34" t="n">
        <v>145</v>
      </c>
      <c r="J8" s="34" t="n">
        <v>286</v>
      </c>
      <c r="K8" s="34" t="n">
        <v>294</v>
      </c>
      <c r="L8" s="33" t="n">
        <v>4.8</v>
      </c>
    </row>
    <row r="9" customFormat="false" ht="15" hidden="false" customHeight="false" outlineLevel="0" collapsed="false">
      <c r="A9" s="12" t="s">
        <v>286</v>
      </c>
      <c r="B9" s="33" t="n">
        <v>84</v>
      </c>
      <c r="C9" s="33" t="n">
        <v>90.1</v>
      </c>
      <c r="D9" s="33" t="n">
        <v>69.2</v>
      </c>
      <c r="E9" s="33" t="n">
        <v>70.8</v>
      </c>
      <c r="F9" s="33" t="n">
        <v>23.3</v>
      </c>
      <c r="G9" s="33" t="n">
        <v>42.9</v>
      </c>
      <c r="H9" s="34" t="n">
        <v>201</v>
      </c>
      <c r="I9" s="34" t="n">
        <v>204</v>
      </c>
      <c r="J9" s="34" t="n">
        <v>480</v>
      </c>
      <c r="K9" s="34" t="n">
        <v>472</v>
      </c>
      <c r="L9" s="33" t="n">
        <v>0</v>
      </c>
    </row>
    <row r="10" customFormat="false" ht="15" hidden="false" customHeight="false" outlineLevel="0" collapsed="false">
      <c r="A10" s="12" t="s">
        <v>287</v>
      </c>
      <c r="B10" s="33" t="n">
        <v>84</v>
      </c>
      <c r="C10" s="33" t="n">
        <v>93.7</v>
      </c>
      <c r="D10" s="33" t="n">
        <v>138.4</v>
      </c>
      <c r="E10" s="33" t="n">
        <v>100</v>
      </c>
      <c r="F10" s="33" t="n">
        <v>23.3</v>
      </c>
      <c r="G10" s="33" t="n">
        <v>100.1</v>
      </c>
      <c r="H10" s="34" t="n">
        <v>29089</v>
      </c>
      <c r="I10" s="34" t="n">
        <v>29226</v>
      </c>
      <c r="J10" s="34" t="n">
        <v>60260</v>
      </c>
      <c r="K10" s="34" t="n">
        <v>60206</v>
      </c>
      <c r="L10" s="33" t="n">
        <v>0</v>
      </c>
    </row>
    <row r="11" customFormat="false" ht="15" hidden="false" customHeight="false" outlineLevel="0" collapsed="false">
      <c r="A11" s="12" t="s">
        <v>288</v>
      </c>
      <c r="B11" s="33" t="n">
        <v>81.7</v>
      </c>
      <c r="C11" s="33" t="n">
        <v>78.6</v>
      </c>
      <c r="D11" s="33" t="n">
        <v>14.6</v>
      </c>
      <c r="E11" s="33" t="n">
        <v>20.9</v>
      </c>
      <c r="F11" s="33" t="n">
        <v>45.4</v>
      </c>
      <c r="G11" s="33" t="n">
        <v>50</v>
      </c>
      <c r="H11" s="34" t="n">
        <v>90</v>
      </c>
      <c r="I11" s="34" t="n">
        <v>102</v>
      </c>
      <c r="J11" s="34" t="n">
        <v>174</v>
      </c>
      <c r="K11" s="34" t="n">
        <v>182</v>
      </c>
      <c r="L11" s="33" t="n">
        <v>3.9</v>
      </c>
    </row>
    <row r="14" customFormat="false" ht="15" hidden="false" customHeight="false" outlineLevel="0" collapsed="false">
      <c r="A14" s="11" t="s">
        <v>289</v>
      </c>
    </row>
    <row r="15" customFormat="false" ht="15" hidden="false" customHeight="false" outlineLevel="0" collapsed="false">
      <c r="A15" s="7" t="s">
        <v>290</v>
      </c>
    </row>
    <row r="16" customFormat="false" ht="15" hidden="false" customHeight="false" outlineLevel="0" collapsed="false">
      <c r="A16" s="7" t="s">
        <v>291</v>
      </c>
    </row>
    <row r="17" customFormat="false" ht="15" hidden="false" customHeight="false" outlineLevel="0" collapsed="false">
      <c r="A17" s="7" t="s">
        <v>292</v>
      </c>
    </row>
    <row r="18" customFormat="false" ht="15" hidden="false" customHeight="false" outlineLevel="0" collapsed="false">
      <c r="A18" s="7" t="s">
        <v>293</v>
      </c>
    </row>
    <row r="19" customFormat="false" ht="15" hidden="false" customHeight="false" outlineLevel="0" collapsed="false">
      <c r="A19" s="7" t="s">
        <v>294</v>
      </c>
    </row>
    <row r="20" customFormat="false" ht="15" hidden="false" customHeight="false" outlineLevel="0" collapsed="false">
      <c r="A20" s="7" t="s">
        <v>295</v>
      </c>
    </row>
    <row r="21" customFormat="false" ht="15" hidden="false" customHeight="false" outlineLevel="0" collapsed="false">
      <c r="A21" s="7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2026-10-26T10:00:32Z</dcterms:created>
  <dc:creator>openpyxl</dc:creator>
  <dc:description/>
  <dc:language>en-US</dc:language>
  <cp:lastModifiedBy/>
  <dcterms:modified xsi:type="dcterms:W3CDTF">2026-10-26T10:00:35Z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